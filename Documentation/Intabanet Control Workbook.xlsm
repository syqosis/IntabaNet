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5390" windowHeight="7095" tabRatio="795" activeTab="13"/>
  </bookViews>
  <sheets>
    <sheet name="Group" sheetId="19" r:id="rId1"/>
    <sheet name="Master" sheetId="1" r:id="rId2"/>
    <sheet name="Licensee" sheetId="2" r:id="rId3"/>
    <sheet name="Intermediary" sheetId="18" r:id="rId4"/>
    <sheet name="Agent" sheetId="3" r:id="rId5"/>
    <sheet name="Sales" sheetId="9" r:id="rId6"/>
    <sheet name="Policy breakdown" sheetId="5" r:id="rId7"/>
    <sheet name="Policy Numbers" sheetId="6" r:id="rId8"/>
    <sheet name="Commission splits" sheetId="7" r:id="rId9"/>
    <sheet name="Certificate" sheetId="11" r:id="rId10"/>
    <sheet name="Commission" sheetId="10" r:id="rId11"/>
    <sheet name="Smartcom" sheetId="12" r:id="rId12"/>
    <sheet name="Statement" sheetId="14" r:id="rId13"/>
    <sheet name="CommReceived" sheetId="13" r:id="rId14"/>
    <sheet name="StatementLicensee" sheetId="15" r:id="rId15"/>
    <sheet name="StatementAgent" sheetId="16" r:id="rId16"/>
    <sheet name="Debit orders" sheetId="17" r:id="rId17"/>
  </sheets>
  <externalReferences>
    <externalReference r:id="rId18"/>
  </externalReferences>
  <definedNames>
    <definedName name="_xlnm._FilterDatabase" localSheetId="13" hidden="1">CommReceived!$R$1:$W$51</definedName>
    <definedName name="_xlnm._FilterDatabase" localSheetId="5" hidden="1">Sales!$A$2:$G$1000</definedName>
    <definedName name="Accounttype">Master!$A$120:$A$123</definedName>
    <definedName name="Accounttype2">Master!$A$131:$A$134</definedName>
    <definedName name="AgentList" localSheetId="0">OFFSET(Group!$A$3,0,0,COUNTA(Group!$A$3:$A$18),1)</definedName>
    <definedName name="AgentList" localSheetId="3">OFFSET(Intermediary!$A$3,0,0,COUNTA(Intermediary!$A$3:$A$18),1)</definedName>
    <definedName name="AgentList">OFFSET(Agent!$A$3,0,0,COUNTA(Agent!$A$3:$A$1000),1)</definedName>
    <definedName name="AgentNames" localSheetId="0">OFFSET(Group!$AC$3,0,0,COUNTA(Group!$AC$3:$AC$1000),1)</definedName>
    <definedName name="AgentNames" localSheetId="3">OFFSET(Intermediary!$AD$3,0,0,COUNTA(Intermediary!$AD$3:$AD$1000),1)</definedName>
    <definedName name="AgentNames">OFFSET(Agent!$AJ$3,0,0,COUNTA(Agent!$AJ$3:$AJ$1000),1)</definedName>
    <definedName name="Agentsort" localSheetId="0">OFFSET(Group!$A$2,0,0,COUNTA(Group!$A$3:$A$18)+1,33)</definedName>
    <definedName name="Agentsort" localSheetId="3">OFFSET(Intermediary!$A$2,0,0,COUNTA(Intermediary!$A$3:$A$18)+1,33)</definedName>
    <definedName name="Agentsort">OFFSET(Agent!$A$2,0,0,COUNTA(Agent!$A$3:$A$18)+1,33)</definedName>
    <definedName name="AgentStatus" localSheetId="0">Group!$AL$2:$AL$8</definedName>
    <definedName name="AgentStatus" localSheetId="3">Intermediary!$AM$2:$AM$8</definedName>
    <definedName name="AgentStatus">Agent!$AS$2:$AS$8</definedName>
    <definedName name="AgentStatusChange">'Commission splits'!$A$4:$A$10</definedName>
    <definedName name="ComCalc">Master!$C$116,Master!$C$116,Master!$E$116:$G$116,Master!$J$116:$K$116,Master!$O$116</definedName>
    <definedName name="CommissionClear">Commission!$A$4:$AM$7</definedName>
    <definedName name="DebitOrdersClear">'Debit orders'!$A$3:$P$10000</definedName>
    <definedName name="Gender">Master!$B$100:$B$101</definedName>
    <definedName name="IDs">Master!$C$100:$C$111</definedName>
    <definedName name="IDType">Master!$A$107:$A$110</definedName>
    <definedName name="LicenseeChoose">OFFSET(Licensee!$A$3,0,0,COUNTA(Licensee!$A$3:$C$1000),3)</definedName>
    <definedName name="LicenseeFeesPaid">Licensee!$BA$2:$BA$5</definedName>
    <definedName name="Licensees">OFFSET(Licensee!$A$3,0,0,COUNTA(Licensee!$A$3:$A$10000),1)</definedName>
    <definedName name="LicenseeStatus">Licensee!$BB$2:$BB$6</definedName>
    <definedName name="MaritalStatus">Master!$A$113:$A$117</definedName>
    <definedName name="PaymentMethod">'Commission splits'!$H$4:$H$7</definedName>
    <definedName name="Paymenttype">Master!$A$126:$A$129</definedName>
    <definedName name="PolicyNumbers">OFFSET('Policy Numbers'!$C$3,0,0,COUNTA('Policy Numbers'!$C$3:$C$2000),1)</definedName>
    <definedName name="_xlnm.Print_Area" localSheetId="9">Certificate!$C$4:$R$34</definedName>
    <definedName name="ProductCodes">'Policy breakdown'!$A$3:$A$42</definedName>
    <definedName name="Provinces" localSheetId="0">Group!$AC$2:$AC$8</definedName>
    <definedName name="Provinces" localSheetId="3">Intermediary!$AD$2:$AD$8</definedName>
    <definedName name="Provinces">Agent!$AJ$2:$AJ$8</definedName>
    <definedName name="SaleCode">'Policy breakdown'!$A$3:$B$41</definedName>
    <definedName name="SmartcomClear">Smartcom!$A$3:$Y$9999</definedName>
    <definedName name="StatementClear">OFFSET(Statement!$A$11,0,0,COUNTA(Statement!$A$11:$A$1003)+2,9)</definedName>
    <definedName name="StatementClearAgent">StatementAgent!$A$3:$L$1000</definedName>
    <definedName name="StatementMailClear">'Debit orders'!$A$3:$L$1000</definedName>
    <definedName name="StatementPrintClear">StatementLicensee!$A$3:$L$1000</definedName>
    <definedName name="Title">Master!$A$100:$A$104</definedName>
    <definedName name="YES_NO1" localSheetId="0">Group!$AJ$2:$AJ$4</definedName>
    <definedName name="YES_NO1" localSheetId="3">Intermediary!$AK$2:$AK$4</definedName>
    <definedName name="YES_NO1">Agent!$AQ$2:$AQ$4</definedName>
    <definedName name="Yes_NO2" localSheetId="0">Group!$AK$2:$AK$3</definedName>
    <definedName name="Yes_NO2" localSheetId="3">Intermediary!$AL$2:$AL$3</definedName>
    <definedName name="Yes_NO2">Agent!$AR$2:$AR$3</definedName>
  </definedNames>
  <calcPr calcId="125725"/>
</workbook>
</file>

<file path=xl/calcChain.xml><?xml version="1.0" encoding="utf-8"?>
<calcChain xmlns="http://schemas.openxmlformats.org/spreadsheetml/2006/main">
  <c r="B7" i="12"/>
  <c r="X7" l="1"/>
  <c r="S7"/>
  <c r="R7"/>
  <c r="Q7"/>
  <c r="P7"/>
  <c r="O7"/>
  <c r="N7"/>
  <c r="M7"/>
  <c r="J7"/>
  <c r="L7" s="1"/>
  <c r="G7"/>
  <c r="F7"/>
  <c r="E7"/>
  <c r="C7"/>
  <c r="A7"/>
  <c r="I7" s="1"/>
  <c r="X6"/>
  <c r="S6"/>
  <c r="R6"/>
  <c r="Q6"/>
  <c r="P6"/>
  <c r="O6"/>
  <c r="N6"/>
  <c r="M6"/>
  <c r="J6"/>
  <c r="L6" s="1"/>
  <c r="G6"/>
  <c r="F6"/>
  <c r="E6"/>
  <c r="C6"/>
  <c r="A6"/>
  <c r="I6" s="1"/>
  <c r="X5"/>
  <c r="S5"/>
  <c r="R5"/>
  <c r="Q5"/>
  <c r="P5"/>
  <c r="O5"/>
  <c r="N5"/>
  <c r="M5"/>
  <c r="J5"/>
  <c r="L5" s="1"/>
  <c r="G5"/>
  <c r="F5"/>
  <c r="E5"/>
  <c r="C5"/>
  <c r="A5"/>
  <c r="I5" s="1"/>
  <c r="X4"/>
  <c r="S4"/>
  <c r="R4"/>
  <c r="Q4"/>
  <c r="P4"/>
  <c r="O4"/>
  <c r="N4"/>
  <c r="M4"/>
  <c r="J4"/>
  <c r="L4" s="1"/>
  <c r="G4"/>
  <c r="F4"/>
  <c r="E4"/>
  <c r="C4"/>
  <c r="A4"/>
  <c r="I4" s="1"/>
  <c r="X3"/>
  <c r="S3"/>
  <c r="R3"/>
  <c r="Q3"/>
  <c r="P3"/>
  <c r="O3"/>
  <c r="N3"/>
  <c r="M3"/>
  <c r="J3"/>
  <c r="L3" s="1"/>
  <c r="G3"/>
  <c r="F3"/>
  <c r="E3"/>
  <c r="C3"/>
  <c r="B3"/>
  <c r="B4" s="1"/>
  <c r="B5" s="1"/>
  <c r="B6" s="1"/>
  <c r="A3"/>
  <c r="I3" s="1"/>
  <c r="F16" i="15"/>
  <c r="F15"/>
  <c r="F14"/>
  <c r="F13"/>
  <c r="F12"/>
  <c r="F11"/>
  <c r="H9" i="14"/>
  <c r="E19"/>
  <c r="D19"/>
  <c r="E18"/>
  <c r="D18"/>
  <c r="E17"/>
  <c r="D17"/>
  <c r="E16"/>
  <c r="D16"/>
  <c r="E15"/>
  <c r="D15"/>
  <c r="E14"/>
  <c r="D14"/>
  <c r="E13"/>
  <c r="D13"/>
  <c r="E12"/>
  <c r="D12"/>
  <c r="F19"/>
  <c r="F18"/>
  <c r="F17"/>
  <c r="F16"/>
  <c r="F15"/>
  <c r="F14"/>
  <c r="F13"/>
  <c r="F12"/>
  <c r="F11"/>
  <c r="I9"/>
  <c r="I20" s="1"/>
  <c r="W50" i="13"/>
  <c r="V50"/>
  <c r="X50" s="1"/>
  <c r="U50"/>
  <c r="T50" s="1"/>
  <c r="W49"/>
  <c r="V49"/>
  <c r="X49" s="1"/>
  <c r="U49"/>
  <c r="T49" s="1"/>
  <c r="W48"/>
  <c r="X48" s="1"/>
  <c r="V48"/>
  <c r="U48"/>
  <c r="T48" s="1"/>
  <c r="W47"/>
  <c r="V47"/>
  <c r="X47" s="1"/>
  <c r="U47"/>
  <c r="T47" s="1"/>
  <c r="Y46"/>
  <c r="X46"/>
  <c r="W46"/>
  <c r="V46"/>
  <c r="U46"/>
  <c r="T46" s="1"/>
  <c r="Y45"/>
  <c r="X45"/>
  <c r="W45"/>
  <c r="V45"/>
  <c r="U45"/>
  <c r="T45" s="1"/>
  <c r="Y44"/>
  <c r="X44"/>
  <c r="W44"/>
  <c r="V44"/>
  <c r="U44"/>
  <c r="T44" s="1"/>
  <c r="Y43"/>
  <c r="X43"/>
  <c r="W43"/>
  <c r="V43"/>
  <c r="U43"/>
  <c r="T43" s="1"/>
  <c r="Y42"/>
  <c r="X42"/>
  <c r="W42"/>
  <c r="V42"/>
  <c r="U42"/>
  <c r="T42" s="1"/>
  <c r="Y41"/>
  <c r="X41"/>
  <c r="W41"/>
  <c r="V41"/>
  <c r="U41"/>
  <c r="T41" s="1"/>
  <c r="Y40"/>
  <c r="X40"/>
  <c r="W40"/>
  <c r="V40"/>
  <c r="U40"/>
  <c r="T40" s="1"/>
  <c r="Y39"/>
  <c r="X39"/>
  <c r="W39"/>
  <c r="V39"/>
  <c r="U39"/>
  <c r="T39" s="1"/>
  <c r="Y38"/>
  <c r="X38"/>
  <c r="W38"/>
  <c r="V38"/>
  <c r="U38"/>
  <c r="T38" s="1"/>
  <c r="Y37"/>
  <c r="X37"/>
  <c r="W37"/>
  <c r="V37"/>
  <c r="U37"/>
  <c r="T37" s="1"/>
  <c r="Y36"/>
  <c r="X36"/>
  <c r="W36"/>
  <c r="V36"/>
  <c r="U36"/>
  <c r="T36" s="1"/>
  <c r="Y35"/>
  <c r="X35"/>
  <c r="W35"/>
  <c r="V35"/>
  <c r="U35"/>
  <c r="T35" s="1"/>
  <c r="Y34"/>
  <c r="X34"/>
  <c r="W34"/>
  <c r="V34"/>
  <c r="U34"/>
  <c r="T34" s="1"/>
  <c r="Y33"/>
  <c r="X33"/>
  <c r="W33"/>
  <c r="V33"/>
  <c r="U33"/>
  <c r="T33" s="1"/>
  <c r="Y32"/>
  <c r="X32"/>
  <c r="W32"/>
  <c r="V32"/>
  <c r="U32"/>
  <c r="T32" s="1"/>
  <c r="Y31"/>
  <c r="X31"/>
  <c r="W31"/>
  <c r="V31"/>
  <c r="U31"/>
  <c r="T31" s="1"/>
  <c r="Y30"/>
  <c r="X30"/>
  <c r="W30"/>
  <c r="V30"/>
  <c r="U30"/>
  <c r="T30" s="1"/>
  <c r="Y29"/>
  <c r="X29"/>
  <c r="W29"/>
  <c r="V29"/>
  <c r="U29"/>
  <c r="T29" s="1"/>
  <c r="W28"/>
  <c r="X28" s="1"/>
  <c r="V28"/>
  <c r="U28"/>
  <c r="T28" s="1"/>
  <c r="W27"/>
  <c r="X27" s="1"/>
  <c r="V27"/>
  <c r="U27"/>
  <c r="T27" s="1"/>
  <c r="W26"/>
  <c r="V26"/>
  <c r="X26" s="1"/>
  <c r="U26"/>
  <c r="T26" s="1"/>
  <c r="Y25"/>
  <c r="X25"/>
  <c r="W25"/>
  <c r="V25"/>
  <c r="U25"/>
  <c r="T25" s="1"/>
  <c r="Y24"/>
  <c r="X24"/>
  <c r="W24"/>
  <c r="V24"/>
  <c r="U24"/>
  <c r="T24" s="1"/>
  <c r="Y23"/>
  <c r="X23"/>
  <c r="W23"/>
  <c r="V23"/>
  <c r="U23"/>
  <c r="T23" s="1"/>
  <c r="W22"/>
  <c r="X22" s="1"/>
  <c r="V22"/>
  <c r="U22"/>
  <c r="T22" s="1"/>
  <c r="W21"/>
  <c r="V21"/>
  <c r="X21" s="1"/>
  <c r="U21"/>
  <c r="T21" s="1"/>
  <c r="Y20"/>
  <c r="W20"/>
  <c r="X20" s="1"/>
  <c r="V20"/>
  <c r="U20"/>
  <c r="T20" s="1"/>
  <c r="W19"/>
  <c r="V19"/>
  <c r="X19" s="1"/>
  <c r="U19"/>
  <c r="T19" s="1"/>
  <c r="W18"/>
  <c r="X18" s="1"/>
  <c r="V18"/>
  <c r="U18"/>
  <c r="T18" s="1"/>
  <c r="W17"/>
  <c r="X17" s="1"/>
  <c r="V17"/>
  <c r="U17"/>
  <c r="T17" s="1"/>
  <c r="W16"/>
  <c r="X16" s="1"/>
  <c r="V16"/>
  <c r="U16"/>
  <c r="T16" s="1"/>
  <c r="E11" i="14"/>
  <c r="D11"/>
  <c r="EU1" i="9"/>
  <c r="BE1"/>
  <c r="K26" i="13"/>
  <c r="N26" s="1"/>
  <c r="M26"/>
  <c r="O26"/>
  <c r="P26"/>
  <c r="V15"/>
  <c r="X15" s="1"/>
  <c r="W15"/>
  <c r="U15"/>
  <c r="T15" s="1"/>
  <c r="X51"/>
  <c r="W51"/>
  <c r="V51"/>
  <c r="U51"/>
  <c r="H7" i="12" l="1"/>
  <c r="T7"/>
  <c r="Y7" s="1"/>
  <c r="H6"/>
  <c r="T6"/>
  <c r="Y6" s="1"/>
  <c r="H5"/>
  <c r="T5"/>
  <c r="Y5" s="1"/>
  <c r="T4"/>
  <c r="Y4" s="1"/>
  <c r="H4"/>
  <c r="T3"/>
  <c r="Y3" s="1"/>
  <c r="H3"/>
  <c r="Y16" i="13"/>
  <c r="Y18"/>
  <c r="Y22"/>
  <c r="Y26"/>
  <c r="Y28"/>
  <c r="Y50"/>
  <c r="Y48"/>
  <c r="Y17"/>
  <c r="Y19"/>
  <c r="Y21"/>
  <c r="Y27"/>
  <c r="Y47"/>
  <c r="Y49"/>
  <c r="Y15"/>
  <c r="P51"/>
  <c r="N51"/>
  <c r="M51"/>
  <c r="P50"/>
  <c r="N50"/>
  <c r="M50"/>
  <c r="P49"/>
  <c r="O49"/>
  <c r="M49"/>
  <c r="P48"/>
  <c r="N48"/>
  <c r="M48"/>
  <c r="P47"/>
  <c r="O47"/>
  <c r="M47"/>
  <c r="P46"/>
  <c r="O46"/>
  <c r="M46"/>
  <c r="P45"/>
  <c r="O45"/>
  <c r="M45"/>
  <c r="P44"/>
  <c r="N44"/>
  <c r="M44"/>
  <c r="P43"/>
  <c r="N43"/>
  <c r="M43"/>
  <c r="P42"/>
  <c r="N42"/>
  <c r="M42"/>
  <c r="P41"/>
  <c r="N41"/>
  <c r="M41"/>
  <c r="P40"/>
  <c r="O40"/>
  <c r="M40"/>
  <c r="P39"/>
  <c r="N39"/>
  <c r="M39"/>
  <c r="P38"/>
  <c r="N38"/>
  <c r="M38"/>
  <c r="P37"/>
  <c r="N37"/>
  <c r="M37"/>
  <c r="P36"/>
  <c r="O36"/>
  <c r="M36"/>
  <c r="P35"/>
  <c r="N35"/>
  <c r="M35"/>
  <c r="P34"/>
  <c r="O34"/>
  <c r="M34"/>
  <c r="P33"/>
  <c r="N33"/>
  <c r="M33"/>
  <c r="P32"/>
  <c r="N32"/>
  <c r="M32"/>
  <c r="P31"/>
  <c r="N31"/>
  <c r="M31"/>
  <c r="P30"/>
  <c r="N30"/>
  <c r="M30"/>
  <c r="P29"/>
  <c r="N29"/>
  <c r="M29"/>
  <c r="O28"/>
  <c r="N28"/>
  <c r="M28"/>
  <c r="P27"/>
  <c r="M27"/>
  <c r="P25"/>
  <c r="N25"/>
  <c r="M25"/>
  <c r="P24"/>
  <c r="O24"/>
  <c r="M24"/>
  <c r="P23"/>
  <c r="O23"/>
  <c r="N23"/>
  <c r="O22"/>
  <c r="N22"/>
  <c r="M22"/>
  <c r="P21"/>
  <c r="N21"/>
  <c r="M21"/>
  <c r="O20"/>
  <c r="N20"/>
  <c r="M20"/>
  <c r="P19"/>
  <c r="N19"/>
  <c r="M19"/>
  <c r="P18"/>
  <c r="N18"/>
  <c r="M18"/>
  <c r="O17"/>
  <c r="N17"/>
  <c r="M17"/>
  <c r="P16"/>
  <c r="O16"/>
  <c r="M16"/>
  <c r="P15"/>
  <c r="O15"/>
  <c r="N15"/>
  <c r="P14"/>
  <c r="N14"/>
  <c r="M14"/>
  <c r="P13"/>
  <c r="O13"/>
  <c r="M13"/>
  <c r="P12"/>
  <c r="O12"/>
  <c r="N12"/>
  <c r="M12"/>
  <c r="P11"/>
  <c r="O11"/>
  <c r="N11"/>
  <c r="M11"/>
  <c r="P10"/>
  <c r="O10"/>
  <c r="N10"/>
  <c r="M10"/>
  <c r="P9"/>
  <c r="O9"/>
  <c r="N9"/>
  <c r="M9"/>
  <c r="P8"/>
  <c r="O8"/>
  <c r="N8"/>
  <c r="M8"/>
  <c r="P7"/>
  <c r="N7"/>
  <c r="M7"/>
  <c r="P6"/>
  <c r="N6"/>
  <c r="M6"/>
  <c r="P5"/>
  <c r="N5"/>
  <c r="M5"/>
  <c r="P4"/>
  <c r="N4"/>
  <c r="M4"/>
  <c r="P3"/>
  <c r="N3"/>
  <c r="M3"/>
  <c r="P2"/>
  <c r="N2"/>
  <c r="M2"/>
  <c r="K51"/>
  <c r="O51" s="1"/>
  <c r="K50"/>
  <c r="O50" s="1"/>
  <c r="K49"/>
  <c r="N49" s="1"/>
  <c r="K48"/>
  <c r="O48" s="1"/>
  <c r="K47"/>
  <c r="N47" s="1"/>
  <c r="K46"/>
  <c r="N46" s="1"/>
  <c r="K45"/>
  <c r="N45" s="1"/>
  <c r="K44"/>
  <c r="O44" s="1"/>
  <c r="K43"/>
  <c r="O43" s="1"/>
  <c r="K42"/>
  <c r="O42" s="1"/>
  <c r="K41"/>
  <c r="O41" s="1"/>
  <c r="K40"/>
  <c r="N40" s="1"/>
  <c r="K39"/>
  <c r="O39" s="1"/>
  <c r="K38"/>
  <c r="O38" s="1"/>
  <c r="K37"/>
  <c r="O37" s="1"/>
  <c r="K36"/>
  <c r="N36" s="1"/>
  <c r="K35"/>
  <c r="O35" s="1"/>
  <c r="K34"/>
  <c r="N34" s="1"/>
  <c r="K33"/>
  <c r="O33" s="1"/>
  <c r="K32"/>
  <c r="O32" s="1"/>
  <c r="K31"/>
  <c r="O31" s="1"/>
  <c r="K30"/>
  <c r="O30" s="1"/>
  <c r="K29"/>
  <c r="O29" s="1"/>
  <c r="K28"/>
  <c r="P28" s="1"/>
  <c r="K27"/>
  <c r="O27" s="1"/>
  <c r="K25"/>
  <c r="O25" s="1"/>
  <c r="K24"/>
  <c r="N24" s="1"/>
  <c r="K23"/>
  <c r="M23" s="1"/>
  <c r="K22"/>
  <c r="P22" s="1"/>
  <c r="K21"/>
  <c r="O21" s="1"/>
  <c r="K20"/>
  <c r="P20" s="1"/>
  <c r="K19"/>
  <c r="O19" s="1"/>
  <c r="K18"/>
  <c r="O18" s="1"/>
  <c r="K17"/>
  <c r="P17" s="1"/>
  <c r="K16"/>
  <c r="N16" s="1"/>
  <c r="K15"/>
  <c r="M15" s="1"/>
  <c r="K14"/>
  <c r="O14" s="1"/>
  <c r="K13"/>
  <c r="N13" s="1"/>
  <c r="K12"/>
  <c r="K11"/>
  <c r="K10"/>
  <c r="K9"/>
  <c r="K8"/>
  <c r="K7"/>
  <c r="O7" s="1"/>
  <c r="K6"/>
  <c r="O6" s="1"/>
  <c r="K5"/>
  <c r="O5" s="1"/>
  <c r="K4"/>
  <c r="O4" s="1"/>
  <c r="K3"/>
  <c r="O3" s="1"/>
  <c r="K2"/>
  <c r="O2" s="1"/>
  <c r="FO1" i="9"/>
  <c r="E31" i="10"/>
  <c r="A31"/>
  <c r="D30"/>
  <c r="I29"/>
  <c r="C29"/>
  <c r="H28"/>
  <c r="B28"/>
  <c r="E27"/>
  <c r="A27"/>
  <c r="D26"/>
  <c r="I25"/>
  <c r="C25"/>
  <c r="H24"/>
  <c r="B24"/>
  <c r="E23"/>
  <c r="A23"/>
  <c r="D22"/>
  <c r="I21"/>
  <c r="C21"/>
  <c r="H20"/>
  <c r="B20"/>
  <c r="E19"/>
  <c r="A19"/>
  <c r="C31"/>
  <c r="B30"/>
  <c r="D28"/>
  <c r="C27"/>
  <c r="B26"/>
  <c r="A25"/>
  <c r="I23"/>
  <c r="H22"/>
  <c r="E21"/>
  <c r="I19"/>
  <c r="I30"/>
  <c r="A28"/>
  <c r="C26"/>
  <c r="B25"/>
  <c r="A24"/>
  <c r="C22"/>
  <c r="B21"/>
  <c r="A20"/>
  <c r="H31"/>
  <c r="B31"/>
  <c r="E30"/>
  <c r="A30"/>
  <c r="D29"/>
  <c r="I28"/>
  <c r="C28"/>
  <c r="H27"/>
  <c r="B27"/>
  <c r="E26"/>
  <c r="A26"/>
  <c r="D25"/>
  <c r="I24"/>
  <c r="C24"/>
  <c r="H23"/>
  <c r="B23"/>
  <c r="E22"/>
  <c r="A22"/>
  <c r="D21"/>
  <c r="I20"/>
  <c r="C20"/>
  <c r="H19"/>
  <c r="B19"/>
  <c r="I31"/>
  <c r="H30"/>
  <c r="E29"/>
  <c r="A29"/>
  <c r="I27"/>
  <c r="H26"/>
  <c r="E25"/>
  <c r="D24"/>
  <c r="C23"/>
  <c r="B22"/>
  <c r="A21"/>
  <c r="D20"/>
  <c r="C19"/>
  <c r="D31"/>
  <c r="C30"/>
  <c r="H29"/>
  <c r="B29"/>
  <c r="E28"/>
  <c r="D27"/>
  <c r="I26"/>
  <c r="H25"/>
  <c r="E24"/>
  <c r="D23"/>
  <c r="I22"/>
  <c r="H21"/>
  <c r="E20"/>
  <c r="D19"/>
  <c r="S31" l="1" a="1"/>
  <c r="S31" s="1"/>
  <c r="O31"/>
  <c r="G31"/>
  <c r="S30" a="1"/>
  <c r="S30" s="1"/>
  <c r="O30"/>
  <c r="G30"/>
  <c r="S29" a="1"/>
  <c r="S29" s="1"/>
  <c r="G29"/>
  <c r="S28" a="1"/>
  <c r="S28" s="1"/>
  <c r="G28"/>
  <c r="S27" a="1"/>
  <c r="S27" s="1"/>
  <c r="G27"/>
  <c r="S26" a="1"/>
  <c r="S26" s="1"/>
  <c r="O26"/>
  <c r="G26"/>
  <c r="S25" a="1"/>
  <c r="S25" s="1"/>
  <c r="O25"/>
  <c r="G25"/>
  <c r="S24" a="1"/>
  <c r="S24" s="1"/>
  <c r="O24"/>
  <c r="G24"/>
  <c r="S23" a="1"/>
  <c r="S23" s="1"/>
  <c r="O23"/>
  <c r="J23" s="1"/>
  <c r="G23"/>
  <c r="S22" a="1"/>
  <c r="S22" s="1"/>
  <c r="O22"/>
  <c r="G22"/>
  <c r="S21" a="1"/>
  <c r="S21" s="1"/>
  <c r="O21"/>
  <c r="G21"/>
  <c r="S20" a="1"/>
  <c r="S20" s="1"/>
  <c r="O20"/>
  <c r="G20"/>
  <c r="S19" a="1"/>
  <c r="S19" s="1"/>
  <c r="O19"/>
  <c r="G19"/>
  <c r="FV31" i="9"/>
  <c r="FU31" s="1"/>
  <c r="FV30"/>
  <c r="FU30" s="1"/>
  <c r="P29" i="10"/>
  <c r="L22"/>
  <c r="L24"/>
  <c r="P28"/>
  <c r="L25"/>
  <c r="Q19"/>
  <c r="L23"/>
  <c r="L31"/>
  <c r="P21"/>
  <c r="P22"/>
  <c r="P26"/>
  <c r="L30"/>
  <c r="L20"/>
  <c r="P24"/>
  <c r="Q28"/>
  <c r="Q25"/>
  <c r="L19"/>
  <c r="Q23"/>
  <c r="Q27"/>
  <c r="Q21"/>
  <c r="Q29"/>
  <c r="Q22"/>
  <c r="Q26"/>
  <c r="P30"/>
  <c r="P20"/>
  <c r="Q24"/>
  <c r="P25"/>
  <c r="P19"/>
  <c r="L27"/>
  <c r="P31"/>
  <c r="L21"/>
  <c r="L29"/>
  <c r="L26"/>
  <c r="Q30"/>
  <c r="Q20"/>
  <c r="L28"/>
  <c r="P23"/>
  <c r="P27"/>
  <c r="Q31"/>
  <c r="W27" l="1"/>
  <c r="W23"/>
  <c r="T23"/>
  <c r="U23" s="1"/>
  <c r="N28"/>
  <c r="N29"/>
  <c r="W31"/>
  <c r="T31"/>
  <c r="U31" s="1"/>
  <c r="N27"/>
  <c r="W19"/>
  <c r="W25"/>
  <c r="T25"/>
  <c r="U25" s="1"/>
  <c r="T20"/>
  <c r="V20" s="1"/>
  <c r="W20"/>
  <c r="T30"/>
  <c r="V30" s="1"/>
  <c r="W30"/>
  <c r="W24"/>
  <c r="T24"/>
  <c r="T26"/>
  <c r="V26" s="1"/>
  <c r="Y26" s="1"/>
  <c r="W26"/>
  <c r="W22"/>
  <c r="T22"/>
  <c r="W21"/>
  <c r="W28"/>
  <c r="W29"/>
  <c r="V31"/>
  <c r="Y31" s="1"/>
  <c r="U20"/>
  <c r="U22"/>
  <c r="U24"/>
  <c r="U26"/>
  <c r="N19"/>
  <c r="M20"/>
  <c r="N21"/>
  <c r="M22"/>
  <c r="N24"/>
  <c r="N25"/>
  <c r="M26"/>
  <c r="N30"/>
  <c r="M31"/>
  <c r="J30"/>
  <c r="U30"/>
  <c r="M30"/>
  <c r="K31"/>
  <c r="N31"/>
  <c r="AC31"/>
  <c r="AG31" s="1"/>
  <c r="M28"/>
  <c r="K29"/>
  <c r="J31"/>
  <c r="J28"/>
  <c r="M29"/>
  <c r="K30"/>
  <c r="J29"/>
  <c r="J26"/>
  <c r="M27"/>
  <c r="K28"/>
  <c r="K26"/>
  <c r="N26"/>
  <c r="J27"/>
  <c r="M25"/>
  <c r="K27"/>
  <c r="N22"/>
  <c r="J24"/>
  <c r="K24"/>
  <c r="M24"/>
  <c r="K25"/>
  <c r="J25"/>
  <c r="V25"/>
  <c r="V24"/>
  <c r="AL24" s="1"/>
  <c r="K23"/>
  <c r="M23"/>
  <c r="N23"/>
  <c r="J22"/>
  <c r="J21"/>
  <c r="K22"/>
  <c r="V22"/>
  <c r="J20"/>
  <c r="K21"/>
  <c r="M21"/>
  <c r="K20"/>
  <c r="N20"/>
  <c r="J19"/>
  <c r="K19"/>
  <c r="M19"/>
  <c r="FV29" i="9"/>
  <c r="FU29" s="1"/>
  <c r="FV28"/>
  <c r="FU28" s="1"/>
  <c r="FV27"/>
  <c r="FU27" s="1"/>
  <c r="H1" i="19"/>
  <c r="FV26" i="9"/>
  <c r="FU26" s="1"/>
  <c r="FV25"/>
  <c r="FU25" s="1"/>
  <c r="FV24"/>
  <c r="FU24" s="1"/>
  <c r="FV23"/>
  <c r="FU23"/>
  <c r="FV22"/>
  <c r="FU22" s="1"/>
  <c r="FV21"/>
  <c r="FU21" s="1"/>
  <c r="P9" i="17"/>
  <c r="L9" s="1"/>
  <c r="O9"/>
  <c r="M9" s="1"/>
  <c r="K9"/>
  <c r="J9"/>
  <c r="I9"/>
  <c r="H9"/>
  <c r="G9"/>
  <c r="F9"/>
  <c r="E9"/>
  <c r="D9"/>
  <c r="C9"/>
  <c r="A9"/>
  <c r="P8"/>
  <c r="L8" s="1"/>
  <c r="O8"/>
  <c r="M8" s="1"/>
  <c r="K8"/>
  <c r="J8"/>
  <c r="I8"/>
  <c r="H8"/>
  <c r="G8"/>
  <c r="F8"/>
  <c r="E8"/>
  <c r="D8"/>
  <c r="C8"/>
  <c r="A8"/>
  <c r="P7"/>
  <c r="L7" s="1"/>
  <c r="O7"/>
  <c r="M7" s="1"/>
  <c r="K7"/>
  <c r="J7"/>
  <c r="I7"/>
  <c r="H7"/>
  <c r="G7"/>
  <c r="F7"/>
  <c r="E7"/>
  <c r="D7"/>
  <c r="C7"/>
  <c r="A7"/>
  <c r="P6"/>
  <c r="L6" s="1"/>
  <c r="O6"/>
  <c r="M6" s="1"/>
  <c r="K6"/>
  <c r="J6"/>
  <c r="I6"/>
  <c r="H6"/>
  <c r="G6"/>
  <c r="F6"/>
  <c r="E6"/>
  <c r="D6"/>
  <c r="C6"/>
  <c r="A6"/>
  <c r="P5"/>
  <c r="L5" s="1"/>
  <c r="O5"/>
  <c r="M5" s="1"/>
  <c r="K5"/>
  <c r="J5"/>
  <c r="I5"/>
  <c r="H5"/>
  <c r="G5"/>
  <c r="F5"/>
  <c r="E5"/>
  <c r="D5"/>
  <c r="C5"/>
  <c r="A5"/>
  <c r="P4"/>
  <c r="L4" s="1"/>
  <c r="O4"/>
  <c r="M4" s="1"/>
  <c r="K4"/>
  <c r="J4"/>
  <c r="I4"/>
  <c r="H4"/>
  <c r="G4"/>
  <c r="F4"/>
  <c r="E4"/>
  <c r="D4"/>
  <c r="C4"/>
  <c r="A4"/>
  <c r="P3"/>
  <c r="L3" s="1"/>
  <c r="O3"/>
  <c r="M3" s="1"/>
  <c r="K3"/>
  <c r="J3"/>
  <c r="I3"/>
  <c r="H3"/>
  <c r="G3"/>
  <c r="F3"/>
  <c r="E3"/>
  <c r="D3"/>
  <c r="C3"/>
  <c r="A3"/>
  <c r="FV20" i="9"/>
  <c r="FU20" s="1"/>
  <c r="FV19"/>
  <c r="FU19"/>
  <c r="I16" i="10"/>
  <c r="H13"/>
  <c r="I15"/>
  <c r="C17"/>
  <c r="C15"/>
  <c r="E18"/>
  <c r="I18"/>
  <c r="H12"/>
  <c r="B15"/>
  <c r="C12"/>
  <c r="D12"/>
  <c r="C14"/>
  <c r="A14"/>
  <c r="D16"/>
  <c r="I12"/>
  <c r="H16"/>
  <c r="A17"/>
  <c r="H14"/>
  <c r="E16"/>
  <c r="C16"/>
  <c r="T29"/>
  <c r="A13"/>
  <c r="D17"/>
  <c r="E15"/>
  <c r="D18"/>
  <c r="E17"/>
  <c r="I13"/>
  <c r="E12"/>
  <c r="B14"/>
  <c r="H15"/>
  <c r="AJ22" i="3"/>
  <c r="H17" i="10"/>
  <c r="E13"/>
  <c r="B13"/>
  <c r="E14"/>
  <c r="B18"/>
  <c r="A16"/>
  <c r="A18"/>
  <c r="A12"/>
  <c r="C18"/>
  <c r="B12"/>
  <c r="D14"/>
  <c r="D15"/>
  <c r="T21"/>
  <c r="B17"/>
  <c r="H18"/>
  <c r="B16"/>
  <c r="C13"/>
  <c r="A15"/>
  <c r="D13"/>
  <c r="I14"/>
  <c r="I17"/>
  <c r="T19"/>
  <c r="T28"/>
  <c r="T27"/>
  <c r="AL30" l="1"/>
  <c r="X30"/>
  <c r="AL31"/>
  <c r="V23"/>
  <c r="AC23" s="1"/>
  <c r="AD31"/>
  <c r="X31"/>
  <c r="V27"/>
  <c r="AC27" s="1"/>
  <c r="U27"/>
  <c r="U28"/>
  <c r="V28"/>
  <c r="AL28" s="1"/>
  <c r="U19"/>
  <c r="V19"/>
  <c r="Y19" s="1"/>
  <c r="U21"/>
  <c r="V21"/>
  <c r="X21" s="1"/>
  <c r="V29"/>
  <c r="AL29" s="1"/>
  <c r="U29"/>
  <c r="X23"/>
  <c r="AC30"/>
  <c r="AF30" s="1"/>
  <c r="Y30"/>
  <c r="AI31"/>
  <c r="AH31"/>
  <c r="AF31"/>
  <c r="AE31"/>
  <c r="X26"/>
  <c r="AL26"/>
  <c r="AH30"/>
  <c r="X29"/>
  <c r="Y29"/>
  <c r="AC26"/>
  <c r="AF26" s="1"/>
  <c r="X27"/>
  <c r="Y27"/>
  <c r="AC24"/>
  <c r="AF24" s="1"/>
  <c r="X24"/>
  <c r="Y24"/>
  <c r="X25"/>
  <c r="Y25"/>
  <c r="AL25"/>
  <c r="AC25"/>
  <c r="AH24"/>
  <c r="X22"/>
  <c r="Y22"/>
  <c r="AC22"/>
  <c r="AG22" s="1"/>
  <c r="AL22"/>
  <c r="AC21"/>
  <c r="X20"/>
  <c r="Y20"/>
  <c r="AL20"/>
  <c r="AC20"/>
  <c r="AL19"/>
  <c r="S18" a="1"/>
  <c r="S18" s="1"/>
  <c r="O18"/>
  <c r="G18"/>
  <c r="S17" a="1"/>
  <c r="S17" s="1"/>
  <c r="O17"/>
  <c r="G17"/>
  <c r="S16" a="1"/>
  <c r="S16" s="1"/>
  <c r="O16"/>
  <c r="G16"/>
  <c r="S15" a="1"/>
  <c r="S15" s="1"/>
  <c r="O15"/>
  <c r="G15"/>
  <c r="S14" a="1"/>
  <c r="S14" s="1"/>
  <c r="O14"/>
  <c r="G14"/>
  <c r="S13" a="1"/>
  <c r="S13" s="1"/>
  <c r="O13"/>
  <c r="G13"/>
  <c r="S12" a="1"/>
  <c r="S12" s="1"/>
  <c r="O12"/>
  <c r="G12"/>
  <c r="FV18" i="9"/>
  <c r="FU18" s="1"/>
  <c r="FV17"/>
  <c r="FU17" s="1"/>
  <c r="FV16"/>
  <c r="FU16" s="1"/>
  <c r="FV15"/>
  <c r="FU15" s="1"/>
  <c r="FV14"/>
  <c r="FU14" s="1"/>
  <c r="FV13"/>
  <c r="FU13" s="1"/>
  <c r="FV12"/>
  <c r="FU12" s="1"/>
  <c r="I1" i="18"/>
  <c r="AJ20" i="3"/>
  <c r="AD25" i="10"/>
  <c r="AG25"/>
  <c r="AD22"/>
  <c r="I11"/>
  <c r="L16"/>
  <c r="P17"/>
  <c r="C10"/>
  <c r="L12"/>
  <c r="D10"/>
  <c r="Q15"/>
  <c r="D11"/>
  <c r="L17"/>
  <c r="I10"/>
  <c r="P15"/>
  <c r="Q16"/>
  <c r="B10"/>
  <c r="AJ21" i="3"/>
  <c r="Q17" i="10"/>
  <c r="L18"/>
  <c r="P12"/>
  <c r="L15"/>
  <c r="A11"/>
  <c r="L14"/>
  <c r="E10"/>
  <c r="P14"/>
  <c r="Q14"/>
  <c r="Q13"/>
  <c r="E11"/>
  <c r="Q18"/>
  <c r="P16"/>
  <c r="C11"/>
  <c r="B11"/>
  <c r="L13"/>
  <c r="P18"/>
  <c r="A10"/>
  <c r="P13"/>
  <c r="H10"/>
  <c r="AJ19" i="3"/>
  <c r="Q12" i="10"/>
  <c r="H11"/>
  <c r="AD27" l="1"/>
  <c r="AG27"/>
  <c r="AI27" s="1"/>
  <c r="AF23"/>
  <c r="AE23"/>
  <c r="AD24"/>
  <c r="AG26"/>
  <c r="X28"/>
  <c r="AD26"/>
  <c r="Y21"/>
  <c r="AH26"/>
  <c r="AL27"/>
  <c r="AC28"/>
  <c r="AE28" s="1"/>
  <c r="AC29"/>
  <c r="AE30"/>
  <c r="Y23"/>
  <c r="AL23"/>
  <c r="AL21"/>
  <c r="Y28"/>
  <c r="AD30"/>
  <c r="AG30"/>
  <c r="AI30" s="1"/>
  <c r="AG24"/>
  <c r="AC19"/>
  <c r="AF19" s="1"/>
  <c r="AD23"/>
  <c r="AG23"/>
  <c r="AI23" s="1"/>
  <c r="X19"/>
  <c r="AH23"/>
  <c r="AE24"/>
  <c r="AE26"/>
  <c r="AI26"/>
  <c r="AH29"/>
  <c r="AE29"/>
  <c r="AF29"/>
  <c r="AH28"/>
  <c r="AF28"/>
  <c r="AI24"/>
  <c r="AH27"/>
  <c r="AF27"/>
  <c r="AE27"/>
  <c r="AI25"/>
  <c r="AH25"/>
  <c r="AF25"/>
  <c r="AE25"/>
  <c r="AI22"/>
  <c r="AH22"/>
  <c r="AE22"/>
  <c r="AF22"/>
  <c r="AF21"/>
  <c r="AG20"/>
  <c r="AI20" s="1"/>
  <c r="AH20"/>
  <c r="AE20"/>
  <c r="AD20"/>
  <c r="AF20"/>
  <c r="AH19"/>
  <c r="M12"/>
  <c r="N14"/>
  <c r="N16"/>
  <c r="N17"/>
  <c r="N13"/>
  <c r="M15"/>
  <c r="N18"/>
  <c r="J16"/>
  <c r="J18"/>
  <c r="K18"/>
  <c r="M18"/>
  <c r="K17"/>
  <c r="J17"/>
  <c r="M17"/>
  <c r="K15"/>
  <c r="K16"/>
  <c r="M16"/>
  <c r="J15"/>
  <c r="N15"/>
  <c r="J14"/>
  <c r="J12"/>
  <c r="K14"/>
  <c r="M14"/>
  <c r="J13"/>
  <c r="K13"/>
  <c r="M13"/>
  <c r="K12"/>
  <c r="N12"/>
  <c r="S11" a="1"/>
  <c r="S11" s="1"/>
  <c r="O11"/>
  <c r="G11"/>
  <c r="S10" a="1"/>
  <c r="S10" s="1"/>
  <c r="O10"/>
  <c r="G10"/>
  <c r="FV11" i="9"/>
  <c r="FU11" s="1"/>
  <c r="FV10"/>
  <c r="FU10" s="1"/>
  <c r="N1" i="14"/>
  <c r="Q1"/>
  <c r="Q11" i="10"/>
  <c r="L11"/>
  <c r="L10"/>
  <c r="AG21"/>
  <c r="P11"/>
  <c r="AD21"/>
  <c r="Q10"/>
  <c r="P10"/>
  <c r="AD29" l="1"/>
  <c r="AG29"/>
  <c r="AI29" s="1"/>
  <c r="AE19"/>
  <c r="AG19"/>
  <c r="AI19" s="1"/>
  <c r="AG28"/>
  <c r="AI28" s="1"/>
  <c r="AD28"/>
  <c r="AD19"/>
  <c r="AI21"/>
  <c r="AE21"/>
  <c r="AH21" s="1"/>
  <c r="N11"/>
  <c r="N10"/>
  <c r="J11"/>
  <c r="K11"/>
  <c r="M11"/>
  <c r="M10"/>
  <c r="J10"/>
  <c r="K10"/>
  <c r="N2" i="14"/>
  <c r="H9" i="10"/>
  <c r="E9"/>
  <c r="A9"/>
  <c r="B9"/>
  <c r="I9"/>
  <c r="C9"/>
  <c r="D9"/>
  <c r="S9" l="1" a="1"/>
  <c r="S9" s="1"/>
  <c r="O9"/>
  <c r="G9"/>
  <c r="FV9" i="9"/>
  <c r="FU9" s="1"/>
  <c r="P9" i="10"/>
  <c r="AJ18" i="3"/>
  <c r="Q9" i="10"/>
  <c r="L9"/>
  <c r="N9" l="1"/>
  <c r="J9"/>
  <c r="K9"/>
  <c r="M9"/>
  <c r="FV3" i="9"/>
  <c r="FU3" s="1"/>
  <c r="FV8"/>
  <c r="FU8" s="1"/>
  <c r="FV7"/>
  <c r="FU7" s="1"/>
  <c r="FV6"/>
  <c r="FU6" s="1"/>
  <c r="FV5"/>
  <c r="FU5" s="1"/>
  <c r="FV4"/>
  <c r="FU4" s="1"/>
  <c r="E8" i="10"/>
  <c r="H8"/>
  <c r="B8"/>
  <c r="I8"/>
  <c r="D8"/>
  <c r="C8"/>
  <c r="A8"/>
  <c r="S8" l="1" a="1"/>
  <c r="S8" s="1"/>
  <c r="O8"/>
  <c r="G8"/>
  <c r="FQ4" i="9"/>
  <c r="FN4"/>
  <c r="P8" i="10"/>
  <c r="L8"/>
  <c r="F8"/>
  <c r="Q8"/>
  <c r="N8" l="1"/>
  <c r="J8"/>
  <c r="K8"/>
  <c r="M8"/>
  <c r="V41" i="5"/>
  <c r="U41"/>
  <c r="V40"/>
  <c r="U40"/>
  <c r="V39"/>
  <c r="U39"/>
  <c r="I111" i="1"/>
  <c r="I107"/>
  <c r="I106"/>
  <c r="I113"/>
  <c r="H4" i="10"/>
  <c r="E6"/>
  <c r="I3"/>
  <c r="H3"/>
  <c r="A5"/>
  <c r="C4"/>
  <c r="B6"/>
  <c r="D6"/>
  <c r="B4"/>
  <c r="D4"/>
  <c r="E5"/>
  <c r="D3"/>
  <c r="E3"/>
  <c r="B5"/>
  <c r="C6"/>
  <c r="I4"/>
  <c r="C3"/>
  <c r="E7"/>
  <c r="I5"/>
  <c r="A6"/>
  <c r="H5"/>
  <c r="B7"/>
  <c r="A3"/>
  <c r="D5"/>
  <c r="I6"/>
  <c r="H7"/>
  <c r="C7"/>
  <c r="C5"/>
  <c r="A4"/>
  <c r="E4"/>
  <c r="D7"/>
  <c r="I7"/>
  <c r="B3"/>
  <c r="A7"/>
  <c r="H6"/>
  <c r="Z8" i="12" l="1"/>
  <c r="Z7"/>
  <c r="S6" i="10" a="1"/>
  <c r="S6" s="1"/>
  <c r="S7" a="1"/>
  <c r="S7" s="1"/>
  <c r="S5" a="1"/>
  <c r="S5" s="1"/>
  <c r="S3" a="1"/>
  <c r="S3" s="1"/>
  <c r="S4" a="1"/>
  <c r="S4" s="1"/>
  <c r="H1"/>
  <c r="G5"/>
  <c r="O5"/>
  <c r="G3"/>
  <c r="O3"/>
  <c r="O7"/>
  <c r="G7"/>
  <c r="G6"/>
  <c r="O6"/>
  <c r="O4"/>
  <c r="G4"/>
  <c r="F7"/>
  <c r="F3"/>
  <c r="P5"/>
  <c r="F6"/>
  <c r="L3"/>
  <c r="P3"/>
  <c r="L5"/>
  <c r="P6"/>
  <c r="Q6"/>
  <c r="L4"/>
  <c r="P4"/>
  <c r="Q5"/>
  <c r="P7"/>
  <c r="F4"/>
  <c r="Q3"/>
  <c r="Q4"/>
  <c r="L6"/>
  <c r="Q7"/>
  <c r="L7"/>
  <c r="F5"/>
  <c r="M6" l="1"/>
  <c r="N3"/>
  <c r="M3"/>
  <c r="M5"/>
  <c r="J4"/>
  <c r="K4"/>
  <c r="K6"/>
  <c r="J6"/>
  <c r="J3"/>
  <c r="M7"/>
  <c r="M4"/>
  <c r="N5"/>
  <c r="K3"/>
  <c r="J5"/>
  <c r="N7"/>
  <c r="N6"/>
  <c r="J7"/>
  <c r="N4"/>
  <c r="K7"/>
  <c r="K5"/>
  <c r="AD1"/>
  <c r="AB1"/>
  <c r="W18" l="1"/>
  <c r="W15"/>
  <c r="W16"/>
  <c r="W14"/>
  <c r="W13"/>
  <c r="W12"/>
  <c r="W17"/>
  <c r="W10"/>
  <c r="W11"/>
  <c r="W9"/>
  <c r="W4"/>
  <c r="W8"/>
  <c r="W3"/>
  <c r="W7"/>
  <c r="W5"/>
  <c r="W6"/>
  <c r="O1" i="12"/>
  <c r="T41" i="5"/>
  <c r="T40"/>
  <c r="T39"/>
  <c r="R41"/>
  <c r="R40"/>
  <c r="R39"/>
  <c r="T6" i="10"/>
  <c r="T5"/>
  <c r="T3"/>
  <c r="T11"/>
  <c r="T4"/>
  <c r="T10"/>
  <c r="T16"/>
  <c r="T7"/>
  <c r="T14"/>
  <c r="T9"/>
  <c r="T8"/>
  <c r="T17"/>
  <c r="T13"/>
  <c r="T12"/>
  <c r="T15"/>
  <c r="T18"/>
  <c r="U6" i="12" l="1"/>
  <c r="V6" s="1"/>
  <c r="U7"/>
  <c r="V7" s="1"/>
  <c r="U5"/>
  <c r="V5" s="1"/>
  <c r="U3"/>
  <c r="V3" s="1"/>
  <c r="U4"/>
  <c r="V4" s="1"/>
  <c r="U17" i="10"/>
  <c r="V17"/>
  <c r="U13"/>
  <c r="V13"/>
  <c r="U18"/>
  <c r="V18"/>
  <c r="U15"/>
  <c r="V15"/>
  <c r="V16"/>
  <c r="U16"/>
  <c r="U14"/>
  <c r="V14"/>
  <c r="U12"/>
  <c r="V12"/>
  <c r="V10"/>
  <c r="U10"/>
  <c r="V11"/>
  <c r="U11"/>
  <c r="V9"/>
  <c r="Y9" s="1"/>
  <c r="U9"/>
  <c r="V8"/>
  <c r="U8"/>
  <c r="V6"/>
  <c r="U6"/>
  <c r="V5"/>
  <c r="U5"/>
  <c r="V3"/>
  <c r="U3"/>
  <c r="U7"/>
  <c r="V7"/>
  <c r="U4"/>
  <c r="V4"/>
  <c r="K113" i="1"/>
  <c r="H113"/>
  <c r="G113"/>
  <c r="F113"/>
  <c r="E113"/>
  <c r="D113"/>
  <c r="H112"/>
  <c r="G112"/>
  <c r="E112"/>
  <c r="D112"/>
  <c r="Y16" i="10" l="1"/>
  <c r="AC16"/>
  <c r="AL16"/>
  <c r="X16"/>
  <c r="Y12"/>
  <c r="AC12"/>
  <c r="X12"/>
  <c r="AL12"/>
  <c r="AL18"/>
  <c r="Y18"/>
  <c r="AC18"/>
  <c r="X18"/>
  <c r="X17"/>
  <c r="AL17"/>
  <c r="Y17"/>
  <c r="AC17"/>
  <c r="AC14"/>
  <c r="AL14"/>
  <c r="Y14"/>
  <c r="X14"/>
  <c r="X15"/>
  <c r="Y15"/>
  <c r="AL15"/>
  <c r="AC15"/>
  <c r="AC13"/>
  <c r="Y13"/>
  <c r="AL13"/>
  <c r="X13"/>
  <c r="AL11"/>
  <c r="AC11"/>
  <c r="AG11" s="1"/>
  <c r="Y11"/>
  <c r="X11"/>
  <c r="AC10"/>
  <c r="AL10"/>
  <c r="Y10"/>
  <c r="X10"/>
  <c r="X9"/>
  <c r="AL9"/>
  <c r="AC9"/>
  <c r="X5"/>
  <c r="Y5"/>
  <c r="AL8"/>
  <c r="X8"/>
  <c r="Y8"/>
  <c r="X7"/>
  <c r="Y7"/>
  <c r="Y4"/>
  <c r="X4"/>
  <c r="X6"/>
  <c r="Y6"/>
  <c r="Y3"/>
  <c r="X3"/>
  <c r="AC8"/>
  <c r="AC7"/>
  <c r="AC3"/>
  <c r="AG3" s="1"/>
  <c r="AL3"/>
  <c r="AL7"/>
  <c r="AL4"/>
  <c r="AL5"/>
  <c r="AC5"/>
  <c r="AC6"/>
  <c r="AL6"/>
  <c r="AC4"/>
  <c r="F112" i="1"/>
  <c r="AG4" i="10"/>
  <c r="AG9"/>
  <c r="AG10"/>
  <c r="Z3" i="12" l="1"/>
  <c r="AG14" i="10"/>
  <c r="AI14" s="1"/>
  <c r="AF14"/>
  <c r="AD14"/>
  <c r="AH14"/>
  <c r="AE14"/>
  <c r="AF12"/>
  <c r="AG12"/>
  <c r="AI12" s="1"/>
  <c r="AD12"/>
  <c r="AH12"/>
  <c r="AE12"/>
  <c r="AH16"/>
  <c r="AE16"/>
  <c r="AF16"/>
  <c r="AG16"/>
  <c r="AI16" s="1"/>
  <c r="AD16"/>
  <c r="AG18"/>
  <c r="AH18"/>
  <c r="AE18"/>
  <c r="AF18"/>
  <c r="AD18"/>
  <c r="AE13"/>
  <c r="AH13"/>
  <c r="AG13"/>
  <c r="AI13" s="1"/>
  <c r="AF13"/>
  <c r="AD13"/>
  <c r="AF15"/>
  <c r="AH15"/>
  <c r="AG15"/>
  <c r="AI15" s="1"/>
  <c r="AD15"/>
  <c r="AE15"/>
  <c r="AF17"/>
  <c r="AD11"/>
  <c r="AI10"/>
  <c r="AI11"/>
  <c r="AF10"/>
  <c r="AF11"/>
  <c r="AH11"/>
  <c r="AE11"/>
  <c r="AF9"/>
  <c r="AI9"/>
  <c r="AF8"/>
  <c r="AI3"/>
  <c r="AF3"/>
  <c r="AF7"/>
  <c r="AF4"/>
  <c r="AD5"/>
  <c r="AH5"/>
  <c r="AG5"/>
  <c r="AF5"/>
  <c r="AE5"/>
  <c r="AH6"/>
  <c r="AG6"/>
  <c r="AF6"/>
  <c r="AE6"/>
  <c r="AD6"/>
  <c r="AI4"/>
  <c r="I112" i="1"/>
  <c r="K112" s="1"/>
  <c r="O32" i="5"/>
  <c r="Q32" s="1"/>
  <c r="R32" s="1"/>
  <c r="S32" s="1"/>
  <c r="O31"/>
  <c r="Q31" s="1"/>
  <c r="R31" s="1"/>
  <c r="S31" s="1"/>
  <c r="N32"/>
  <c r="J32"/>
  <c r="J31"/>
  <c r="AC18"/>
  <c r="AC17"/>
  <c r="AC16"/>
  <c r="AC15"/>
  <c r="AC14"/>
  <c r="AC13"/>
  <c r="AC12"/>
  <c r="AC11"/>
  <c r="AC10"/>
  <c r="AC9"/>
  <c r="AC8"/>
  <c r="AC7"/>
  <c r="AC6"/>
  <c r="AC5"/>
  <c r="AC4"/>
  <c r="AC3"/>
  <c r="N41"/>
  <c r="N40"/>
  <c r="N39"/>
  <c r="AD3" i="10"/>
  <c r="AD17"/>
  <c r="AD7"/>
  <c r="AD4"/>
  <c r="AG7"/>
  <c r="AG8"/>
  <c r="AD10"/>
  <c r="AD8"/>
  <c r="AD9"/>
  <c r="AG17"/>
  <c r="Z6" i="12" l="1"/>
  <c r="Z5"/>
  <c r="Z4"/>
  <c r="AI17" i="10"/>
  <c r="AE17"/>
  <c r="AH17" s="1"/>
  <c r="AI18"/>
  <c r="Z9" i="12"/>
  <c r="AE10" i="10"/>
  <c r="AH10" s="1"/>
  <c r="AE7"/>
  <c r="AH7" s="1"/>
  <c r="AE8"/>
  <c r="AH8" s="1"/>
  <c r="AE9"/>
  <c r="AH9" s="1"/>
  <c r="AE4"/>
  <c r="AH4" s="1"/>
  <c r="AE3"/>
  <c r="AH3" s="1"/>
  <c r="AI8"/>
  <c r="AI7"/>
  <c r="AI6"/>
  <c r="AI5"/>
  <c r="G99" i="1"/>
  <c r="F99"/>
  <c r="E99"/>
  <c r="D99"/>
  <c r="C8" i="14" l="1"/>
  <c r="B1" i="16" l="1"/>
  <c r="B1" i="15"/>
  <c r="K8" i="14" l="1"/>
  <c r="K6"/>
  <c r="K5"/>
  <c r="K7"/>
  <c r="K4"/>
  <c r="K3"/>
  <c r="F5"/>
  <c r="I1" i="2" l="1"/>
  <c r="I1" i="3"/>
  <c r="F7" i="14" l="1"/>
  <c r="U9" i="11"/>
  <c r="E24" s="1"/>
  <c r="F24" s="1"/>
  <c r="E25" l="1"/>
  <c r="E13" i="1" l="1" a="1"/>
  <c r="E13" s="1"/>
  <c r="E12" a="1"/>
  <c r="E12" s="1"/>
  <c r="E11" a="1"/>
  <c r="E11" s="1"/>
  <c r="E6" a="1"/>
  <c r="E6" s="1"/>
  <c r="E5" a="1"/>
  <c r="E5" s="1"/>
  <c r="E4" a="1"/>
  <c r="E4" s="1"/>
  <c r="E10" a="1"/>
  <c r="E10" s="1"/>
  <c r="E9" a="1"/>
  <c r="E9" s="1"/>
  <c r="E8" a="1"/>
  <c r="E8" s="1"/>
  <c r="FS1000" i="9"/>
  <c r="FS999"/>
  <c r="FS998"/>
  <c r="FS997"/>
  <c r="FS996"/>
  <c r="FS995"/>
  <c r="FS994"/>
  <c r="FS993"/>
  <c r="FS992"/>
  <c r="FS991"/>
  <c r="FS990"/>
  <c r="FS989"/>
  <c r="FS988"/>
  <c r="FS987"/>
  <c r="FS986"/>
  <c r="FS985"/>
  <c r="FS984"/>
  <c r="FS983"/>
  <c r="FS982"/>
  <c r="FS981"/>
  <c r="FS980"/>
  <c r="FS979"/>
  <c r="FS978"/>
  <c r="FS977"/>
  <c r="FS976"/>
  <c r="FS975"/>
  <c r="FS974"/>
  <c r="FS973"/>
  <c r="FS972"/>
  <c r="FS971"/>
  <c r="FS970"/>
  <c r="FS969"/>
  <c r="FS968"/>
  <c r="FS967"/>
  <c r="FS966"/>
  <c r="FS965"/>
  <c r="FS964"/>
  <c r="FS963"/>
  <c r="FS962"/>
  <c r="FS961"/>
  <c r="FS960"/>
  <c r="FS959"/>
  <c r="FS958"/>
  <c r="FS957"/>
  <c r="FS956"/>
  <c r="FS955"/>
  <c r="FS954"/>
  <c r="FS953"/>
  <c r="FS952"/>
  <c r="FS951"/>
  <c r="FS950"/>
  <c r="FS949"/>
  <c r="FS948"/>
  <c r="FS947"/>
  <c r="FS946"/>
  <c r="FS945"/>
  <c r="FS944"/>
  <c r="FS943"/>
  <c r="FS942"/>
  <c r="FS941"/>
  <c r="FS940"/>
  <c r="FS939"/>
  <c r="FS938"/>
  <c r="FS937"/>
  <c r="FS936"/>
  <c r="FS935"/>
  <c r="FS934"/>
  <c r="FS933"/>
  <c r="FS932"/>
  <c r="FS931"/>
  <c r="FS930"/>
  <c r="FS929"/>
  <c r="FS928"/>
  <c r="FS927"/>
  <c r="FS926"/>
  <c r="FS925"/>
  <c r="FS924"/>
  <c r="FS923"/>
  <c r="FS922"/>
  <c r="FS921"/>
  <c r="FS920"/>
  <c r="FS919"/>
  <c r="FS918"/>
  <c r="FS917"/>
  <c r="FS916"/>
  <c r="FS915"/>
  <c r="FS914"/>
  <c r="FS913"/>
  <c r="FS912"/>
  <c r="FS911"/>
  <c r="FS910"/>
  <c r="FS909"/>
  <c r="FS908"/>
  <c r="FS907"/>
  <c r="FS906"/>
  <c r="FS905"/>
  <c r="FS904"/>
  <c r="FS903"/>
  <c r="FS902"/>
  <c r="FS901"/>
  <c r="FS900"/>
  <c r="FS899"/>
  <c r="FS898"/>
  <c r="FS897"/>
  <c r="FS896"/>
  <c r="FS895"/>
  <c r="FS894"/>
  <c r="FS893"/>
  <c r="FS892"/>
  <c r="FS891"/>
  <c r="FS890"/>
  <c r="FS889"/>
  <c r="FS888"/>
  <c r="FS887"/>
  <c r="FS886"/>
  <c r="FS885"/>
  <c r="FS884"/>
  <c r="FS883"/>
  <c r="FS882"/>
  <c r="FS881"/>
  <c r="FS880"/>
  <c r="FS879"/>
  <c r="FS878"/>
  <c r="FS877"/>
  <c r="FS876"/>
  <c r="FS875"/>
  <c r="FS874"/>
  <c r="FS873"/>
  <c r="FS872"/>
  <c r="FS871"/>
  <c r="FS870"/>
  <c r="FS869"/>
  <c r="FS868"/>
  <c r="FS867"/>
  <c r="FS866"/>
  <c r="FS865"/>
  <c r="FS864"/>
  <c r="FS863"/>
  <c r="FS862"/>
  <c r="FS861"/>
  <c r="FS860"/>
  <c r="FS859"/>
  <c r="FS858"/>
  <c r="FS857"/>
  <c r="FS856"/>
  <c r="FS855"/>
  <c r="FS854"/>
  <c r="FS853"/>
  <c r="FS852"/>
  <c r="FS851"/>
  <c r="FS850"/>
  <c r="FS849"/>
  <c r="FS848"/>
  <c r="FS847"/>
  <c r="FS846"/>
  <c r="FS845"/>
  <c r="FS844"/>
  <c r="FS843"/>
  <c r="FS842"/>
  <c r="FS841"/>
  <c r="FS840"/>
  <c r="FS839"/>
  <c r="FS838"/>
  <c r="FS837"/>
  <c r="FS836"/>
  <c r="FS835"/>
  <c r="FS834"/>
  <c r="FS833"/>
  <c r="FS832"/>
  <c r="FS831"/>
  <c r="FS830"/>
  <c r="FS829"/>
  <c r="FS828"/>
  <c r="FS827"/>
  <c r="FS826"/>
  <c r="FS825"/>
  <c r="FS824"/>
  <c r="FS823"/>
  <c r="FS822"/>
  <c r="FS821"/>
  <c r="FS820"/>
  <c r="FS819"/>
  <c r="FS818"/>
  <c r="FS817"/>
  <c r="FS816"/>
  <c r="FS815"/>
  <c r="FS814"/>
  <c r="FS813"/>
  <c r="FS812"/>
  <c r="FS811"/>
  <c r="FS810"/>
  <c r="FS809"/>
  <c r="FS808"/>
  <c r="FS807"/>
  <c r="FS806"/>
  <c r="FS805"/>
  <c r="FS804"/>
  <c r="FS803"/>
  <c r="FS802"/>
  <c r="FS801"/>
  <c r="FS800"/>
  <c r="FS799"/>
  <c r="FS798"/>
  <c r="FS797"/>
  <c r="FS796"/>
  <c r="FS795"/>
  <c r="FS794"/>
  <c r="FS793"/>
  <c r="FS792"/>
  <c r="FS791"/>
  <c r="FS790"/>
  <c r="FS789"/>
  <c r="FS788"/>
  <c r="FS787"/>
  <c r="FS786"/>
  <c r="FS785"/>
  <c r="FS784"/>
  <c r="FS783"/>
  <c r="FS782"/>
  <c r="FS781"/>
  <c r="FS780"/>
  <c r="FS779"/>
  <c r="FS778"/>
  <c r="FS777"/>
  <c r="FS776"/>
  <c r="FS775"/>
  <c r="FS774"/>
  <c r="FS773"/>
  <c r="FS772"/>
  <c r="FS771"/>
  <c r="FS770"/>
  <c r="FS769"/>
  <c r="FS768"/>
  <c r="FS767"/>
  <c r="FS766"/>
  <c r="FS765"/>
  <c r="FS764"/>
  <c r="FS763"/>
  <c r="FS762"/>
  <c r="FS761"/>
  <c r="FS760"/>
  <c r="FS759"/>
  <c r="FS758"/>
  <c r="FS757"/>
  <c r="FS756"/>
  <c r="FS755"/>
  <c r="FS754"/>
  <c r="FS753"/>
  <c r="FS752"/>
  <c r="FS751"/>
  <c r="FS750"/>
  <c r="FS749"/>
  <c r="FS748"/>
  <c r="FS747"/>
  <c r="FS746"/>
  <c r="FS745"/>
  <c r="FS744"/>
  <c r="FS743"/>
  <c r="FS742"/>
  <c r="FS741"/>
  <c r="FS740"/>
  <c r="FS739"/>
  <c r="FS738"/>
  <c r="FS737"/>
  <c r="FS736"/>
  <c r="FS735"/>
  <c r="FS734"/>
  <c r="FS733"/>
  <c r="FS732"/>
  <c r="FS731"/>
  <c r="FS730"/>
  <c r="FS729"/>
  <c r="FS728"/>
  <c r="FS727"/>
  <c r="FS726"/>
  <c r="FS725"/>
  <c r="FS724"/>
  <c r="FS723"/>
  <c r="FS722"/>
  <c r="FS721"/>
  <c r="FS720"/>
  <c r="FS719"/>
  <c r="FS718"/>
  <c r="FS717"/>
  <c r="FS716"/>
  <c r="FS715"/>
  <c r="FS714"/>
  <c r="FS713"/>
  <c r="FS712"/>
  <c r="FS711"/>
  <c r="FS710"/>
  <c r="FS709"/>
  <c r="FS708"/>
  <c r="FS707"/>
  <c r="FS706"/>
  <c r="FS705"/>
  <c r="FS704"/>
  <c r="FS703"/>
  <c r="FS702"/>
  <c r="FS701"/>
  <c r="FS700"/>
  <c r="FS699"/>
  <c r="FS698"/>
  <c r="FS697"/>
  <c r="FS696"/>
  <c r="FS695"/>
  <c r="FS694"/>
  <c r="FS693"/>
  <c r="FS692"/>
  <c r="FS691"/>
  <c r="FS690"/>
  <c r="FS689"/>
  <c r="FS688"/>
  <c r="FS687"/>
  <c r="FS686"/>
  <c r="FS685"/>
  <c r="FS684"/>
  <c r="FS683"/>
  <c r="FS682"/>
  <c r="FS681"/>
  <c r="FS680"/>
  <c r="FS679"/>
  <c r="FS678"/>
  <c r="FS677"/>
  <c r="FS676"/>
  <c r="FS675"/>
  <c r="FS674"/>
  <c r="FS673"/>
  <c r="FS672"/>
  <c r="FS671"/>
  <c r="FS670"/>
  <c r="FS669"/>
  <c r="FS668"/>
  <c r="FS667"/>
  <c r="FS666"/>
  <c r="FS665"/>
  <c r="FS664"/>
  <c r="FS663"/>
  <c r="FS662"/>
  <c r="FS661"/>
  <c r="FS660"/>
  <c r="FS659"/>
  <c r="FS658"/>
  <c r="FS657"/>
  <c r="FS656"/>
  <c r="FS655"/>
  <c r="FS654"/>
  <c r="FS653"/>
  <c r="FS652"/>
  <c r="FS651"/>
  <c r="FS650"/>
  <c r="FS649"/>
  <c r="FS648"/>
  <c r="FS647"/>
  <c r="FS646"/>
  <c r="FS645"/>
  <c r="FS644"/>
  <c r="FS643"/>
  <c r="FS642"/>
  <c r="FS641"/>
  <c r="FS640"/>
  <c r="FS639"/>
  <c r="FS638"/>
  <c r="FS637"/>
  <c r="FS636"/>
  <c r="FS635"/>
  <c r="FS634"/>
  <c r="FS633"/>
  <c r="FS632"/>
  <c r="FS631"/>
  <c r="FS630"/>
  <c r="FS629"/>
  <c r="FS628"/>
  <c r="FS627"/>
  <c r="FS626"/>
  <c r="FS625"/>
  <c r="FS624"/>
  <c r="FS623"/>
  <c r="FS622"/>
  <c r="FS621"/>
  <c r="FS620"/>
  <c r="FS619"/>
  <c r="FS618"/>
  <c r="FS617"/>
  <c r="FS616"/>
  <c r="FS615"/>
  <c r="FS614"/>
  <c r="FS613"/>
  <c r="FS612"/>
  <c r="FS611"/>
  <c r="FS610"/>
  <c r="FS609"/>
  <c r="FS608"/>
  <c r="FS607"/>
  <c r="FS606"/>
  <c r="FS605"/>
  <c r="FS604"/>
  <c r="FS603"/>
  <c r="FS602"/>
  <c r="FS601"/>
  <c r="FS600"/>
  <c r="FS599"/>
  <c r="FS598"/>
  <c r="FS597"/>
  <c r="FS596"/>
  <c r="FS595"/>
  <c r="FS594"/>
  <c r="FS593"/>
  <c r="FS592"/>
  <c r="FS591"/>
  <c r="FS590"/>
  <c r="FS589"/>
  <c r="FS588"/>
  <c r="FS587"/>
  <c r="FS586"/>
  <c r="FS585"/>
  <c r="FS584"/>
  <c r="FS583"/>
  <c r="FS582"/>
  <c r="FS581"/>
  <c r="FS580"/>
  <c r="FS579"/>
  <c r="FS578"/>
  <c r="FS577"/>
  <c r="FS576"/>
  <c r="FS575"/>
  <c r="FS574"/>
  <c r="FS573"/>
  <c r="FS572"/>
  <c r="FS571"/>
  <c r="FS570"/>
  <c r="FS569"/>
  <c r="FS568"/>
  <c r="FS567"/>
  <c r="FS566"/>
  <c r="FS565"/>
  <c r="FS564"/>
  <c r="FS563"/>
  <c r="FS562"/>
  <c r="FS561"/>
  <c r="FS560"/>
  <c r="FS559"/>
  <c r="FS558"/>
  <c r="FS557"/>
  <c r="FS556"/>
  <c r="FS555"/>
  <c r="FS554"/>
  <c r="FS553"/>
  <c r="FS552"/>
  <c r="FS551"/>
  <c r="FS550"/>
  <c r="FS549"/>
  <c r="FS548"/>
  <c r="FS547"/>
  <c r="FS546"/>
  <c r="FS545"/>
  <c r="FS544"/>
  <c r="FS543"/>
  <c r="FS542"/>
  <c r="FS541"/>
  <c r="FS540"/>
  <c r="FS539"/>
  <c r="FS538"/>
  <c r="FS537"/>
  <c r="FS536"/>
  <c r="FS535"/>
  <c r="FS534"/>
  <c r="FS533"/>
  <c r="FS532"/>
  <c r="FS531"/>
  <c r="FS530"/>
  <c r="FS529"/>
  <c r="FS528"/>
  <c r="FS527"/>
  <c r="FS526"/>
  <c r="FS525"/>
  <c r="FS524"/>
  <c r="FS523"/>
  <c r="FS522"/>
  <c r="FS521"/>
  <c r="FS520"/>
  <c r="FS519"/>
  <c r="FS518"/>
  <c r="FS517"/>
  <c r="FS516"/>
  <c r="FS515"/>
  <c r="FS514"/>
  <c r="FS513"/>
  <c r="FS512"/>
  <c r="FS511"/>
  <c r="FS510"/>
  <c r="FS509"/>
  <c r="FS508"/>
  <c r="FS507"/>
  <c r="FS506"/>
  <c r="FS505"/>
  <c r="FS504"/>
  <c r="FS503"/>
  <c r="FS502"/>
  <c r="FS501"/>
  <c r="FS500"/>
  <c r="FS499"/>
  <c r="FS498"/>
  <c r="FS497"/>
  <c r="FS496"/>
  <c r="FS495"/>
  <c r="FS494"/>
  <c r="FS493"/>
  <c r="FS492"/>
  <c r="FS491"/>
  <c r="FS490"/>
  <c r="FS489"/>
  <c r="FS488"/>
  <c r="FS487"/>
  <c r="FS486"/>
  <c r="FS485"/>
  <c r="FS484"/>
  <c r="FS483"/>
  <c r="FS482"/>
  <c r="FS481"/>
  <c r="FS480"/>
  <c r="FS479"/>
  <c r="FS478"/>
  <c r="FS477"/>
  <c r="FS476"/>
  <c r="FS475"/>
  <c r="FS474"/>
  <c r="FS473"/>
  <c r="FS472"/>
  <c r="FS471"/>
  <c r="FS470"/>
  <c r="FS469"/>
  <c r="FS468"/>
  <c r="FS467"/>
  <c r="FS466"/>
  <c r="FS465"/>
  <c r="FS464"/>
  <c r="FS463"/>
  <c r="FS462"/>
  <c r="FS461"/>
  <c r="FS460"/>
  <c r="FS459"/>
  <c r="FS458"/>
  <c r="FS457"/>
  <c r="FS456"/>
  <c r="FS455"/>
  <c r="FS454"/>
  <c r="FS453"/>
  <c r="FS452"/>
  <c r="FS451"/>
  <c r="FS450"/>
  <c r="FS449"/>
  <c r="FS448"/>
  <c r="FS447"/>
  <c r="FS446"/>
  <c r="FS445"/>
  <c r="FS444"/>
  <c r="FS443"/>
  <c r="FS442"/>
  <c r="FS441"/>
  <c r="FS440"/>
  <c r="FS439"/>
  <c r="FS438"/>
  <c r="FS437"/>
  <c r="FS436"/>
  <c r="FS435"/>
  <c r="FS434"/>
  <c r="FS433"/>
  <c r="FS432"/>
  <c r="FS431"/>
  <c r="FS430"/>
  <c r="FS429"/>
  <c r="FS428"/>
  <c r="FS427"/>
  <c r="FS426"/>
  <c r="FS425"/>
  <c r="FS424"/>
  <c r="FS423"/>
  <c r="FS422"/>
  <c r="FS421"/>
  <c r="FS420"/>
  <c r="FS419"/>
  <c r="FS418"/>
  <c r="FS417"/>
  <c r="FS416"/>
  <c r="FS415"/>
  <c r="FS414"/>
  <c r="FS413"/>
  <c r="FS412"/>
  <c r="FS411"/>
  <c r="FS410"/>
  <c r="FS409"/>
  <c r="FS408"/>
  <c r="FS407"/>
  <c r="FS406"/>
  <c r="FS405"/>
  <c r="FS404"/>
  <c r="FS403"/>
  <c r="FS402"/>
  <c r="FS401"/>
  <c r="FS400"/>
  <c r="FS399"/>
  <c r="FS398"/>
  <c r="FS397"/>
  <c r="FS396"/>
  <c r="FS395"/>
  <c r="FS394"/>
  <c r="FS393"/>
  <c r="FS392"/>
  <c r="FS391"/>
  <c r="FS390"/>
  <c r="FS389"/>
  <c r="FS388"/>
  <c r="FS387"/>
  <c r="FS386"/>
  <c r="FS385"/>
  <c r="FS384"/>
  <c r="FS383"/>
  <c r="FS382"/>
  <c r="FS381"/>
  <c r="FS380"/>
  <c r="FS379"/>
  <c r="FS378"/>
  <c r="FS377"/>
  <c r="FS376"/>
  <c r="FS375"/>
  <c r="FS374"/>
  <c r="FS373"/>
  <c r="FS372"/>
  <c r="FS371"/>
  <c r="FS370"/>
  <c r="FS369"/>
  <c r="FS368"/>
  <c r="FS367"/>
  <c r="FS366"/>
  <c r="FS365"/>
  <c r="FS364"/>
  <c r="FS363"/>
  <c r="FS362"/>
  <c r="FS361"/>
  <c r="FS360"/>
  <c r="FS359"/>
  <c r="FS358"/>
  <c r="FS357"/>
  <c r="FS356"/>
  <c r="FS355"/>
  <c r="FS354"/>
  <c r="FS353"/>
  <c r="FS352"/>
  <c r="FS351"/>
  <c r="FS350"/>
  <c r="FS349"/>
  <c r="FS348"/>
  <c r="FS347"/>
  <c r="FS346"/>
  <c r="FS345"/>
  <c r="FS344"/>
  <c r="FS343"/>
  <c r="FS342"/>
  <c r="FS341"/>
  <c r="FS340"/>
  <c r="FS339"/>
  <c r="FS338"/>
  <c r="FS337"/>
  <c r="FS336"/>
  <c r="FS335"/>
  <c r="FS334"/>
  <c r="FS333"/>
  <c r="FS332"/>
  <c r="FS331"/>
  <c r="FS330"/>
  <c r="FS329"/>
  <c r="FS328"/>
  <c r="FS327"/>
  <c r="FS326"/>
  <c r="FS325"/>
  <c r="FS324"/>
  <c r="FS323"/>
  <c r="FS322"/>
  <c r="FS321"/>
  <c r="FS320"/>
  <c r="FS319"/>
  <c r="FS318"/>
  <c r="FS317"/>
  <c r="FS316"/>
  <c r="FS315"/>
  <c r="FS314"/>
  <c r="FS313"/>
  <c r="FS312"/>
  <c r="FS311"/>
  <c r="FS310"/>
  <c r="FS309"/>
  <c r="FS308"/>
  <c r="FS307"/>
  <c r="FS306"/>
  <c r="FS305"/>
  <c r="FS304"/>
  <c r="FS303"/>
  <c r="FS302"/>
  <c r="FS301"/>
  <c r="FS300"/>
  <c r="FS299"/>
  <c r="FS298"/>
  <c r="FS297"/>
  <c r="FS296"/>
  <c r="FS295"/>
  <c r="FS294"/>
  <c r="FS293"/>
  <c r="FS292"/>
  <c r="FS291"/>
  <c r="FS290"/>
  <c r="FS289"/>
  <c r="FS288"/>
  <c r="FS287"/>
  <c r="FS286"/>
  <c r="FS285"/>
  <c r="FS284"/>
  <c r="FS283"/>
  <c r="FS282"/>
  <c r="FS281"/>
  <c r="FS280"/>
  <c r="FS279"/>
  <c r="FS278"/>
  <c r="FS277"/>
  <c r="FS276"/>
  <c r="FS275"/>
  <c r="FS274"/>
  <c r="FS273"/>
  <c r="FS272"/>
  <c r="FS271"/>
  <c r="FS270"/>
  <c r="FS269"/>
  <c r="FS268"/>
  <c r="FS267"/>
  <c r="FS266"/>
  <c r="FS265"/>
  <c r="FS264"/>
  <c r="FS263"/>
  <c r="FS262"/>
  <c r="FS261"/>
  <c r="FS260"/>
  <c r="FS259"/>
  <c r="FS258"/>
  <c r="FS257"/>
  <c r="FS256"/>
  <c r="FS255"/>
  <c r="FS254"/>
  <c r="FS253"/>
  <c r="FS252"/>
  <c r="FS251"/>
  <c r="FS250"/>
  <c r="FS249"/>
  <c r="FS248"/>
  <c r="FS247"/>
  <c r="FS246"/>
  <c r="FS245"/>
  <c r="FS244"/>
  <c r="FS243"/>
  <c r="FS242"/>
  <c r="FS241"/>
  <c r="FS240"/>
  <c r="FS239"/>
  <c r="FS238"/>
  <c r="FS237"/>
  <c r="FS236"/>
  <c r="FS235"/>
  <c r="FS234"/>
  <c r="FS233"/>
  <c r="FS232"/>
  <c r="FS231"/>
  <c r="FS230"/>
  <c r="FS229"/>
  <c r="FS228"/>
  <c r="FS227"/>
  <c r="FS226"/>
  <c r="FS225"/>
  <c r="FS224"/>
  <c r="FS223"/>
  <c r="FS222"/>
  <c r="FS221"/>
  <c r="FS220"/>
  <c r="FS219"/>
  <c r="FS218"/>
  <c r="FS217"/>
  <c r="FS216"/>
  <c r="FS215"/>
  <c r="FS214"/>
  <c r="FS213"/>
  <c r="FS212"/>
  <c r="FS211"/>
  <c r="FS210"/>
  <c r="FS209"/>
  <c r="FS208"/>
  <c r="FS207"/>
  <c r="FS206"/>
  <c r="FS205"/>
  <c r="FS204"/>
  <c r="FS203"/>
  <c r="FS202"/>
  <c r="FS201"/>
  <c r="FS200"/>
  <c r="FS199"/>
  <c r="FS198"/>
  <c r="FS197"/>
  <c r="FS196"/>
  <c r="FS195"/>
  <c r="FS194"/>
  <c r="FS193"/>
  <c r="FS192"/>
  <c r="FS191"/>
  <c r="FS190"/>
  <c r="FS189"/>
  <c r="FS188"/>
  <c r="FS187"/>
  <c r="FS186"/>
  <c r="FS185"/>
  <c r="FS184"/>
  <c r="FS183"/>
  <c r="FS182"/>
  <c r="FS181"/>
  <c r="FS180"/>
  <c r="FS179"/>
  <c r="FS178"/>
  <c r="FS177"/>
  <c r="FS176"/>
  <c r="FS175"/>
  <c r="FS174"/>
  <c r="FS173"/>
  <c r="FS172"/>
  <c r="FS171"/>
  <c r="FS170"/>
  <c r="FS169"/>
  <c r="FS168"/>
  <c r="FS167"/>
  <c r="FS166"/>
  <c r="FS165"/>
  <c r="FS164"/>
  <c r="FS163"/>
  <c r="FS162"/>
  <c r="FS161"/>
  <c r="FS160"/>
  <c r="FS159"/>
  <c r="FS158"/>
  <c r="FS157"/>
  <c r="FS156"/>
  <c r="FS155"/>
  <c r="FS154"/>
  <c r="FS153"/>
  <c r="FS152"/>
  <c r="FS151"/>
  <c r="FS150"/>
  <c r="FS149"/>
  <c r="FS148"/>
  <c r="FS147"/>
  <c r="FS146"/>
  <c r="FS145"/>
  <c r="FS144"/>
  <c r="FS143"/>
  <c r="FS142"/>
  <c r="FS141"/>
  <c r="FS140"/>
  <c r="FS139"/>
  <c r="FS138"/>
  <c r="FS137"/>
  <c r="FS136"/>
  <c r="FS135"/>
  <c r="FS134"/>
  <c r="FS133"/>
  <c r="FS132"/>
  <c r="FS131"/>
  <c r="FS130"/>
  <c r="FS129"/>
  <c r="FS128"/>
  <c r="FS127"/>
  <c r="FS126"/>
  <c r="FS125"/>
  <c r="FS124"/>
  <c r="FS123"/>
  <c r="FS122"/>
  <c r="FS121"/>
  <c r="FS120"/>
  <c r="FS119"/>
  <c r="FS118"/>
  <c r="FS117"/>
  <c r="FS116"/>
  <c r="FS115"/>
  <c r="FS114"/>
  <c r="FS113"/>
  <c r="FS112"/>
  <c r="FS111"/>
  <c r="FS110"/>
  <c r="FS109"/>
  <c r="FS108"/>
  <c r="FS107"/>
  <c r="FS106"/>
  <c r="FS105"/>
  <c r="FS104"/>
  <c r="FS103"/>
  <c r="FS102"/>
  <c r="FS101"/>
  <c r="FS100"/>
  <c r="FS99"/>
  <c r="FS98"/>
  <c r="FS97"/>
  <c r="FS96"/>
  <c r="FS95"/>
  <c r="FS94"/>
  <c r="FS93"/>
  <c r="FS92"/>
  <c r="FS91"/>
  <c r="FS90"/>
  <c r="FS89"/>
  <c r="FS88"/>
  <c r="FS87"/>
  <c r="FS86"/>
  <c r="FS85"/>
  <c r="FS84"/>
  <c r="FS83"/>
  <c r="FS82"/>
  <c r="FS81"/>
  <c r="FS80"/>
  <c r="FS79"/>
  <c r="FS78"/>
  <c r="FS77"/>
  <c r="FS76"/>
  <c r="FS75"/>
  <c r="FS74"/>
  <c r="FS73"/>
  <c r="FS72"/>
  <c r="FS71"/>
  <c r="FS70"/>
  <c r="FS69"/>
  <c r="FS68"/>
  <c r="FS67"/>
  <c r="FS66"/>
  <c r="FS65"/>
  <c r="FS64"/>
  <c r="FS63"/>
  <c r="FS62"/>
  <c r="FS61"/>
  <c r="FS60"/>
  <c r="FS59"/>
  <c r="FS58"/>
  <c r="FS57"/>
  <c r="FS56"/>
  <c r="FS55"/>
  <c r="FS54"/>
  <c r="FS53"/>
  <c r="FS52"/>
  <c r="FS51"/>
  <c r="FS50"/>
  <c r="FS49"/>
  <c r="FS48"/>
  <c r="FS47"/>
  <c r="FS46"/>
  <c r="FS45"/>
  <c r="FS44"/>
  <c r="FS43"/>
  <c r="FS42"/>
  <c r="FS41"/>
  <c r="FS40"/>
  <c r="FS39"/>
  <c r="FS38"/>
  <c r="FS37"/>
  <c r="FS36"/>
  <c r="FS35"/>
  <c r="FS34"/>
  <c r="FS33"/>
  <c r="FS32"/>
  <c r="E17" i="1" a="1"/>
  <c r="E15"/>
  <c r="E3"/>
  <c r="E2"/>
  <c r="AJ15" i="3"/>
  <c r="AJ4"/>
  <c r="AJ8"/>
  <c r="AJ9"/>
  <c r="AJ17"/>
  <c r="AJ11"/>
  <c r="AJ13"/>
  <c r="AJ7"/>
  <c r="AJ16"/>
  <c r="AJ14"/>
  <c r="AJ10"/>
  <c r="AJ5"/>
  <c r="AJ12"/>
  <c r="AJ6"/>
  <c r="E17" i="1" l="1"/>
  <c r="E16" a="1"/>
  <c r="E16" s="1"/>
  <c r="E18" a="1"/>
  <c r="E18" s="1"/>
  <c r="AJ3" i="3"/>
  <c r="S3" i="14" l="1"/>
  <c r="E26" i="11"/>
  <c r="E1001" i="6" l="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1" l="1"/>
  <c r="L111" i="1"/>
  <c r="L116"/>
  <c r="I116"/>
  <c r="H116"/>
  <c r="D116"/>
  <c r="K111"/>
  <c r="H111"/>
  <c r="G111"/>
  <c r="F111"/>
  <c r="E111"/>
  <c r="D111"/>
  <c r="H110"/>
  <c r="G110"/>
  <c r="E110"/>
  <c r="F110" s="1"/>
  <c r="D110"/>
  <c r="H109"/>
  <c r="G109"/>
  <c r="E109"/>
  <c r="D109"/>
  <c r="H108"/>
  <c r="G108"/>
  <c r="E108"/>
  <c r="D108"/>
  <c r="K107"/>
  <c r="H107"/>
  <c r="G107"/>
  <c r="F107"/>
  <c r="E107"/>
  <c r="D107"/>
  <c r="K106"/>
  <c r="H106"/>
  <c r="G106"/>
  <c r="F106"/>
  <c r="E106"/>
  <c r="D106"/>
  <c r="H105"/>
  <c r="G105"/>
  <c r="E105"/>
  <c r="F105" s="1"/>
  <c r="D105"/>
  <c r="H104"/>
  <c r="G104"/>
  <c r="E104"/>
  <c r="F104" s="1"/>
  <c r="D104"/>
  <c r="H103"/>
  <c r="G103"/>
  <c r="E103"/>
  <c r="D103"/>
  <c r="H102"/>
  <c r="G102"/>
  <c r="E102"/>
  <c r="D102"/>
  <c r="H101"/>
  <c r="G101"/>
  <c r="E101"/>
  <c r="D101"/>
  <c r="E100"/>
  <c r="H100"/>
  <c r="G100"/>
  <c r="D100"/>
  <c r="C1001" i="6"/>
  <c r="B1001"/>
  <c r="C1000"/>
  <c r="B1000"/>
  <c r="C999"/>
  <c r="B999"/>
  <c r="C998"/>
  <c r="B998"/>
  <c r="C997"/>
  <c r="B997"/>
  <c r="C996"/>
  <c r="B996"/>
  <c r="C995"/>
  <c r="B995"/>
  <c r="C994"/>
  <c r="B994"/>
  <c r="C993"/>
  <c r="B993"/>
  <c r="C992"/>
  <c r="B992"/>
  <c r="C991"/>
  <c r="B991"/>
  <c r="C990"/>
  <c r="B990"/>
  <c r="C989"/>
  <c r="B989"/>
  <c r="C988"/>
  <c r="B988"/>
  <c r="C987"/>
  <c r="B987"/>
  <c r="C986"/>
  <c r="B986"/>
  <c r="C985"/>
  <c r="B985"/>
  <c r="C984"/>
  <c r="B984"/>
  <c r="C983"/>
  <c r="B983"/>
  <c r="C982"/>
  <c r="B982"/>
  <c r="C981"/>
  <c r="B981"/>
  <c r="C980"/>
  <c r="B980"/>
  <c r="C979"/>
  <c r="B979"/>
  <c r="C978"/>
  <c r="B978"/>
  <c r="C977"/>
  <c r="B977"/>
  <c r="C976"/>
  <c r="B976"/>
  <c r="C975"/>
  <c r="B975"/>
  <c r="C974"/>
  <c r="B974"/>
  <c r="C973"/>
  <c r="B973"/>
  <c r="C972"/>
  <c r="B972"/>
  <c r="C971"/>
  <c r="B971"/>
  <c r="C970"/>
  <c r="B970"/>
  <c r="C969"/>
  <c r="B969"/>
  <c r="C968"/>
  <c r="B968"/>
  <c r="C967"/>
  <c r="B967"/>
  <c r="C966"/>
  <c r="B966"/>
  <c r="C965"/>
  <c r="B965"/>
  <c r="C964"/>
  <c r="B964"/>
  <c r="C963"/>
  <c r="B963"/>
  <c r="C962"/>
  <c r="B962"/>
  <c r="C961"/>
  <c r="B961"/>
  <c r="C960"/>
  <c r="B960"/>
  <c r="C959"/>
  <c r="B959"/>
  <c r="C958"/>
  <c r="B958"/>
  <c r="C957"/>
  <c r="B957"/>
  <c r="C956"/>
  <c r="B956"/>
  <c r="C955"/>
  <c r="B955"/>
  <c r="C954"/>
  <c r="B954"/>
  <c r="C953"/>
  <c r="B953"/>
  <c r="C952"/>
  <c r="B952"/>
  <c r="C951"/>
  <c r="B951"/>
  <c r="C950"/>
  <c r="B950"/>
  <c r="C949"/>
  <c r="B949"/>
  <c r="C948"/>
  <c r="B948"/>
  <c r="C947"/>
  <c r="B947"/>
  <c r="C946"/>
  <c r="B946"/>
  <c r="C945"/>
  <c r="B945"/>
  <c r="C944"/>
  <c r="B944"/>
  <c r="C943"/>
  <c r="B943"/>
  <c r="C942"/>
  <c r="B942"/>
  <c r="C941"/>
  <c r="B941"/>
  <c r="C940"/>
  <c r="B940"/>
  <c r="C939"/>
  <c r="B939"/>
  <c r="C938"/>
  <c r="B938"/>
  <c r="C937"/>
  <c r="B937"/>
  <c r="C936"/>
  <c r="B936"/>
  <c r="C935"/>
  <c r="B935"/>
  <c r="C934"/>
  <c r="B934"/>
  <c r="C933"/>
  <c r="B933"/>
  <c r="C932"/>
  <c r="B932"/>
  <c r="C931"/>
  <c r="B931"/>
  <c r="C930"/>
  <c r="B930"/>
  <c r="C929"/>
  <c r="B929"/>
  <c r="C928"/>
  <c r="B928"/>
  <c r="C927"/>
  <c r="B927"/>
  <c r="C926"/>
  <c r="B926"/>
  <c r="C925"/>
  <c r="B925"/>
  <c r="C924"/>
  <c r="B924"/>
  <c r="C923"/>
  <c r="B923"/>
  <c r="C922"/>
  <c r="B922"/>
  <c r="C921"/>
  <c r="B921"/>
  <c r="C920"/>
  <c r="B920"/>
  <c r="C919"/>
  <c r="B919"/>
  <c r="C918"/>
  <c r="B918"/>
  <c r="C917"/>
  <c r="B917"/>
  <c r="C916"/>
  <c r="B916"/>
  <c r="C915"/>
  <c r="B915"/>
  <c r="C914"/>
  <c r="B914"/>
  <c r="C913"/>
  <c r="B913"/>
  <c r="C912"/>
  <c r="B912"/>
  <c r="C911"/>
  <c r="B911"/>
  <c r="C910"/>
  <c r="B910"/>
  <c r="C909"/>
  <c r="B909"/>
  <c r="C908"/>
  <c r="B908"/>
  <c r="C907"/>
  <c r="B907"/>
  <c r="C906"/>
  <c r="B906"/>
  <c r="C905"/>
  <c r="B905"/>
  <c r="C904"/>
  <c r="B904"/>
  <c r="C903"/>
  <c r="B903"/>
  <c r="C902"/>
  <c r="B902"/>
  <c r="C901"/>
  <c r="B901"/>
  <c r="C900"/>
  <c r="B900"/>
  <c r="C899"/>
  <c r="B899"/>
  <c r="C898"/>
  <c r="B898"/>
  <c r="C897"/>
  <c r="B897"/>
  <c r="C896"/>
  <c r="B896"/>
  <c r="C895"/>
  <c r="B895"/>
  <c r="C894"/>
  <c r="B894"/>
  <c r="C893"/>
  <c r="B893"/>
  <c r="C892"/>
  <c r="B892"/>
  <c r="C891"/>
  <c r="B891"/>
  <c r="C890"/>
  <c r="B890"/>
  <c r="C889"/>
  <c r="B889"/>
  <c r="C888"/>
  <c r="B888"/>
  <c r="C887"/>
  <c r="B887"/>
  <c r="C886"/>
  <c r="B886"/>
  <c r="C885"/>
  <c r="B885"/>
  <c r="C884"/>
  <c r="B884"/>
  <c r="C883"/>
  <c r="B883"/>
  <c r="C882"/>
  <c r="B882"/>
  <c r="C881"/>
  <c r="B881"/>
  <c r="C880"/>
  <c r="B880"/>
  <c r="C879"/>
  <c r="B879"/>
  <c r="C878"/>
  <c r="B878"/>
  <c r="C877"/>
  <c r="B877"/>
  <c r="C876"/>
  <c r="B876"/>
  <c r="C875"/>
  <c r="B875"/>
  <c r="C874"/>
  <c r="B874"/>
  <c r="C873"/>
  <c r="B873"/>
  <c r="C872"/>
  <c r="B872"/>
  <c r="C871"/>
  <c r="B871"/>
  <c r="C870"/>
  <c r="B870"/>
  <c r="C869"/>
  <c r="B869"/>
  <c r="C868"/>
  <c r="B868"/>
  <c r="C867"/>
  <c r="B867"/>
  <c r="C866"/>
  <c r="B866"/>
  <c r="C865"/>
  <c r="B865"/>
  <c r="C864"/>
  <c r="B864"/>
  <c r="C863"/>
  <c r="B863"/>
  <c r="C862"/>
  <c r="B862"/>
  <c r="C861"/>
  <c r="B861"/>
  <c r="C860"/>
  <c r="B860"/>
  <c r="C859"/>
  <c r="B859"/>
  <c r="C858"/>
  <c r="B858"/>
  <c r="C857"/>
  <c r="B857"/>
  <c r="C856"/>
  <c r="B856"/>
  <c r="C855"/>
  <c r="B855"/>
  <c r="C854"/>
  <c r="B854"/>
  <c r="C853"/>
  <c r="B853"/>
  <c r="C852"/>
  <c r="B852"/>
  <c r="C851"/>
  <c r="B851"/>
  <c r="C850"/>
  <c r="B850"/>
  <c r="C849"/>
  <c r="B849"/>
  <c r="C848"/>
  <c r="B848"/>
  <c r="C847"/>
  <c r="B847"/>
  <c r="C846"/>
  <c r="B846"/>
  <c r="C845"/>
  <c r="B845"/>
  <c r="C844"/>
  <c r="B844"/>
  <c r="C843"/>
  <c r="B843"/>
  <c r="C842"/>
  <c r="B842"/>
  <c r="C841"/>
  <c r="B841"/>
  <c r="C840"/>
  <c r="B840"/>
  <c r="C839"/>
  <c r="B839"/>
  <c r="C838"/>
  <c r="B838"/>
  <c r="C837"/>
  <c r="B837"/>
  <c r="C836"/>
  <c r="B836"/>
  <c r="C835"/>
  <c r="B835"/>
  <c r="C834"/>
  <c r="B834"/>
  <c r="C833"/>
  <c r="B833"/>
  <c r="C832"/>
  <c r="B832"/>
  <c r="C831"/>
  <c r="B831"/>
  <c r="C830"/>
  <c r="B830"/>
  <c r="C829"/>
  <c r="B829"/>
  <c r="C828"/>
  <c r="B828"/>
  <c r="C827"/>
  <c r="B827"/>
  <c r="C826"/>
  <c r="B826"/>
  <c r="C825"/>
  <c r="B825"/>
  <c r="C824"/>
  <c r="B824"/>
  <c r="C823"/>
  <c r="B823"/>
  <c r="C822"/>
  <c r="B822"/>
  <c r="C821"/>
  <c r="B821"/>
  <c r="C820"/>
  <c r="B820"/>
  <c r="C819"/>
  <c r="B819"/>
  <c r="C818"/>
  <c r="B818"/>
  <c r="C817"/>
  <c r="B817"/>
  <c r="C816"/>
  <c r="B816"/>
  <c r="C815"/>
  <c r="B815"/>
  <c r="C814"/>
  <c r="B814"/>
  <c r="C813"/>
  <c r="B813"/>
  <c r="C812"/>
  <c r="B812"/>
  <c r="C811"/>
  <c r="B811"/>
  <c r="C810"/>
  <c r="B810"/>
  <c r="C809"/>
  <c r="B809"/>
  <c r="C808"/>
  <c r="B808"/>
  <c r="C807"/>
  <c r="B807"/>
  <c r="C806"/>
  <c r="B806"/>
  <c r="C805"/>
  <c r="B805"/>
  <c r="C804"/>
  <c r="B804"/>
  <c r="C803"/>
  <c r="B803"/>
  <c r="C802"/>
  <c r="B802"/>
  <c r="C801"/>
  <c r="B801"/>
  <c r="C800"/>
  <c r="B800"/>
  <c r="C799"/>
  <c r="B799"/>
  <c r="C798"/>
  <c r="B798"/>
  <c r="C797"/>
  <c r="B797"/>
  <c r="C796"/>
  <c r="B796"/>
  <c r="C795"/>
  <c r="B795"/>
  <c r="C794"/>
  <c r="B794"/>
  <c r="C793"/>
  <c r="B793"/>
  <c r="C792"/>
  <c r="B792"/>
  <c r="C791"/>
  <c r="B791"/>
  <c r="C790"/>
  <c r="B790"/>
  <c r="C789"/>
  <c r="B789"/>
  <c r="C788"/>
  <c r="B788"/>
  <c r="C787"/>
  <c r="B787"/>
  <c r="C786"/>
  <c r="B786"/>
  <c r="C785"/>
  <c r="B785"/>
  <c r="C784"/>
  <c r="B784"/>
  <c r="C783"/>
  <c r="B783"/>
  <c r="C782"/>
  <c r="B782"/>
  <c r="C781"/>
  <c r="B781"/>
  <c r="C780"/>
  <c r="B780"/>
  <c r="C779"/>
  <c r="B779"/>
  <c r="C778"/>
  <c r="B778"/>
  <c r="C777"/>
  <c r="B777"/>
  <c r="C776"/>
  <c r="B776"/>
  <c r="C775"/>
  <c r="B775"/>
  <c r="C774"/>
  <c r="B774"/>
  <c r="C773"/>
  <c r="B773"/>
  <c r="C772"/>
  <c r="B772"/>
  <c r="C771"/>
  <c r="B771"/>
  <c r="C770"/>
  <c r="B770"/>
  <c r="C769"/>
  <c r="B769"/>
  <c r="C768"/>
  <c r="B768"/>
  <c r="C767"/>
  <c r="B767"/>
  <c r="C766"/>
  <c r="B766"/>
  <c r="C765"/>
  <c r="B765"/>
  <c r="C764"/>
  <c r="B764"/>
  <c r="C763"/>
  <c r="B763"/>
  <c r="C762"/>
  <c r="B762"/>
  <c r="C761"/>
  <c r="B761"/>
  <c r="C760"/>
  <c r="B760"/>
  <c r="C759"/>
  <c r="B759"/>
  <c r="C758"/>
  <c r="B758"/>
  <c r="C757"/>
  <c r="B757"/>
  <c r="C756"/>
  <c r="B756"/>
  <c r="C755"/>
  <c r="B755"/>
  <c r="C754"/>
  <c r="B754"/>
  <c r="C753"/>
  <c r="B753"/>
  <c r="C752"/>
  <c r="B752"/>
  <c r="C751"/>
  <c r="B751"/>
  <c r="C750"/>
  <c r="B750"/>
  <c r="C749"/>
  <c r="B749"/>
  <c r="C748"/>
  <c r="B748"/>
  <c r="C747"/>
  <c r="B747"/>
  <c r="C746"/>
  <c r="B746"/>
  <c r="C745"/>
  <c r="B745"/>
  <c r="C744"/>
  <c r="B744"/>
  <c r="C743"/>
  <c r="B743"/>
  <c r="C742"/>
  <c r="B742"/>
  <c r="C741"/>
  <c r="B741"/>
  <c r="C740"/>
  <c r="B740"/>
  <c r="C739"/>
  <c r="B739"/>
  <c r="C738"/>
  <c r="B738"/>
  <c r="C737"/>
  <c r="B737"/>
  <c r="C736"/>
  <c r="B736"/>
  <c r="C735"/>
  <c r="B735"/>
  <c r="C734"/>
  <c r="B734"/>
  <c r="C733"/>
  <c r="B733"/>
  <c r="C732"/>
  <c r="B732"/>
  <c r="C731"/>
  <c r="B731"/>
  <c r="C730"/>
  <c r="B730"/>
  <c r="C729"/>
  <c r="B729"/>
  <c r="C728"/>
  <c r="B728"/>
  <c r="C727"/>
  <c r="B727"/>
  <c r="C726"/>
  <c r="B726"/>
  <c r="C725"/>
  <c r="B725"/>
  <c r="C724"/>
  <c r="B724"/>
  <c r="C723"/>
  <c r="B723"/>
  <c r="C722"/>
  <c r="B722"/>
  <c r="C721"/>
  <c r="B721"/>
  <c r="C720"/>
  <c r="B720"/>
  <c r="C719"/>
  <c r="B719"/>
  <c r="C718"/>
  <c r="B718"/>
  <c r="C717"/>
  <c r="B717"/>
  <c r="C716"/>
  <c r="B716"/>
  <c r="C715"/>
  <c r="B715"/>
  <c r="C714"/>
  <c r="B714"/>
  <c r="C713"/>
  <c r="B713"/>
  <c r="C712"/>
  <c r="B712"/>
  <c r="C711"/>
  <c r="B711"/>
  <c r="C710"/>
  <c r="B710"/>
  <c r="C709"/>
  <c r="B709"/>
  <c r="C708"/>
  <c r="B708"/>
  <c r="C707"/>
  <c r="B707"/>
  <c r="C706"/>
  <c r="B706"/>
  <c r="C705"/>
  <c r="B705"/>
  <c r="C704"/>
  <c r="B704"/>
  <c r="C703"/>
  <c r="B703"/>
  <c r="C702"/>
  <c r="B702"/>
  <c r="C701"/>
  <c r="B701"/>
  <c r="C700"/>
  <c r="B700"/>
  <c r="C699"/>
  <c r="B699"/>
  <c r="C698"/>
  <c r="B698"/>
  <c r="C697"/>
  <c r="B697"/>
  <c r="C696"/>
  <c r="B696"/>
  <c r="C695"/>
  <c r="B695"/>
  <c r="C694"/>
  <c r="B694"/>
  <c r="C693"/>
  <c r="B693"/>
  <c r="C692"/>
  <c r="B692"/>
  <c r="C691"/>
  <c r="B691"/>
  <c r="C690"/>
  <c r="B690"/>
  <c r="C689"/>
  <c r="B689"/>
  <c r="C688"/>
  <c r="B688"/>
  <c r="C687"/>
  <c r="B687"/>
  <c r="C686"/>
  <c r="B686"/>
  <c r="C685"/>
  <c r="B685"/>
  <c r="C684"/>
  <c r="B684"/>
  <c r="C683"/>
  <c r="B683"/>
  <c r="C682"/>
  <c r="B682"/>
  <c r="C681"/>
  <c r="B681"/>
  <c r="C680"/>
  <c r="B680"/>
  <c r="C679"/>
  <c r="B679"/>
  <c r="C678"/>
  <c r="B678"/>
  <c r="C677"/>
  <c r="B677"/>
  <c r="C676"/>
  <c r="B676"/>
  <c r="C675"/>
  <c r="B675"/>
  <c r="C674"/>
  <c r="B674"/>
  <c r="C673"/>
  <c r="B673"/>
  <c r="C672"/>
  <c r="B672"/>
  <c r="C671"/>
  <c r="B671"/>
  <c r="C670"/>
  <c r="B670"/>
  <c r="C669"/>
  <c r="B669"/>
  <c r="C668"/>
  <c r="B668"/>
  <c r="C667"/>
  <c r="B667"/>
  <c r="C666"/>
  <c r="B666"/>
  <c r="C665"/>
  <c r="B665"/>
  <c r="C664"/>
  <c r="B664"/>
  <c r="C663"/>
  <c r="B663"/>
  <c r="C662"/>
  <c r="B662"/>
  <c r="C661"/>
  <c r="B661"/>
  <c r="C660"/>
  <c r="B660"/>
  <c r="C659"/>
  <c r="B659"/>
  <c r="C658"/>
  <c r="B658"/>
  <c r="C657"/>
  <c r="B657"/>
  <c r="C656"/>
  <c r="B656"/>
  <c r="C655"/>
  <c r="B655"/>
  <c r="C654"/>
  <c r="B654"/>
  <c r="C653"/>
  <c r="B653"/>
  <c r="C652"/>
  <c r="B652"/>
  <c r="C651"/>
  <c r="B651"/>
  <c r="C650"/>
  <c r="B650"/>
  <c r="C649"/>
  <c r="B649"/>
  <c r="C648"/>
  <c r="B648"/>
  <c r="C647"/>
  <c r="B647"/>
  <c r="C646"/>
  <c r="B646"/>
  <c r="C645"/>
  <c r="B645"/>
  <c r="C644"/>
  <c r="B644"/>
  <c r="C643"/>
  <c r="B643"/>
  <c r="C642"/>
  <c r="B642"/>
  <c r="C641"/>
  <c r="B641"/>
  <c r="C640"/>
  <c r="B640"/>
  <c r="C639"/>
  <c r="B639"/>
  <c r="C638"/>
  <c r="B638"/>
  <c r="C637"/>
  <c r="B637"/>
  <c r="C636"/>
  <c r="B636"/>
  <c r="C635"/>
  <c r="B635"/>
  <c r="C634"/>
  <c r="B634"/>
  <c r="C633"/>
  <c r="B633"/>
  <c r="C632"/>
  <c r="B632"/>
  <c r="C631"/>
  <c r="B631"/>
  <c r="C630"/>
  <c r="B630"/>
  <c r="C629"/>
  <c r="B629"/>
  <c r="C628"/>
  <c r="B628"/>
  <c r="C627"/>
  <c r="B627"/>
  <c r="C626"/>
  <c r="B626"/>
  <c r="C625"/>
  <c r="B625"/>
  <c r="C624"/>
  <c r="B624"/>
  <c r="C623"/>
  <c r="B623"/>
  <c r="C622"/>
  <c r="B622"/>
  <c r="C621"/>
  <c r="B621"/>
  <c r="C620"/>
  <c r="B620"/>
  <c r="C619"/>
  <c r="B619"/>
  <c r="C618"/>
  <c r="B618"/>
  <c r="C617"/>
  <c r="B617"/>
  <c r="C616"/>
  <c r="B616"/>
  <c r="C615"/>
  <c r="B615"/>
  <c r="C614"/>
  <c r="B614"/>
  <c r="C613"/>
  <c r="B613"/>
  <c r="C612"/>
  <c r="B612"/>
  <c r="C611"/>
  <c r="B611"/>
  <c r="C610"/>
  <c r="B610"/>
  <c r="C609"/>
  <c r="B609"/>
  <c r="C608"/>
  <c r="B608"/>
  <c r="C607"/>
  <c r="B607"/>
  <c r="C606"/>
  <c r="B606"/>
  <c r="C605"/>
  <c r="B605"/>
  <c r="C604"/>
  <c r="B604"/>
  <c r="C603"/>
  <c r="B603"/>
  <c r="C602"/>
  <c r="B602"/>
  <c r="C601"/>
  <c r="B601"/>
  <c r="C600"/>
  <c r="B600"/>
  <c r="C599"/>
  <c r="B599"/>
  <c r="C598"/>
  <c r="B598"/>
  <c r="C597"/>
  <c r="B597"/>
  <c r="C596"/>
  <c r="B596"/>
  <c r="C595"/>
  <c r="B595"/>
  <c r="C594"/>
  <c r="B594"/>
  <c r="C593"/>
  <c r="B593"/>
  <c r="C592"/>
  <c r="B592"/>
  <c r="C591"/>
  <c r="B591"/>
  <c r="C590"/>
  <c r="B590"/>
  <c r="C589"/>
  <c r="B589"/>
  <c r="C588"/>
  <c r="B588"/>
  <c r="C587"/>
  <c r="B587"/>
  <c r="C586"/>
  <c r="B586"/>
  <c r="C585"/>
  <c r="B585"/>
  <c r="C584"/>
  <c r="B584"/>
  <c r="C583"/>
  <c r="B583"/>
  <c r="C582"/>
  <c r="B582"/>
  <c r="C581"/>
  <c r="B581"/>
  <c r="C580"/>
  <c r="B580"/>
  <c r="C579"/>
  <c r="B579"/>
  <c r="C578"/>
  <c r="B578"/>
  <c r="C577"/>
  <c r="B577"/>
  <c r="C576"/>
  <c r="B576"/>
  <c r="C575"/>
  <c r="B575"/>
  <c r="C574"/>
  <c r="B574"/>
  <c r="C573"/>
  <c r="B573"/>
  <c r="C572"/>
  <c r="B572"/>
  <c r="C571"/>
  <c r="B571"/>
  <c r="C570"/>
  <c r="B570"/>
  <c r="C569"/>
  <c r="B569"/>
  <c r="C568"/>
  <c r="B568"/>
  <c r="C567"/>
  <c r="B567"/>
  <c r="C566"/>
  <c r="B566"/>
  <c r="C565"/>
  <c r="B565"/>
  <c r="C564"/>
  <c r="B564"/>
  <c r="C563"/>
  <c r="B563"/>
  <c r="C562"/>
  <c r="B562"/>
  <c r="C561"/>
  <c r="B561"/>
  <c r="C560"/>
  <c r="B560"/>
  <c r="C559"/>
  <c r="B559"/>
  <c r="C558"/>
  <c r="B558"/>
  <c r="C557"/>
  <c r="B557"/>
  <c r="C556"/>
  <c r="B556"/>
  <c r="C555"/>
  <c r="B555"/>
  <c r="C554"/>
  <c r="B554"/>
  <c r="C553"/>
  <c r="B553"/>
  <c r="C552"/>
  <c r="B552"/>
  <c r="C551"/>
  <c r="B551"/>
  <c r="C550"/>
  <c r="B550"/>
  <c r="C549"/>
  <c r="B549"/>
  <c r="C548"/>
  <c r="B548"/>
  <c r="C547"/>
  <c r="B547"/>
  <c r="C546"/>
  <c r="B546"/>
  <c r="C545"/>
  <c r="B545"/>
  <c r="C544"/>
  <c r="B544"/>
  <c r="C543"/>
  <c r="B543"/>
  <c r="C542"/>
  <c r="B542"/>
  <c r="C541"/>
  <c r="B541"/>
  <c r="C540"/>
  <c r="B540"/>
  <c r="C539"/>
  <c r="B539"/>
  <c r="C538"/>
  <c r="B538"/>
  <c r="C537"/>
  <c r="B537"/>
  <c r="C536"/>
  <c r="B536"/>
  <c r="C535"/>
  <c r="B535"/>
  <c r="C534"/>
  <c r="B534"/>
  <c r="C533"/>
  <c r="B533"/>
  <c r="C532"/>
  <c r="B532"/>
  <c r="C531"/>
  <c r="B531"/>
  <c r="C530"/>
  <c r="B530"/>
  <c r="C529"/>
  <c r="B529"/>
  <c r="C528"/>
  <c r="B528"/>
  <c r="C527"/>
  <c r="B527"/>
  <c r="C526"/>
  <c r="B526"/>
  <c r="C525"/>
  <c r="B525"/>
  <c r="C524"/>
  <c r="B524"/>
  <c r="C523"/>
  <c r="B523"/>
  <c r="C522"/>
  <c r="B522"/>
  <c r="C521"/>
  <c r="B521"/>
  <c r="C520"/>
  <c r="B520"/>
  <c r="C519"/>
  <c r="B519"/>
  <c r="C518"/>
  <c r="B518"/>
  <c r="C517"/>
  <c r="B517"/>
  <c r="C516"/>
  <c r="B516"/>
  <c r="C515"/>
  <c r="B515"/>
  <c r="C514"/>
  <c r="B514"/>
  <c r="C513"/>
  <c r="B513"/>
  <c r="C512"/>
  <c r="B512"/>
  <c r="C511"/>
  <c r="B511"/>
  <c r="C510"/>
  <c r="B510"/>
  <c r="C509"/>
  <c r="B509"/>
  <c r="C508"/>
  <c r="B508"/>
  <c r="C507"/>
  <c r="B507"/>
  <c r="C506"/>
  <c r="B506"/>
  <c r="C505"/>
  <c r="B505"/>
  <c r="C504"/>
  <c r="B504"/>
  <c r="C503"/>
  <c r="B503"/>
  <c r="C502"/>
  <c r="B502"/>
  <c r="C501"/>
  <c r="B501"/>
  <c r="C500"/>
  <c r="B500"/>
  <c r="C499"/>
  <c r="B499"/>
  <c r="C498"/>
  <c r="B498"/>
  <c r="C497"/>
  <c r="B497"/>
  <c r="C496"/>
  <c r="B496"/>
  <c r="C495"/>
  <c r="B495"/>
  <c r="C494"/>
  <c r="B494"/>
  <c r="C493"/>
  <c r="B493"/>
  <c r="C492"/>
  <c r="B492"/>
  <c r="C491"/>
  <c r="B491"/>
  <c r="C490"/>
  <c r="B490"/>
  <c r="C489"/>
  <c r="B489"/>
  <c r="C488"/>
  <c r="B488"/>
  <c r="C487"/>
  <c r="B487"/>
  <c r="C486"/>
  <c r="B486"/>
  <c r="C485"/>
  <c r="B485"/>
  <c r="C484"/>
  <c r="B484"/>
  <c r="C483"/>
  <c r="B483"/>
  <c r="C482"/>
  <c r="B482"/>
  <c r="C481"/>
  <c r="B481"/>
  <c r="C480"/>
  <c r="B480"/>
  <c r="C479"/>
  <c r="B479"/>
  <c r="C478"/>
  <c r="B478"/>
  <c r="C477"/>
  <c r="B477"/>
  <c r="C476"/>
  <c r="B476"/>
  <c r="C475"/>
  <c r="B475"/>
  <c r="C474"/>
  <c r="B474"/>
  <c r="C473"/>
  <c r="B473"/>
  <c r="C472"/>
  <c r="B472"/>
  <c r="C471"/>
  <c r="B471"/>
  <c r="C470"/>
  <c r="B470"/>
  <c r="C469"/>
  <c r="B469"/>
  <c r="C468"/>
  <c r="B468"/>
  <c r="C467"/>
  <c r="B467"/>
  <c r="C466"/>
  <c r="B466"/>
  <c r="C465"/>
  <c r="B465"/>
  <c r="C464"/>
  <c r="B464"/>
  <c r="C463"/>
  <c r="B463"/>
  <c r="C462"/>
  <c r="B462"/>
  <c r="C461"/>
  <c r="B461"/>
  <c r="C460"/>
  <c r="B460"/>
  <c r="C459"/>
  <c r="B459"/>
  <c r="C458"/>
  <c r="B458"/>
  <c r="C457"/>
  <c r="B457"/>
  <c r="C456"/>
  <c r="B456"/>
  <c r="C455"/>
  <c r="B455"/>
  <c r="C454"/>
  <c r="B454"/>
  <c r="C453"/>
  <c r="B453"/>
  <c r="C452"/>
  <c r="B452"/>
  <c r="C451"/>
  <c r="B451"/>
  <c r="C450"/>
  <c r="B450"/>
  <c r="C449"/>
  <c r="B449"/>
  <c r="C448"/>
  <c r="B448"/>
  <c r="C447"/>
  <c r="B447"/>
  <c r="C446"/>
  <c r="B446"/>
  <c r="C445"/>
  <c r="B445"/>
  <c r="C444"/>
  <c r="B444"/>
  <c r="C443"/>
  <c r="B443"/>
  <c r="C442"/>
  <c r="B442"/>
  <c r="C441"/>
  <c r="B441"/>
  <c r="C440"/>
  <c r="B440"/>
  <c r="C439"/>
  <c r="B439"/>
  <c r="C438"/>
  <c r="B438"/>
  <c r="C437"/>
  <c r="B437"/>
  <c r="C436"/>
  <c r="B436"/>
  <c r="C435"/>
  <c r="B435"/>
  <c r="C434"/>
  <c r="B434"/>
  <c r="C433"/>
  <c r="B433"/>
  <c r="C432"/>
  <c r="B432"/>
  <c r="C431"/>
  <c r="B431"/>
  <c r="C430"/>
  <c r="B430"/>
  <c r="C429"/>
  <c r="B429"/>
  <c r="C428"/>
  <c r="B428"/>
  <c r="C427"/>
  <c r="B427"/>
  <c r="C426"/>
  <c r="B426"/>
  <c r="C425"/>
  <c r="B425"/>
  <c r="C424"/>
  <c r="B424"/>
  <c r="C423"/>
  <c r="B423"/>
  <c r="C422"/>
  <c r="B422"/>
  <c r="C421"/>
  <c r="B421"/>
  <c r="C420"/>
  <c r="B420"/>
  <c r="C419"/>
  <c r="B419"/>
  <c r="C418"/>
  <c r="B418"/>
  <c r="C417"/>
  <c r="B417"/>
  <c r="C416"/>
  <c r="B416"/>
  <c r="C415"/>
  <c r="B415"/>
  <c r="C414"/>
  <c r="B414"/>
  <c r="C413"/>
  <c r="B413"/>
  <c r="C412"/>
  <c r="B412"/>
  <c r="C411"/>
  <c r="B411"/>
  <c r="C410"/>
  <c r="B410"/>
  <c r="C409"/>
  <c r="B409"/>
  <c r="C408"/>
  <c r="B408"/>
  <c r="C407"/>
  <c r="B407"/>
  <c r="C406"/>
  <c r="B406"/>
  <c r="C405"/>
  <c r="B405"/>
  <c r="C404"/>
  <c r="B404"/>
  <c r="C403"/>
  <c r="B403"/>
  <c r="C402"/>
  <c r="B402"/>
  <c r="C401"/>
  <c r="B401"/>
  <c r="C400"/>
  <c r="B400"/>
  <c r="C399"/>
  <c r="B399"/>
  <c r="C398"/>
  <c r="B398"/>
  <c r="C397"/>
  <c r="B397"/>
  <c r="C396"/>
  <c r="B396"/>
  <c r="C395"/>
  <c r="B395"/>
  <c r="C394"/>
  <c r="B394"/>
  <c r="C393"/>
  <c r="B393"/>
  <c r="C392"/>
  <c r="B392"/>
  <c r="C391"/>
  <c r="B391"/>
  <c r="C390"/>
  <c r="B390"/>
  <c r="C389"/>
  <c r="B389"/>
  <c r="C388"/>
  <c r="B388"/>
  <c r="C387"/>
  <c r="B387"/>
  <c r="C386"/>
  <c r="B386"/>
  <c r="C385"/>
  <c r="B385"/>
  <c r="C384"/>
  <c r="B384"/>
  <c r="C383"/>
  <c r="B383"/>
  <c r="C382"/>
  <c r="B382"/>
  <c r="C381"/>
  <c r="B381"/>
  <c r="C380"/>
  <c r="B380"/>
  <c r="C379"/>
  <c r="B379"/>
  <c r="C378"/>
  <c r="B378"/>
  <c r="C377"/>
  <c r="B377"/>
  <c r="C376"/>
  <c r="B376"/>
  <c r="C375"/>
  <c r="B375"/>
  <c r="C374"/>
  <c r="B374"/>
  <c r="C373"/>
  <c r="B373"/>
  <c r="C372"/>
  <c r="B372"/>
  <c r="C371"/>
  <c r="B371"/>
  <c r="C370"/>
  <c r="B370"/>
  <c r="C369"/>
  <c r="B369"/>
  <c r="C368"/>
  <c r="B368"/>
  <c r="C367"/>
  <c r="B367"/>
  <c r="C366"/>
  <c r="B366"/>
  <c r="C365"/>
  <c r="B365"/>
  <c r="C364"/>
  <c r="B364"/>
  <c r="C363"/>
  <c r="B363"/>
  <c r="C362"/>
  <c r="B362"/>
  <c r="C361"/>
  <c r="B361"/>
  <c r="C360"/>
  <c r="B360"/>
  <c r="C359"/>
  <c r="B359"/>
  <c r="C358"/>
  <c r="B358"/>
  <c r="C357"/>
  <c r="B357"/>
  <c r="C356"/>
  <c r="B356"/>
  <c r="C355"/>
  <c r="B355"/>
  <c r="C354"/>
  <c r="B354"/>
  <c r="C353"/>
  <c r="B353"/>
  <c r="C352"/>
  <c r="B352"/>
  <c r="C351"/>
  <c r="B351"/>
  <c r="C350"/>
  <c r="B350"/>
  <c r="C349"/>
  <c r="B349"/>
  <c r="C348"/>
  <c r="B348"/>
  <c r="C347"/>
  <c r="B347"/>
  <c r="C346"/>
  <c r="B346"/>
  <c r="C345"/>
  <c r="B345"/>
  <c r="C344"/>
  <c r="B344"/>
  <c r="C343"/>
  <c r="B343"/>
  <c r="C342"/>
  <c r="B342"/>
  <c r="C341"/>
  <c r="B341"/>
  <c r="C340"/>
  <c r="B340"/>
  <c r="C339"/>
  <c r="B339"/>
  <c r="C338"/>
  <c r="B338"/>
  <c r="C337"/>
  <c r="B337"/>
  <c r="C336"/>
  <c r="B336"/>
  <c r="C335"/>
  <c r="B335"/>
  <c r="C334"/>
  <c r="B334"/>
  <c r="C333"/>
  <c r="B333"/>
  <c r="C332"/>
  <c r="B332"/>
  <c r="C331"/>
  <c r="B331"/>
  <c r="C330"/>
  <c r="B330"/>
  <c r="C329"/>
  <c r="B329"/>
  <c r="C328"/>
  <c r="B328"/>
  <c r="C327"/>
  <c r="B327"/>
  <c r="C326"/>
  <c r="B326"/>
  <c r="C325"/>
  <c r="B325"/>
  <c r="C324"/>
  <c r="B324"/>
  <c r="C323"/>
  <c r="B323"/>
  <c r="C322"/>
  <c r="B322"/>
  <c r="C321"/>
  <c r="B321"/>
  <c r="C320"/>
  <c r="B320"/>
  <c r="C319"/>
  <c r="B319"/>
  <c r="C318"/>
  <c r="B318"/>
  <c r="C317"/>
  <c r="B317"/>
  <c r="C316"/>
  <c r="B316"/>
  <c r="C315"/>
  <c r="B315"/>
  <c r="C314"/>
  <c r="B314"/>
  <c r="C313"/>
  <c r="B313"/>
  <c r="C312"/>
  <c r="B312"/>
  <c r="C311"/>
  <c r="B311"/>
  <c r="C310"/>
  <c r="B310"/>
  <c r="C309"/>
  <c r="B309"/>
  <c r="C308"/>
  <c r="B308"/>
  <c r="C307"/>
  <c r="B307"/>
  <c r="C306"/>
  <c r="B306"/>
  <c r="C305"/>
  <c r="B305"/>
  <c r="C304"/>
  <c r="B304"/>
  <c r="C303"/>
  <c r="B303"/>
  <c r="C302"/>
  <c r="B302"/>
  <c r="C301"/>
  <c r="B301"/>
  <c r="C300"/>
  <c r="B300"/>
  <c r="C299"/>
  <c r="B299"/>
  <c r="C298"/>
  <c r="B298"/>
  <c r="C297"/>
  <c r="B297"/>
  <c r="C296"/>
  <c r="B296"/>
  <c r="C295"/>
  <c r="B295"/>
  <c r="C294"/>
  <c r="B294"/>
  <c r="C293"/>
  <c r="B293"/>
  <c r="C292"/>
  <c r="B292"/>
  <c r="C291"/>
  <c r="B291"/>
  <c r="C290"/>
  <c r="B290"/>
  <c r="C289"/>
  <c r="B289"/>
  <c r="C288"/>
  <c r="B288"/>
  <c r="C287"/>
  <c r="B287"/>
  <c r="C286"/>
  <c r="B286"/>
  <c r="C285"/>
  <c r="B285"/>
  <c r="C284"/>
  <c r="B284"/>
  <c r="C283"/>
  <c r="B283"/>
  <c r="C282"/>
  <c r="B282"/>
  <c r="C281"/>
  <c r="B281"/>
  <c r="C280"/>
  <c r="B280"/>
  <c r="C279"/>
  <c r="B279"/>
  <c r="C278"/>
  <c r="B278"/>
  <c r="C277"/>
  <c r="B277"/>
  <c r="C276"/>
  <c r="B276"/>
  <c r="C275"/>
  <c r="B275"/>
  <c r="C274"/>
  <c r="B274"/>
  <c r="C273"/>
  <c r="B273"/>
  <c r="C272"/>
  <c r="B272"/>
  <c r="C271"/>
  <c r="B271"/>
  <c r="C270"/>
  <c r="B270"/>
  <c r="C269"/>
  <c r="B269"/>
  <c r="C268"/>
  <c r="B268"/>
  <c r="C267"/>
  <c r="B267"/>
  <c r="C266"/>
  <c r="B266"/>
  <c r="C265"/>
  <c r="B265"/>
  <c r="C264"/>
  <c r="B264"/>
  <c r="C263"/>
  <c r="B263"/>
  <c r="C262"/>
  <c r="B262"/>
  <c r="C261"/>
  <c r="B261"/>
  <c r="C260"/>
  <c r="B260"/>
  <c r="C259"/>
  <c r="B259"/>
  <c r="C258"/>
  <c r="B258"/>
  <c r="C257"/>
  <c r="B257"/>
  <c r="C256"/>
  <c r="B256"/>
  <c r="C255"/>
  <c r="B255"/>
  <c r="C254"/>
  <c r="B254"/>
  <c r="C253"/>
  <c r="B253"/>
  <c r="C252"/>
  <c r="B252"/>
  <c r="C251"/>
  <c r="B251"/>
  <c r="C250"/>
  <c r="B250"/>
  <c r="C249"/>
  <c r="B249"/>
  <c r="C248"/>
  <c r="B248"/>
  <c r="C247"/>
  <c r="B247"/>
  <c r="C246"/>
  <c r="B246"/>
  <c r="C245"/>
  <c r="B245"/>
  <c r="C244"/>
  <c r="B244"/>
  <c r="C243"/>
  <c r="B243"/>
  <c r="C242"/>
  <c r="B242"/>
  <c r="C241"/>
  <c r="B241"/>
  <c r="C240"/>
  <c r="B240"/>
  <c r="C239"/>
  <c r="B239"/>
  <c r="C238"/>
  <c r="B238"/>
  <c r="C237"/>
  <c r="B237"/>
  <c r="C236"/>
  <c r="B236"/>
  <c r="C235"/>
  <c r="B235"/>
  <c r="C234"/>
  <c r="B234"/>
  <c r="C233"/>
  <c r="B233"/>
  <c r="C232"/>
  <c r="B232"/>
  <c r="C231"/>
  <c r="B231"/>
  <c r="C230"/>
  <c r="B230"/>
  <c r="C229"/>
  <c r="B229"/>
  <c r="C228"/>
  <c r="B228"/>
  <c r="C227"/>
  <c r="B227"/>
  <c r="C226"/>
  <c r="B226"/>
  <c r="C225"/>
  <c r="B225"/>
  <c r="C224"/>
  <c r="B224"/>
  <c r="C223"/>
  <c r="B223"/>
  <c r="C222"/>
  <c r="B222"/>
  <c r="C221"/>
  <c r="B221"/>
  <c r="C220"/>
  <c r="B220"/>
  <c r="C219"/>
  <c r="B219"/>
  <c r="C218"/>
  <c r="B218"/>
  <c r="C217"/>
  <c r="B217"/>
  <c r="C216"/>
  <c r="B216"/>
  <c r="C215"/>
  <c r="B215"/>
  <c r="C214"/>
  <c r="B214"/>
  <c r="C213"/>
  <c r="B213"/>
  <c r="C212"/>
  <c r="B212"/>
  <c r="C211"/>
  <c r="B211"/>
  <c r="C210"/>
  <c r="B210"/>
  <c r="C209"/>
  <c r="B209"/>
  <c r="C208"/>
  <c r="B208"/>
  <c r="C207"/>
  <c r="B207"/>
  <c r="C206"/>
  <c r="B206"/>
  <c r="C205"/>
  <c r="B205"/>
  <c r="C204"/>
  <c r="B204"/>
  <c r="C203"/>
  <c r="B203"/>
  <c r="C202"/>
  <c r="B202"/>
  <c r="C201"/>
  <c r="B201"/>
  <c r="C200"/>
  <c r="B200"/>
  <c r="C199"/>
  <c r="B199"/>
  <c r="C198"/>
  <c r="B198"/>
  <c r="C197"/>
  <c r="B197"/>
  <c r="C196"/>
  <c r="B196"/>
  <c r="C195"/>
  <c r="B195"/>
  <c r="C194"/>
  <c r="B194"/>
  <c r="C193"/>
  <c r="B193"/>
  <c r="C192"/>
  <c r="B192"/>
  <c r="C191"/>
  <c r="B191"/>
  <c r="C190"/>
  <c r="B190"/>
  <c r="C189"/>
  <c r="B189"/>
  <c r="C188"/>
  <c r="B188"/>
  <c r="C187"/>
  <c r="B187"/>
  <c r="C186"/>
  <c r="B186"/>
  <c r="C185"/>
  <c r="B185"/>
  <c r="C184"/>
  <c r="B184"/>
  <c r="C183"/>
  <c r="B183"/>
  <c r="C182"/>
  <c r="B182"/>
  <c r="C181"/>
  <c r="B181"/>
  <c r="C180"/>
  <c r="B180"/>
  <c r="C179"/>
  <c r="B179"/>
  <c r="C178"/>
  <c r="B178"/>
  <c r="C177"/>
  <c r="B177"/>
  <c r="C176"/>
  <c r="B176"/>
  <c r="C175"/>
  <c r="B175"/>
  <c r="C174"/>
  <c r="B174"/>
  <c r="C173"/>
  <c r="B173"/>
  <c r="C172"/>
  <c r="B172"/>
  <c r="C171"/>
  <c r="B171"/>
  <c r="C170"/>
  <c r="B170"/>
  <c r="C169"/>
  <c r="B169"/>
  <c r="C168"/>
  <c r="B168"/>
  <c r="C167"/>
  <c r="B167"/>
  <c r="C166"/>
  <c r="B166"/>
  <c r="C165"/>
  <c r="B165"/>
  <c r="C164"/>
  <c r="B164"/>
  <c r="C163"/>
  <c r="B163"/>
  <c r="C162"/>
  <c r="B162"/>
  <c r="C161"/>
  <c r="B161"/>
  <c r="C160"/>
  <c r="B160"/>
  <c r="C159"/>
  <c r="B159"/>
  <c r="C158"/>
  <c r="B158"/>
  <c r="C157"/>
  <c r="B157"/>
  <c r="C156"/>
  <c r="B156"/>
  <c r="C155"/>
  <c r="B155"/>
  <c r="C154"/>
  <c r="B154"/>
  <c r="C153"/>
  <c r="B153"/>
  <c r="C152"/>
  <c r="B152"/>
  <c r="C151"/>
  <c r="B151"/>
  <c r="C150"/>
  <c r="B150"/>
  <c r="C149"/>
  <c r="B149"/>
  <c r="C148"/>
  <c r="B148"/>
  <c r="C147"/>
  <c r="B147"/>
  <c r="C146"/>
  <c r="B146"/>
  <c r="C145"/>
  <c r="B145"/>
  <c r="C144"/>
  <c r="B144"/>
  <c r="C143"/>
  <c r="B143"/>
  <c r="C142"/>
  <c r="B142"/>
  <c r="C141"/>
  <c r="B141"/>
  <c r="C140"/>
  <c r="B140"/>
  <c r="C139"/>
  <c r="B139"/>
  <c r="C138"/>
  <c r="B138"/>
  <c r="C137"/>
  <c r="B137"/>
  <c r="C136"/>
  <c r="B136"/>
  <c r="C135"/>
  <c r="B135"/>
  <c r="C134"/>
  <c r="B134"/>
  <c r="C133"/>
  <c r="B133"/>
  <c r="C132"/>
  <c r="B132"/>
  <c r="C131"/>
  <c r="B131"/>
  <c r="C130"/>
  <c r="B130"/>
  <c r="C129"/>
  <c r="B129"/>
  <c r="C128"/>
  <c r="B128"/>
  <c r="C127"/>
  <c r="B127"/>
  <c r="C126"/>
  <c r="B126"/>
  <c r="C125"/>
  <c r="B125"/>
  <c r="C124"/>
  <c r="B124"/>
  <c r="C123"/>
  <c r="B123"/>
  <c r="C122"/>
  <c r="B122"/>
  <c r="C121"/>
  <c r="B121"/>
  <c r="C120"/>
  <c r="B120"/>
  <c r="C119"/>
  <c r="B119"/>
  <c r="C118"/>
  <c r="B118"/>
  <c r="C117"/>
  <c r="B117"/>
  <c r="C116"/>
  <c r="B116"/>
  <c r="C115"/>
  <c r="B115"/>
  <c r="C114"/>
  <c r="B114"/>
  <c r="C113"/>
  <c r="B113"/>
  <c r="C112"/>
  <c r="B112"/>
  <c r="C111"/>
  <c r="B111"/>
  <c r="C110"/>
  <c r="B110"/>
  <c r="C109"/>
  <c r="B109"/>
  <c r="C108"/>
  <c r="B108"/>
  <c r="C107"/>
  <c r="B107"/>
  <c r="C106"/>
  <c r="B106"/>
  <c r="C105"/>
  <c r="B105"/>
  <c r="C104"/>
  <c r="B104"/>
  <c r="C103"/>
  <c r="B103"/>
  <c r="C102"/>
  <c r="B102"/>
  <c r="C101"/>
  <c r="B101"/>
  <c r="C100"/>
  <c r="B100"/>
  <c r="C99"/>
  <c r="B99"/>
  <c r="C98"/>
  <c r="B98"/>
  <c r="C97"/>
  <c r="B97"/>
  <c r="C96"/>
  <c r="B96"/>
  <c r="C95"/>
  <c r="B95"/>
  <c r="C94"/>
  <c r="B94"/>
  <c r="C93"/>
  <c r="B93"/>
  <c r="C92"/>
  <c r="B92"/>
  <c r="C91"/>
  <c r="B91"/>
  <c r="C90"/>
  <c r="B90"/>
  <c r="C89"/>
  <c r="B89"/>
  <c r="C88"/>
  <c r="B88"/>
  <c r="C87"/>
  <c r="B87"/>
  <c r="C86"/>
  <c r="B86"/>
  <c r="C85"/>
  <c r="B85"/>
  <c r="C84"/>
  <c r="B84"/>
  <c r="C83"/>
  <c r="B83"/>
  <c r="C82"/>
  <c r="B82"/>
  <c r="C81"/>
  <c r="B81"/>
  <c r="C80"/>
  <c r="B80"/>
  <c r="C79"/>
  <c r="B79"/>
  <c r="C78"/>
  <c r="B78"/>
  <c r="C77"/>
  <c r="B77"/>
  <c r="C76"/>
  <c r="B76"/>
  <c r="C75"/>
  <c r="B75"/>
  <c r="C74"/>
  <c r="B74"/>
  <c r="C73"/>
  <c r="B73"/>
  <c r="C72"/>
  <c r="B72"/>
  <c r="C71"/>
  <c r="B71"/>
  <c r="C70"/>
  <c r="B70"/>
  <c r="C69"/>
  <c r="B69"/>
  <c r="C68"/>
  <c r="B68"/>
  <c r="C67"/>
  <c r="B67"/>
  <c r="C66"/>
  <c r="B66"/>
  <c r="C65"/>
  <c r="B65"/>
  <c r="C64"/>
  <c r="B64"/>
  <c r="C63"/>
  <c r="B63"/>
  <c r="C62"/>
  <c r="B62"/>
  <c r="C61"/>
  <c r="B61"/>
  <c r="C60"/>
  <c r="B60"/>
  <c r="C59"/>
  <c r="B59"/>
  <c r="C58"/>
  <c r="B58"/>
  <c r="C57"/>
  <c r="B57"/>
  <c r="C56"/>
  <c r="B56"/>
  <c r="C55"/>
  <c r="B55"/>
  <c r="C54"/>
  <c r="B54"/>
  <c r="C53"/>
  <c r="B53"/>
  <c r="C52"/>
  <c r="B52"/>
  <c r="C51"/>
  <c r="B51"/>
  <c r="C50"/>
  <c r="B50"/>
  <c r="C49"/>
  <c r="B49"/>
  <c r="C48"/>
  <c r="B48"/>
  <c r="C47"/>
  <c r="B47"/>
  <c r="C46"/>
  <c r="B46"/>
  <c r="C45"/>
  <c r="B45"/>
  <c r="C44"/>
  <c r="B44"/>
  <c r="C43"/>
  <c r="B43"/>
  <c r="C42"/>
  <c r="B42"/>
  <c r="C41"/>
  <c r="B41"/>
  <c r="C40"/>
  <c r="B40"/>
  <c r="C39"/>
  <c r="B39"/>
  <c r="C38"/>
  <c r="B38"/>
  <c r="C37"/>
  <c r="B37"/>
  <c r="C36"/>
  <c r="B36"/>
  <c r="C35"/>
  <c r="B35"/>
  <c r="C34"/>
  <c r="B34"/>
  <c r="C33"/>
  <c r="B33"/>
  <c r="C32"/>
  <c r="B32"/>
  <c r="C31"/>
  <c r="B31"/>
  <c r="C30"/>
  <c r="B30"/>
  <c r="C29"/>
  <c r="B29"/>
  <c r="C28"/>
  <c r="B28"/>
  <c r="C27"/>
  <c r="B27"/>
  <c r="C26"/>
  <c r="B26"/>
  <c r="C25"/>
  <c r="B25"/>
  <c r="C24"/>
  <c r="B24"/>
  <c r="C23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3"/>
  <c r="B3"/>
  <c r="I110" i="1" l="1"/>
  <c r="K110" s="1"/>
  <c r="L110" s="1"/>
  <c r="I105"/>
  <c r="K105" s="1"/>
  <c r="I104"/>
  <c r="K104" s="1"/>
  <c r="F103"/>
  <c r="N116"/>
  <c r="F108"/>
  <c r="I108" s="1"/>
  <c r="F109"/>
  <c r="I109" s="1"/>
  <c r="M116"/>
  <c r="P116" s="1"/>
  <c r="F102"/>
  <c r="I102" s="1"/>
  <c r="F101"/>
  <c r="I101" s="1"/>
  <c r="F100"/>
  <c r="O13" i="5"/>
  <c r="Q13" s="1"/>
  <c r="N14"/>
  <c r="O14" s="1"/>
  <c r="Q14" s="1"/>
  <c r="N13"/>
  <c r="K109" i="1" l="1"/>
  <c r="L109" s="1"/>
  <c r="K108"/>
  <c r="L108" s="1"/>
  <c r="K101"/>
  <c r="I103"/>
  <c r="K103" s="1"/>
  <c r="K102"/>
  <c r="I100"/>
  <c r="K100" s="1"/>
  <c r="R14" i="5"/>
  <c r="S14" s="1"/>
  <c r="AG14"/>
  <c r="AH14" s="1"/>
  <c r="AE14"/>
  <c r="R13"/>
  <c r="S13" s="1"/>
  <c r="AE13"/>
  <c r="AG13"/>
  <c r="AH13" s="1"/>
  <c r="Q116" i="1"/>
  <c r="S41" i="5"/>
  <c r="O41"/>
  <c r="Q41" s="1"/>
  <c r="AE41" s="1"/>
  <c r="AH41" s="1"/>
  <c r="J41"/>
  <c r="S40"/>
  <c r="O40"/>
  <c r="Q40" s="1"/>
  <c r="AE40" s="1"/>
  <c r="AH40" s="1"/>
  <c r="J40"/>
  <c r="S39"/>
  <c r="O39"/>
  <c r="Q39" s="1"/>
  <c r="AE39" s="1"/>
  <c r="AH39" s="1"/>
  <c r="J39"/>
  <c r="Y37"/>
  <c r="X37"/>
  <c r="W37"/>
  <c r="N37"/>
  <c r="O37" s="1"/>
  <c r="Q37" s="1"/>
  <c r="J37"/>
  <c r="Y36"/>
  <c r="X36"/>
  <c r="W36"/>
  <c r="N36"/>
  <c r="O36" s="1"/>
  <c r="Q36" s="1"/>
  <c r="J36"/>
  <c r="Y35"/>
  <c r="X35"/>
  <c r="W35"/>
  <c r="N35"/>
  <c r="O35" s="1"/>
  <c r="Q35" s="1"/>
  <c r="J35"/>
  <c r="Y34"/>
  <c r="X34"/>
  <c r="W34"/>
  <c r="N34"/>
  <c r="O34" s="1"/>
  <c r="Q34" s="1"/>
  <c r="J34"/>
  <c r="N33"/>
  <c r="O33" s="1"/>
  <c r="Q33" s="1"/>
  <c r="J33"/>
  <c r="Y30"/>
  <c r="X30"/>
  <c r="W30"/>
  <c r="N30"/>
  <c r="O30" s="1"/>
  <c r="Q30" s="1"/>
  <c r="J30"/>
  <c r="Y29"/>
  <c r="X29"/>
  <c r="W29"/>
  <c r="N29"/>
  <c r="O29" s="1"/>
  <c r="Q29" s="1"/>
  <c r="J29"/>
  <c r="Y28"/>
  <c r="X28"/>
  <c r="W28"/>
  <c r="O28"/>
  <c r="Q28" s="1"/>
  <c r="N28"/>
  <c r="J28"/>
  <c r="Y27"/>
  <c r="X27"/>
  <c r="W27"/>
  <c r="N27"/>
  <c r="O27" s="1"/>
  <c r="Q27" s="1"/>
  <c r="J27"/>
  <c r="Y26"/>
  <c r="X26"/>
  <c r="W26"/>
  <c r="N26"/>
  <c r="O26" s="1"/>
  <c r="Q26" s="1"/>
  <c r="J26"/>
  <c r="Y25"/>
  <c r="X25"/>
  <c r="W25"/>
  <c r="N25"/>
  <c r="O25" s="1"/>
  <c r="Q25" s="1"/>
  <c r="J25"/>
  <c r="Y24"/>
  <c r="X24"/>
  <c r="W24"/>
  <c r="N24"/>
  <c r="O24" s="1"/>
  <c r="Q24" s="1"/>
  <c r="J24"/>
  <c r="Y23"/>
  <c r="X23"/>
  <c r="W23"/>
  <c r="N23"/>
  <c r="O23" s="1"/>
  <c r="Q23" s="1"/>
  <c r="J23"/>
  <c r="Y22"/>
  <c r="X22"/>
  <c r="W22"/>
  <c r="N22"/>
  <c r="O22" s="1"/>
  <c r="Q22" s="1"/>
  <c r="J22"/>
  <c r="Y21"/>
  <c r="X21"/>
  <c r="W21"/>
  <c r="N21"/>
  <c r="O21" s="1"/>
  <c r="Q21" s="1"/>
  <c r="J21"/>
  <c r="Y20"/>
  <c r="X20"/>
  <c r="W20"/>
  <c r="N20"/>
  <c r="O20" s="1"/>
  <c r="Q20" s="1"/>
  <c r="J20"/>
  <c r="Y19"/>
  <c r="X19"/>
  <c r="W19"/>
  <c r="N19"/>
  <c r="O19" s="1"/>
  <c r="Q19" s="1"/>
  <c r="J19"/>
  <c r="Y18"/>
  <c r="X18"/>
  <c r="W18"/>
  <c r="N18"/>
  <c r="O18" s="1"/>
  <c r="Q18" s="1"/>
  <c r="J18"/>
  <c r="Y17"/>
  <c r="X17"/>
  <c r="W17"/>
  <c r="N17"/>
  <c r="O17" s="1"/>
  <c r="Q17" s="1"/>
  <c r="J17"/>
  <c r="Y16"/>
  <c r="X16"/>
  <c r="W16"/>
  <c r="N16"/>
  <c r="O16" s="1"/>
  <c r="Q16" s="1"/>
  <c r="J16"/>
  <c r="Y15"/>
  <c r="X15"/>
  <c r="W15"/>
  <c r="N15"/>
  <c r="O15" s="1"/>
  <c r="Q15" s="1"/>
  <c r="J15"/>
  <c r="Y12"/>
  <c r="X12"/>
  <c r="W12"/>
  <c r="N12"/>
  <c r="O12" s="1"/>
  <c r="Q12" s="1"/>
  <c r="J12"/>
  <c r="Y11"/>
  <c r="X11"/>
  <c r="W11"/>
  <c r="N11"/>
  <c r="O11" s="1"/>
  <c r="Q11" s="1"/>
  <c r="J11"/>
  <c r="Y10"/>
  <c r="X10"/>
  <c r="W10"/>
  <c r="N10"/>
  <c r="O10" s="1"/>
  <c r="Q10" s="1"/>
  <c r="J10"/>
  <c r="Y9"/>
  <c r="X9"/>
  <c r="W9"/>
  <c r="N9"/>
  <c r="O9" s="1"/>
  <c r="Q9" s="1"/>
  <c r="J9"/>
  <c r="Y8"/>
  <c r="X8"/>
  <c r="W8"/>
  <c r="N8"/>
  <c r="O8" s="1"/>
  <c r="Q8" s="1"/>
  <c r="J8"/>
  <c r="Y7"/>
  <c r="X7"/>
  <c r="W7"/>
  <c r="N7"/>
  <c r="J7"/>
  <c r="Y6"/>
  <c r="X6"/>
  <c r="W6"/>
  <c r="N6"/>
  <c r="O6" s="1"/>
  <c r="Q6" s="1"/>
  <c r="J6"/>
  <c r="Y5"/>
  <c r="X5"/>
  <c r="W5"/>
  <c r="N5"/>
  <c r="O5" s="1"/>
  <c r="Q5" s="1"/>
  <c r="J5"/>
  <c r="Y4"/>
  <c r="X4"/>
  <c r="W4"/>
  <c r="N4"/>
  <c r="O4" s="1"/>
  <c r="Q4" s="1"/>
  <c r="J4"/>
  <c r="Y3"/>
  <c r="X3"/>
  <c r="W3"/>
  <c r="N3"/>
  <c r="O3" s="1"/>
  <c r="Q3" s="1"/>
  <c r="J3"/>
  <c r="L112" i="1" l="1"/>
  <c r="R116"/>
  <c r="T116" s="1"/>
  <c r="L113"/>
  <c r="S116"/>
  <c r="U116" s="1"/>
  <c r="L114"/>
  <c r="R25" i="5"/>
  <c r="S25" s="1"/>
  <c r="AE25"/>
  <c r="AG25"/>
  <c r="R37"/>
  <c r="S37" s="1"/>
  <c r="AG37"/>
  <c r="AE37"/>
  <c r="R24"/>
  <c r="S24" s="1"/>
  <c r="AE24"/>
  <c r="AG24"/>
  <c r="R33"/>
  <c r="S33" s="1"/>
  <c r="AG33"/>
  <c r="AE33"/>
  <c r="R19"/>
  <c r="S19" s="1"/>
  <c r="AG19"/>
  <c r="AE19"/>
  <c r="R23"/>
  <c r="S23" s="1"/>
  <c r="AG23"/>
  <c r="AE23"/>
  <c r="R27"/>
  <c r="S27" s="1"/>
  <c r="AG27"/>
  <c r="AE27"/>
  <c r="R30"/>
  <c r="S30" s="1"/>
  <c r="AE30"/>
  <c r="AG30"/>
  <c r="R35"/>
  <c r="S35" s="1"/>
  <c r="AE35"/>
  <c r="AG35"/>
  <c r="R21"/>
  <c r="S21" s="1"/>
  <c r="AE21"/>
  <c r="AG21"/>
  <c r="R28"/>
  <c r="S28" s="1"/>
  <c r="AE28"/>
  <c r="AG28"/>
  <c r="R20"/>
  <c r="S20" s="1"/>
  <c r="AE20"/>
  <c r="AG20"/>
  <c r="R36"/>
  <c r="S36" s="1"/>
  <c r="AE36"/>
  <c r="AG36"/>
  <c r="R22"/>
  <c r="S22" s="1"/>
  <c r="AE22"/>
  <c r="AG22"/>
  <c r="R26"/>
  <c r="S26" s="1"/>
  <c r="AE26"/>
  <c r="AG26"/>
  <c r="R29"/>
  <c r="S29" s="1"/>
  <c r="AE29"/>
  <c r="AG29"/>
  <c r="R34"/>
  <c r="S34" s="1"/>
  <c r="AE34"/>
  <c r="AG34"/>
  <c r="R18"/>
  <c r="S18" s="1"/>
  <c r="AG18"/>
  <c r="AH18" s="1"/>
  <c r="AE18"/>
  <c r="R17"/>
  <c r="S17" s="1"/>
  <c r="AG17"/>
  <c r="AH17" s="1"/>
  <c r="AE17"/>
  <c r="R16"/>
  <c r="S16" s="1"/>
  <c r="AG16"/>
  <c r="AH16" s="1"/>
  <c r="AE16"/>
  <c r="R15"/>
  <c r="S15" s="1"/>
  <c r="AE15"/>
  <c r="AG15"/>
  <c r="AH15" s="1"/>
  <c r="R10"/>
  <c r="S10" s="1"/>
  <c r="AG10"/>
  <c r="AH10" s="1"/>
  <c r="AE10"/>
  <c r="R9"/>
  <c r="S9" s="1"/>
  <c r="AG9"/>
  <c r="AH9" s="1"/>
  <c r="AE9"/>
  <c r="R12"/>
  <c r="S12" s="1"/>
  <c r="AG12"/>
  <c r="AH12" s="1"/>
  <c r="AE12"/>
  <c r="R4"/>
  <c r="S4" s="1"/>
  <c r="AG4"/>
  <c r="AH4" s="1"/>
  <c r="AE4"/>
  <c r="R6"/>
  <c r="S6" s="1"/>
  <c r="AG6"/>
  <c r="AH6" s="1"/>
  <c r="AE6"/>
  <c r="R5"/>
  <c r="S5" s="1"/>
  <c r="AE5"/>
  <c r="AG5"/>
  <c r="AH5" s="1"/>
  <c r="R11"/>
  <c r="S11" s="1"/>
  <c r="AE11"/>
  <c r="AG11"/>
  <c r="AH11" s="1"/>
  <c r="R3"/>
  <c r="S3" s="1"/>
  <c r="AG3"/>
  <c r="AH3" s="1"/>
  <c r="AE3"/>
  <c r="R8"/>
  <c r="S8" s="1"/>
  <c r="AG8"/>
  <c r="AH8" s="1"/>
  <c r="AE8"/>
  <c r="O7"/>
  <c r="Q7" s="1"/>
  <c r="H99" i="1"/>
  <c r="I99" s="1"/>
  <c r="R7" i="5" l="1"/>
  <c r="S7" s="1"/>
  <c r="AE7"/>
  <c r="AG7"/>
  <c r="AH7" s="1"/>
  <c r="O1" i="10"/>
  <c r="I1" i="12" l="1"/>
  <c r="H20" i="14" l="1"/>
  <c r="H22" s="1"/>
</calcChain>
</file>

<file path=xl/sharedStrings.xml><?xml version="1.0" encoding="utf-8"?>
<sst xmlns="http://schemas.openxmlformats.org/spreadsheetml/2006/main" count="7477" uniqueCount="2423">
  <si>
    <t>Benefit and costs to client</t>
  </si>
  <si>
    <t>Licensee</t>
  </si>
  <si>
    <t>Licensor</t>
  </si>
  <si>
    <t>Product name</t>
  </si>
  <si>
    <t>Services Amounts</t>
  </si>
  <si>
    <t>Cash Amounts to clients if Avobob do funeral full payout for Muslim plan</t>
  </si>
  <si>
    <t>Price to client</t>
  </si>
  <si>
    <t>Once off Fee to client</t>
  </si>
  <si>
    <t>Once off Fee  commission to Licensee</t>
  </si>
  <si>
    <t>Monthly recurring fee</t>
  </si>
  <si>
    <t>Once off Fee commission  to Licensor</t>
  </si>
  <si>
    <t>Collection fees</t>
  </si>
  <si>
    <t xml:space="preserve">Risk premiums including airtime costs </t>
  </si>
  <si>
    <t>Admin fees</t>
  </si>
  <si>
    <t>Sim Cost</t>
  </si>
  <si>
    <t>Total Premium</t>
  </si>
  <si>
    <t>Benefit Airtime value</t>
  </si>
  <si>
    <t>Add-ons</t>
  </si>
  <si>
    <t>Payout  ages 
6 - 13</t>
  </si>
  <si>
    <t xml:space="preserve">Payout Ages 
0 - 5 </t>
  </si>
  <si>
    <t>Payout Stillborn</t>
  </si>
  <si>
    <t>Nil</t>
  </si>
  <si>
    <t>plus 100sms</t>
  </si>
  <si>
    <t>N/A</t>
  </si>
  <si>
    <t>R4,000.00</t>
  </si>
  <si>
    <t>plus 200sms</t>
  </si>
  <si>
    <t>plus 100mb data</t>
  </si>
  <si>
    <t>Intabanet Care Plan - Extendeds</t>
  </si>
  <si>
    <t>Islamic Diamond</t>
  </si>
  <si>
    <t>Monthy Airtime Amount</t>
  </si>
  <si>
    <t>Annual airtime</t>
  </si>
  <si>
    <t>sms per annual</t>
  </si>
  <si>
    <t>Price</t>
  </si>
  <si>
    <t>Activation fee to be added to price</t>
  </si>
  <si>
    <t>Activation fee commission to Licensee</t>
  </si>
  <si>
    <t>Once off fee</t>
  </si>
  <si>
    <t>Costs</t>
  </si>
  <si>
    <t>Sim</t>
  </si>
  <si>
    <t>Total cost to client</t>
  </si>
  <si>
    <t>% Discount on airtime</t>
  </si>
  <si>
    <t>Product Code</t>
  </si>
  <si>
    <t>Total net to Licensor</t>
  </si>
  <si>
    <t>Date</t>
  </si>
  <si>
    <t>Co. No.</t>
  </si>
  <si>
    <t>Address1</t>
  </si>
  <si>
    <t>Address2</t>
  </si>
  <si>
    <t>Suburb</t>
  </si>
  <si>
    <t>City</t>
  </si>
  <si>
    <t>Province</t>
  </si>
  <si>
    <t>Code</t>
  </si>
  <si>
    <t>Contact Person</t>
  </si>
  <si>
    <t>Tel office</t>
  </si>
  <si>
    <t>Fax</t>
  </si>
  <si>
    <t>Cell</t>
  </si>
  <si>
    <t>e-mail</t>
  </si>
  <si>
    <t>License no.</t>
  </si>
  <si>
    <t>Tax No.</t>
  </si>
  <si>
    <t>Vat No.</t>
  </si>
  <si>
    <t>Bank</t>
  </si>
  <si>
    <t>Account Name</t>
  </si>
  <si>
    <t>Account No.</t>
  </si>
  <si>
    <t>Account Type</t>
  </si>
  <si>
    <t>Status</t>
  </si>
  <si>
    <t>Business Name</t>
  </si>
  <si>
    <t>Branch code</t>
  </si>
  <si>
    <t>Active</t>
  </si>
  <si>
    <t>Unpaid</t>
  </si>
  <si>
    <t>Suspended</t>
  </si>
  <si>
    <t>Terminated</t>
  </si>
  <si>
    <t>License Fee Status</t>
  </si>
  <si>
    <t>License Fee Amount</t>
  </si>
  <si>
    <t>Paid</t>
  </si>
  <si>
    <t>Deferred</t>
  </si>
  <si>
    <t>___</t>
  </si>
  <si>
    <t>Intabanet</t>
  </si>
  <si>
    <t/>
  </si>
  <si>
    <t>4 Beach Road</t>
  </si>
  <si>
    <t>Melkbos</t>
  </si>
  <si>
    <t>Cape Town</t>
  </si>
  <si>
    <t>7441</t>
  </si>
  <si>
    <t>Brian Black</t>
  </si>
  <si>
    <t>021 558 8835</t>
  </si>
  <si>
    <t>082 517 5710</t>
  </si>
  <si>
    <t>bblack@intabanet.co.za</t>
  </si>
  <si>
    <t>086 459 1850</t>
  </si>
  <si>
    <t>Intaba Silusapho</t>
  </si>
  <si>
    <t>1088967841</t>
  </si>
  <si>
    <t>198765</t>
  </si>
  <si>
    <t>Current</t>
  </si>
  <si>
    <t>Nedbank</t>
  </si>
  <si>
    <t>27/2/2015</t>
  </si>
  <si>
    <t>21 Harmony Close</t>
  </si>
  <si>
    <t>Belhar Ext 7</t>
  </si>
  <si>
    <t>7493</t>
  </si>
  <si>
    <t>Tyrone Verene</t>
  </si>
  <si>
    <t>081 742 0227</t>
  </si>
  <si>
    <t>tjverone@gmail.com</t>
  </si>
  <si>
    <t>086 544 4765</t>
  </si>
  <si>
    <t>5000</t>
  </si>
  <si>
    <t>Undertake to pay license fees within 6 months</t>
  </si>
  <si>
    <t>Comments</t>
  </si>
  <si>
    <t>____</t>
  </si>
  <si>
    <t>Agent No.</t>
  </si>
  <si>
    <t>Licensee No.</t>
  </si>
  <si>
    <t>Date Started</t>
  </si>
  <si>
    <t>First Name</t>
  </si>
  <si>
    <t>Surname</t>
  </si>
  <si>
    <t>Address 1</t>
  </si>
  <si>
    <t>Address 2</t>
  </si>
  <si>
    <t>Postal Code</t>
  </si>
  <si>
    <t>Tel Home</t>
  </si>
  <si>
    <t>E-mail</t>
  </si>
  <si>
    <t>ID No.</t>
  </si>
  <si>
    <t>Fee Paid</t>
  </si>
  <si>
    <t>Amount</t>
  </si>
  <si>
    <t>Yes</t>
  </si>
  <si>
    <t>No</t>
  </si>
  <si>
    <t>Resigned</t>
  </si>
  <si>
    <t>Trained Date</t>
  </si>
  <si>
    <t>Certificate date</t>
  </si>
  <si>
    <t>WC</t>
  </si>
  <si>
    <t>1/1/2015</t>
  </si>
  <si>
    <t>Brian F</t>
  </si>
  <si>
    <t>Black</t>
  </si>
  <si>
    <t>9 Letchworth Drive</t>
  </si>
  <si>
    <t>Edgemead</t>
  </si>
  <si>
    <t>5212225019088</t>
  </si>
  <si>
    <t>bfb1</t>
  </si>
  <si>
    <t>tjv1</t>
  </si>
  <si>
    <t>ID</t>
  </si>
  <si>
    <t>Satement</t>
  </si>
  <si>
    <t>bfb1/1001</t>
  </si>
  <si>
    <t>Airtime only per month - 50</t>
  </si>
  <si>
    <t>Airtime only per month 145</t>
  </si>
  <si>
    <t>First month payment</t>
  </si>
  <si>
    <t>Total Net to Licensor</t>
  </si>
  <si>
    <t>Airtime only per month - 115</t>
  </si>
  <si>
    <t>AIRTIME SUPPLIER - Cell C</t>
  </si>
  <si>
    <t>Single Airtime/Funeral Plan Cell C 5</t>
  </si>
  <si>
    <t>Family Airtime/Funeral Plan Cell C 10</t>
  </si>
  <si>
    <t>Family  Airtime/Funeral Plan Cell C 18</t>
  </si>
  <si>
    <t>Family Airtime/Funeral Plan Vodacom 18</t>
  </si>
  <si>
    <t>Islamic Airtime/Burial Single Plan - Cell C</t>
  </si>
  <si>
    <t>Islamic  Airtime/Burial Family Plan - Cell C</t>
  </si>
  <si>
    <t>Islamic  Airtime/Burial Family Plan - Vodacom</t>
  </si>
  <si>
    <t>Risk cover</t>
  </si>
  <si>
    <t>Airtime</t>
  </si>
  <si>
    <t>Family Airtime/Funeral Plan Cell C 5</t>
  </si>
  <si>
    <t>Single Airtime/Funeral Plan Cell C 10</t>
  </si>
  <si>
    <t>Single Airtime/Funeral Plan Cell C 18</t>
  </si>
  <si>
    <t>Single Airtime/Funeral Plan Vodacom 18</t>
  </si>
  <si>
    <t>Islamic Airtime/Burial Family Plan - Cell C</t>
  </si>
  <si>
    <t>Islamic  Airtime/Burial Single Plan - Cell C</t>
  </si>
  <si>
    <t>Islamic  Airtime/Burial Single Plan - Vodacom</t>
  </si>
  <si>
    <t xml:space="preserve">Intabanet Family Care Plan - Basic </t>
  </si>
  <si>
    <t>Intabanet Single Care Plan - Basic</t>
  </si>
  <si>
    <t>Intabanet Family Care Plan - Gold</t>
  </si>
  <si>
    <t>Intabanet Family Care Plan - Diamond</t>
  </si>
  <si>
    <t>ntabanet Single Care Plan - Diamond</t>
  </si>
  <si>
    <t>CFJ Intabanet Family Care Plan - Basic</t>
  </si>
  <si>
    <t>CFJ Intabanet Single Care Plan - Basic</t>
  </si>
  <si>
    <t>CFJ ntabanet Family Care Plan - Gold</t>
  </si>
  <si>
    <t>CFJ ntabanet Single Care Plan - Gold</t>
  </si>
  <si>
    <t>CFJ IntabaNet Family Care Plan - Diamond</t>
  </si>
  <si>
    <t>CFJ IntabaNet Single Care Plan - Diamond</t>
  </si>
  <si>
    <t>Islamic Family  Gold</t>
  </si>
  <si>
    <t>Islamic Single  Gold</t>
  </si>
  <si>
    <t>Islamic Family Diamond</t>
  </si>
  <si>
    <t>GBF48</t>
  </si>
  <si>
    <t>GBS48</t>
  </si>
  <si>
    <t>GGS78</t>
  </si>
  <si>
    <t>GGF78</t>
  </si>
  <si>
    <t>IGGF48</t>
  </si>
  <si>
    <t>IGGS48</t>
  </si>
  <si>
    <t>IGDF78</t>
  </si>
  <si>
    <t>IGDS78</t>
  </si>
  <si>
    <t>S</t>
  </si>
  <si>
    <t>CGBF58</t>
  </si>
  <si>
    <t>CGBS58</t>
  </si>
  <si>
    <t>CGGF88</t>
  </si>
  <si>
    <t>CGGS88</t>
  </si>
  <si>
    <t>CGDF105</t>
  </si>
  <si>
    <t>CGDS105</t>
  </si>
  <si>
    <t>Once off Activation Fee commission</t>
  </si>
  <si>
    <t>Agent</t>
  </si>
  <si>
    <t>Sale Date</t>
  </si>
  <si>
    <t>Payment Method</t>
  </si>
  <si>
    <t>Risk</t>
  </si>
  <si>
    <t>Agent Status</t>
  </si>
  <si>
    <t>Up-Front</t>
  </si>
  <si>
    <t>Annuity</t>
  </si>
  <si>
    <t>EasyPay</t>
  </si>
  <si>
    <t>Bank Deposit</t>
  </si>
  <si>
    <t>Premium</t>
  </si>
  <si>
    <t>EFT</t>
  </si>
  <si>
    <t>Method</t>
  </si>
  <si>
    <t>Cost</t>
  </si>
  <si>
    <t>Debit order</t>
  </si>
  <si>
    <t>Policy Numbers</t>
  </si>
  <si>
    <t xml:space="preserve">Collection </t>
  </si>
  <si>
    <t>dfb1/1202</t>
  </si>
  <si>
    <t>dfb1</t>
  </si>
  <si>
    <t>18/2/2015</t>
  </si>
  <si>
    <t>Frankie</t>
  </si>
  <si>
    <t>Dass</t>
  </si>
  <si>
    <t>Po Box 539</t>
  </si>
  <si>
    <t>Suder Paarl</t>
  </si>
  <si>
    <t>Paarl</t>
  </si>
  <si>
    <t>083 538 3253</t>
  </si>
  <si>
    <t>7511195243083</t>
  </si>
  <si>
    <t>Branch Code</t>
  </si>
  <si>
    <t>Frankie Dass</t>
  </si>
  <si>
    <t>1372551318</t>
  </si>
  <si>
    <t>Savings</t>
  </si>
  <si>
    <t>Capitec</t>
  </si>
  <si>
    <t>APD</t>
  </si>
  <si>
    <t>Nabeelah</t>
  </si>
  <si>
    <t>Allie</t>
  </si>
  <si>
    <t>084 792 2509</t>
  </si>
  <si>
    <t>7010070234085</t>
  </si>
  <si>
    <t>dfb1/1201</t>
  </si>
  <si>
    <t>Christina S M</t>
  </si>
  <si>
    <t>Stapelberg</t>
  </si>
  <si>
    <t>Pontas Str 4</t>
  </si>
  <si>
    <t>7646</t>
  </si>
  <si>
    <t>021 872 7717</t>
  </si>
  <si>
    <t>072 332 1027</t>
  </si>
  <si>
    <t>6501070024089</t>
  </si>
  <si>
    <t>dfb1/1200</t>
  </si>
  <si>
    <t>dfb1/1003</t>
  </si>
  <si>
    <t>Carmel P J</t>
  </si>
  <si>
    <t>Nikiforou</t>
  </si>
  <si>
    <t>7 van der Byl Ave</t>
  </si>
  <si>
    <t>Durbanville</t>
  </si>
  <si>
    <t>7550</t>
  </si>
  <si>
    <t>021 979 3945</t>
  </si>
  <si>
    <t>082 443 7087</t>
  </si>
  <si>
    <t>carmel@sh-zen.co.za</t>
  </si>
  <si>
    <t>6003180106088</t>
  </si>
  <si>
    <t>5 Meerhof Str</t>
  </si>
  <si>
    <t>62261186714</t>
  </si>
  <si>
    <t>FNB</t>
  </si>
  <si>
    <t>jdj1</t>
  </si>
  <si>
    <t>J D Consulting Business</t>
  </si>
  <si>
    <t>9 Keurboom Street</t>
  </si>
  <si>
    <t>Northpine</t>
  </si>
  <si>
    <t>Cape town</t>
  </si>
  <si>
    <t>8002</t>
  </si>
  <si>
    <t>Julius Jonkers</t>
  </si>
  <si>
    <t>021 982 4130</t>
  </si>
  <si>
    <t>083 700 4027</t>
  </si>
  <si>
    <t>625-577-02-8</t>
  </si>
  <si>
    <t>62411342017</t>
  </si>
  <si>
    <t>250655</t>
  </si>
  <si>
    <t>Cheque</t>
  </si>
  <si>
    <t>bsf1</t>
  </si>
  <si>
    <t>Bakka Saban</t>
  </si>
  <si>
    <t>8 Coventry Road</t>
  </si>
  <si>
    <t>Woodstock</t>
  </si>
  <si>
    <t>7925</t>
  </si>
  <si>
    <t>083 460 3643</t>
  </si>
  <si>
    <t>bakkasaban@gmail.com</t>
  </si>
  <si>
    <t>Own Licensee</t>
  </si>
  <si>
    <t>Retired</t>
  </si>
  <si>
    <t>Deceased</t>
  </si>
  <si>
    <t>tjv1/1001</t>
  </si>
  <si>
    <t>5/3/2015</t>
  </si>
  <si>
    <t>Mark</t>
  </si>
  <si>
    <t>Felix</t>
  </si>
  <si>
    <t>3 Pereira Crescent</t>
  </si>
  <si>
    <t>Soneike</t>
  </si>
  <si>
    <t>Kuilsriver</t>
  </si>
  <si>
    <t>7580</t>
  </si>
  <si>
    <t>061 178 3476</t>
  </si>
  <si>
    <t>6311165238085</t>
  </si>
  <si>
    <t>250</t>
  </si>
  <si>
    <t>Mark Stephen Felix</t>
  </si>
  <si>
    <t>1406947324</t>
  </si>
  <si>
    <t>470010</t>
  </si>
  <si>
    <t>tjv1/1000</t>
  </si>
  <si>
    <t>Tyrone J</t>
  </si>
  <si>
    <t>Verone</t>
  </si>
  <si>
    <t>21armony Close</t>
  </si>
  <si>
    <t>Ext 7</t>
  </si>
  <si>
    <t>Belhar</t>
  </si>
  <si>
    <t>021 952 1678</t>
  </si>
  <si>
    <t>6701035169082</t>
  </si>
  <si>
    <t>0854156155</t>
  </si>
  <si>
    <t>T J Verone</t>
  </si>
  <si>
    <t>272857297</t>
  </si>
  <si>
    <t>050010</t>
  </si>
  <si>
    <t>Standard</t>
  </si>
  <si>
    <t>957550260012</t>
  </si>
  <si>
    <t>957550260020</t>
  </si>
  <si>
    <t>957550260038</t>
  </si>
  <si>
    <t>957550260046</t>
  </si>
  <si>
    <t>957550260053</t>
  </si>
  <si>
    <t>957550260061</t>
  </si>
  <si>
    <t>957550260079</t>
  </si>
  <si>
    <t>957550260087</t>
  </si>
  <si>
    <t>957550260095</t>
  </si>
  <si>
    <t>957550260103</t>
  </si>
  <si>
    <t>957550260111</t>
  </si>
  <si>
    <t>957550260129</t>
  </si>
  <si>
    <t>957550260137</t>
  </si>
  <si>
    <t>957550260145</t>
  </si>
  <si>
    <t>957550260152</t>
  </si>
  <si>
    <t>957550260160</t>
  </si>
  <si>
    <t>957550260178</t>
  </si>
  <si>
    <t>957550260186</t>
  </si>
  <si>
    <t>957550260194</t>
  </si>
  <si>
    <t>957550260202</t>
  </si>
  <si>
    <t>957550260210</t>
  </si>
  <si>
    <t>957550260228</t>
  </si>
  <si>
    <t>957550260236</t>
  </si>
  <si>
    <t>957550260244</t>
  </si>
  <si>
    <t>957550260251</t>
  </si>
  <si>
    <t>957550260269</t>
  </si>
  <si>
    <t>957550260277</t>
  </si>
  <si>
    <t>957550260285</t>
  </si>
  <si>
    <t>957550260293</t>
  </si>
  <si>
    <t>957550260301</t>
  </si>
  <si>
    <t>957550260319</t>
  </si>
  <si>
    <t>957550260327</t>
  </si>
  <si>
    <t>957550260335</t>
  </si>
  <si>
    <t>957550260343</t>
  </si>
  <si>
    <t>957550260350</t>
  </si>
  <si>
    <t>957550260368</t>
  </si>
  <si>
    <t>957550260376</t>
  </si>
  <si>
    <t>957550260384</t>
  </si>
  <si>
    <t>957550260392</t>
  </si>
  <si>
    <t>957550260400</t>
  </si>
  <si>
    <t>957550260418</t>
  </si>
  <si>
    <t>957550260426</t>
  </si>
  <si>
    <t>957550260434</t>
  </si>
  <si>
    <t>957550260442</t>
  </si>
  <si>
    <t>957550260459</t>
  </si>
  <si>
    <t>957550260467</t>
  </si>
  <si>
    <t>957550260475</t>
  </si>
  <si>
    <t>957550260483</t>
  </si>
  <si>
    <t>957550260491</t>
  </si>
  <si>
    <t>957550260509</t>
  </si>
  <si>
    <t>957550260517</t>
  </si>
  <si>
    <t>957550260525</t>
  </si>
  <si>
    <t>957550260533</t>
  </si>
  <si>
    <t>957550260541</t>
  </si>
  <si>
    <t>957550260558</t>
  </si>
  <si>
    <t>957550260566</t>
  </si>
  <si>
    <t>957550260574</t>
  </si>
  <si>
    <t>957550260582</t>
  </si>
  <si>
    <t>957550260590</t>
  </si>
  <si>
    <t>957550260608</t>
  </si>
  <si>
    <t>957550260616</t>
  </si>
  <si>
    <t>957550260624</t>
  </si>
  <si>
    <t>957550260632</t>
  </si>
  <si>
    <t>957550260640</t>
  </si>
  <si>
    <t>957550260657</t>
  </si>
  <si>
    <t>957550260665</t>
  </si>
  <si>
    <t>957550260673</t>
  </si>
  <si>
    <t>957550260681</t>
  </si>
  <si>
    <t>957550260699</t>
  </si>
  <si>
    <t>957550260707</t>
  </si>
  <si>
    <t>957550260715</t>
  </si>
  <si>
    <t>957550260723</t>
  </si>
  <si>
    <t>957550260731</t>
  </si>
  <si>
    <t>957550260749</t>
  </si>
  <si>
    <t>957550260756</t>
  </si>
  <si>
    <t>957550260764</t>
  </si>
  <si>
    <t>957550260772</t>
  </si>
  <si>
    <t>957550260780</t>
  </si>
  <si>
    <t>957550260798</t>
  </si>
  <si>
    <t>957550260806</t>
  </si>
  <si>
    <t>957550260814</t>
  </si>
  <si>
    <t>957550260822</t>
  </si>
  <si>
    <t>957550260830</t>
  </si>
  <si>
    <t>957550260848</t>
  </si>
  <si>
    <t>957550260855</t>
  </si>
  <si>
    <t>957550260863</t>
  </si>
  <si>
    <t>957550260871</t>
  </si>
  <si>
    <t>957550260889</t>
  </si>
  <si>
    <t>957550260897</t>
  </si>
  <si>
    <t>957550260905</t>
  </si>
  <si>
    <t>957550260913</t>
  </si>
  <si>
    <t>957550260921</t>
  </si>
  <si>
    <t>957550260939</t>
  </si>
  <si>
    <t>957550260947</t>
  </si>
  <si>
    <t>957550260954</t>
  </si>
  <si>
    <t>957550260962</t>
  </si>
  <si>
    <t>957550260970</t>
  </si>
  <si>
    <t>957550260988</t>
  </si>
  <si>
    <t>957550260996</t>
  </si>
  <si>
    <t>957550261002</t>
  </si>
  <si>
    <t>957550261010</t>
  </si>
  <si>
    <t>957550261028</t>
  </si>
  <si>
    <t>957550261036</t>
  </si>
  <si>
    <t>957550261044</t>
  </si>
  <si>
    <t>957550261051</t>
  </si>
  <si>
    <t>957550261069</t>
  </si>
  <si>
    <t>957550261077</t>
  </si>
  <si>
    <t>957550261085</t>
  </si>
  <si>
    <t>957550261093</t>
  </si>
  <si>
    <t>957550261101</t>
  </si>
  <si>
    <t>957550261119</t>
  </si>
  <si>
    <t>957550261127</t>
  </si>
  <si>
    <t>957550261135</t>
  </si>
  <si>
    <t>957550261143</t>
  </si>
  <si>
    <t>957550261150</t>
  </si>
  <si>
    <t>957550261168</t>
  </si>
  <si>
    <t>957550261176</t>
  </si>
  <si>
    <t>957550261184</t>
  </si>
  <si>
    <t>957550261192</t>
  </si>
  <si>
    <t>957550261200</t>
  </si>
  <si>
    <t>957550261218</t>
  </si>
  <si>
    <t>957550261226</t>
  </si>
  <si>
    <t>957550261234</t>
  </si>
  <si>
    <t>957550261242</t>
  </si>
  <si>
    <t>957550261259</t>
  </si>
  <si>
    <t>957550261267</t>
  </si>
  <si>
    <t>957550261275</t>
  </si>
  <si>
    <t>957550261283</t>
  </si>
  <si>
    <t>957550261291</t>
  </si>
  <si>
    <t>957550261309</t>
  </si>
  <si>
    <t>957550261317</t>
  </si>
  <si>
    <t>957550261325</t>
  </si>
  <si>
    <t>957550261333</t>
  </si>
  <si>
    <t>957550261341</t>
  </si>
  <si>
    <t>957550261358</t>
  </si>
  <si>
    <t>957550261366</t>
  </si>
  <si>
    <t>957550261374</t>
  </si>
  <si>
    <t>957550261382</t>
  </si>
  <si>
    <t>957550261390</t>
  </si>
  <si>
    <t>957550261408</t>
  </si>
  <si>
    <t>957550261416</t>
  </si>
  <si>
    <t>957550261424</t>
  </si>
  <si>
    <t>957550261432</t>
  </si>
  <si>
    <t>957550261440</t>
  </si>
  <si>
    <t>957550261457</t>
  </si>
  <si>
    <t>957550261465</t>
  </si>
  <si>
    <t>957550261473</t>
  </si>
  <si>
    <t>957550261481</t>
  </si>
  <si>
    <t>957550261499</t>
  </si>
  <si>
    <t>957550261507</t>
  </si>
  <si>
    <t>957550261515</t>
  </si>
  <si>
    <t>957550261523</t>
  </si>
  <si>
    <t>957550261531</t>
  </si>
  <si>
    <t>957550261549</t>
  </si>
  <si>
    <t>957550261556</t>
  </si>
  <si>
    <t>957550261564</t>
  </si>
  <si>
    <t>957550261572</t>
  </si>
  <si>
    <t>957550261580</t>
  </si>
  <si>
    <t>957550261598</t>
  </si>
  <si>
    <t>957550261606</t>
  </si>
  <si>
    <t>957550261614</t>
  </si>
  <si>
    <t>957550261622</t>
  </si>
  <si>
    <t>957550261630</t>
  </si>
  <si>
    <t>957550261648</t>
  </si>
  <si>
    <t>957550261655</t>
  </si>
  <si>
    <t>957550261663</t>
  </si>
  <si>
    <t>957550261671</t>
  </si>
  <si>
    <t>957550261689</t>
  </si>
  <si>
    <t>957550261697</t>
  </si>
  <si>
    <t>957550261705</t>
  </si>
  <si>
    <t>957550261713</t>
  </si>
  <si>
    <t>957550261721</t>
  </si>
  <si>
    <t>957550261739</t>
  </si>
  <si>
    <t>957550261747</t>
  </si>
  <si>
    <t>957550261754</t>
  </si>
  <si>
    <t>957550261762</t>
  </si>
  <si>
    <t>957550261770</t>
  </si>
  <si>
    <t>957550261788</t>
  </si>
  <si>
    <t>957550261796</t>
  </si>
  <si>
    <t>957550261804</t>
  </si>
  <si>
    <t>957550261812</t>
  </si>
  <si>
    <t>957550261838</t>
  </si>
  <si>
    <t>957550261846</t>
  </si>
  <si>
    <t>957550261853</t>
  </si>
  <si>
    <t>957550261861</t>
  </si>
  <si>
    <t>957550261879</t>
  </si>
  <si>
    <t>957550261887</t>
  </si>
  <si>
    <t>957550261895</t>
  </si>
  <si>
    <t>957550261903</t>
  </si>
  <si>
    <t>957550261911</t>
  </si>
  <si>
    <t>957550261929</t>
  </si>
  <si>
    <t>957550261937</t>
  </si>
  <si>
    <t>957550261945</t>
  </si>
  <si>
    <t>957550261952</t>
  </si>
  <si>
    <t>957550261960</t>
  </si>
  <si>
    <t>957550261978</t>
  </si>
  <si>
    <t>957550261986</t>
  </si>
  <si>
    <t>957550261994</t>
  </si>
  <si>
    <t>957550262000</t>
  </si>
  <si>
    <t>957550262018</t>
  </si>
  <si>
    <t>957550262026</t>
  </si>
  <si>
    <t>957550262034</t>
  </si>
  <si>
    <t>957550262042</t>
  </si>
  <si>
    <t>957550262059</t>
  </si>
  <si>
    <t>957550262067</t>
  </si>
  <si>
    <t>957550262075</t>
  </si>
  <si>
    <t>957550262083</t>
  </si>
  <si>
    <t>957550262091</t>
  </si>
  <si>
    <t>957550262109</t>
  </si>
  <si>
    <t>957550262117</t>
  </si>
  <si>
    <t>957550262125</t>
  </si>
  <si>
    <t>957550262133</t>
  </si>
  <si>
    <t>957550262141</t>
  </si>
  <si>
    <t>957550262158</t>
  </si>
  <si>
    <t>957550262166</t>
  </si>
  <si>
    <t>957550262174</t>
  </si>
  <si>
    <t>957550262182</t>
  </si>
  <si>
    <t>957550262190</t>
  </si>
  <si>
    <t>957550262208</t>
  </si>
  <si>
    <t>957550262216</t>
  </si>
  <si>
    <t>957550262224</t>
  </si>
  <si>
    <t>957550262232</t>
  </si>
  <si>
    <t>957550262240</t>
  </si>
  <si>
    <t>957550262257</t>
  </si>
  <si>
    <t>957550262265</t>
  </si>
  <si>
    <t>957550262273</t>
  </si>
  <si>
    <t>957550262281</t>
  </si>
  <si>
    <t>957550262299</t>
  </si>
  <si>
    <t>957550262307</t>
  </si>
  <si>
    <t>957550262315</t>
  </si>
  <si>
    <t>957550262323</t>
  </si>
  <si>
    <t>957550262331</t>
  </si>
  <si>
    <t>957550262349</t>
  </si>
  <si>
    <t>957550262356</t>
  </si>
  <si>
    <t>957550262364</t>
  </si>
  <si>
    <t>957550262372</t>
  </si>
  <si>
    <t>957550262380</t>
  </si>
  <si>
    <t>957550262398</t>
  </si>
  <si>
    <t>957550262406</t>
  </si>
  <si>
    <t>957550262414</t>
  </si>
  <si>
    <t>957550262422</t>
  </si>
  <si>
    <t>957550262430</t>
  </si>
  <si>
    <t>957550262448</t>
  </si>
  <si>
    <t>957550262455</t>
  </si>
  <si>
    <t>957550262463</t>
  </si>
  <si>
    <t>957550262471</t>
  </si>
  <si>
    <t>957550262489</t>
  </si>
  <si>
    <t>957550262497</t>
  </si>
  <si>
    <t>957550262505</t>
  </si>
  <si>
    <t>957550262513</t>
  </si>
  <si>
    <t>957550262521</t>
  </si>
  <si>
    <t>957550262539</t>
  </si>
  <si>
    <t>957550262547</t>
  </si>
  <si>
    <t>957550262554</t>
  </si>
  <si>
    <t>957550262562</t>
  </si>
  <si>
    <t>957550262570</t>
  </si>
  <si>
    <t>957550262588</t>
  </si>
  <si>
    <t>957550262596</t>
  </si>
  <si>
    <t>957550262604</t>
  </si>
  <si>
    <t>957550262612</t>
  </si>
  <si>
    <t>957550262620</t>
  </si>
  <si>
    <t>957550262638</t>
  </si>
  <si>
    <t>957550262646</t>
  </si>
  <si>
    <t>957550262653</t>
  </si>
  <si>
    <t>957550262661</t>
  </si>
  <si>
    <t>957550262679</t>
  </si>
  <si>
    <t>957550262687</t>
  </si>
  <si>
    <t>957550262695</t>
  </si>
  <si>
    <t>957550262703</t>
  </si>
  <si>
    <t>957550262711</t>
  </si>
  <si>
    <t>957550262729</t>
  </si>
  <si>
    <t>957550262737</t>
  </si>
  <si>
    <t>957550262745</t>
  </si>
  <si>
    <t>957550262752</t>
  </si>
  <si>
    <t>957550262760</t>
  </si>
  <si>
    <t>957550262778</t>
  </si>
  <si>
    <t>957550262786</t>
  </si>
  <si>
    <t>957550262794</t>
  </si>
  <si>
    <t>957550262802</t>
  </si>
  <si>
    <t>957550262810</t>
  </si>
  <si>
    <t>957550262828</t>
  </si>
  <si>
    <t>957550262836</t>
  </si>
  <si>
    <t>957550262844</t>
  </si>
  <si>
    <t>957550262851</t>
  </si>
  <si>
    <t>957550262869</t>
  </si>
  <si>
    <t>957550262877</t>
  </si>
  <si>
    <t>957550262885</t>
  </si>
  <si>
    <t>957550262893</t>
  </si>
  <si>
    <t>957550262901</t>
  </si>
  <si>
    <t>957550262919</t>
  </si>
  <si>
    <t>957550262927</t>
  </si>
  <si>
    <t>957550262935</t>
  </si>
  <si>
    <t>957550262943</t>
  </si>
  <si>
    <t>957550262950</t>
  </si>
  <si>
    <t>957550262968</t>
  </si>
  <si>
    <t>957550262976</t>
  </si>
  <si>
    <t>957550262984</t>
  </si>
  <si>
    <t>957550262992</t>
  </si>
  <si>
    <t>957550263008</t>
  </si>
  <si>
    <t>957550263016</t>
  </si>
  <si>
    <t>957550263024</t>
  </si>
  <si>
    <t>957550263032</t>
  </si>
  <si>
    <t>957550263040</t>
  </si>
  <si>
    <t>957550263057</t>
  </si>
  <si>
    <t>957550263065</t>
  </si>
  <si>
    <t>957550263073</t>
  </si>
  <si>
    <t>957550263081</t>
  </si>
  <si>
    <t>957550263099</t>
  </si>
  <si>
    <t>957550263107</t>
  </si>
  <si>
    <t>957550263115</t>
  </si>
  <si>
    <t>957550263123</t>
  </si>
  <si>
    <t>957550263131</t>
  </si>
  <si>
    <t>957550263149</t>
  </si>
  <si>
    <t>957550263156</t>
  </si>
  <si>
    <t>957550263164</t>
  </si>
  <si>
    <t>957550263172</t>
  </si>
  <si>
    <t>957550263180</t>
  </si>
  <si>
    <t>957550263198</t>
  </si>
  <si>
    <t>957550263206</t>
  </si>
  <si>
    <t>957550263214</t>
  </si>
  <si>
    <t>957550263222</t>
  </si>
  <si>
    <t>957550263230</t>
  </si>
  <si>
    <t>957550263248</t>
  </si>
  <si>
    <t>957550263255</t>
  </si>
  <si>
    <t>957550263263</t>
  </si>
  <si>
    <t>957550263271</t>
  </si>
  <si>
    <t>957550263289</t>
  </si>
  <si>
    <t>957550263297</t>
  </si>
  <si>
    <t>957550263305</t>
  </si>
  <si>
    <t>957550263313</t>
  </si>
  <si>
    <t>957550263321</t>
  </si>
  <si>
    <t>957550263339</t>
  </si>
  <si>
    <t>957550263347</t>
  </si>
  <si>
    <t>957550263354</t>
  </si>
  <si>
    <t>957550263362</t>
  </si>
  <si>
    <t>957550263370</t>
  </si>
  <si>
    <t>957550263388</t>
  </si>
  <si>
    <t>957550263396</t>
  </si>
  <si>
    <t>957550263404</t>
  </si>
  <si>
    <t>957550263412</t>
  </si>
  <si>
    <t>957550263420</t>
  </si>
  <si>
    <t>957550263438</t>
  </si>
  <si>
    <t>957550263446</t>
  </si>
  <si>
    <t>957550263453</t>
  </si>
  <si>
    <t>957550263461</t>
  </si>
  <si>
    <t>957550263479</t>
  </si>
  <si>
    <t>957550263487</t>
  </si>
  <si>
    <t>957550263495</t>
  </si>
  <si>
    <t>957550263503</t>
  </si>
  <si>
    <t>957550263511</t>
  </si>
  <si>
    <t>957550263529</t>
  </si>
  <si>
    <t>957550263537</t>
  </si>
  <si>
    <t>957550263545</t>
  </si>
  <si>
    <t>957550263552</t>
  </si>
  <si>
    <t>957550263560</t>
  </si>
  <si>
    <t>957550263578</t>
  </si>
  <si>
    <t>957550263586</t>
  </si>
  <si>
    <t>957550263594</t>
  </si>
  <si>
    <t>957550263602</t>
  </si>
  <si>
    <t>957550263610</t>
  </si>
  <si>
    <t>957550263628</t>
  </si>
  <si>
    <t>957550263636</t>
  </si>
  <si>
    <t>957550263644</t>
  </si>
  <si>
    <t>957550263651</t>
  </si>
  <si>
    <t>957550263669</t>
  </si>
  <si>
    <t>957550263677</t>
  </si>
  <si>
    <t>957550263685</t>
  </si>
  <si>
    <t>957550263693</t>
  </si>
  <si>
    <t>957550263701</t>
  </si>
  <si>
    <t>957550263719</t>
  </si>
  <si>
    <t>957550263727</t>
  </si>
  <si>
    <t>957550263735</t>
  </si>
  <si>
    <t>957550263743</t>
  </si>
  <si>
    <t>957550263750</t>
  </si>
  <si>
    <t>957550263768</t>
  </si>
  <si>
    <t>957550263776</t>
  </si>
  <si>
    <t>957550263784</t>
  </si>
  <si>
    <t>957550263792</t>
  </si>
  <si>
    <t>957550263800</t>
  </si>
  <si>
    <t>957550263818</t>
  </si>
  <si>
    <t>957550263826</t>
  </si>
  <si>
    <t>957550263834</t>
  </si>
  <si>
    <t>957550263842</t>
  </si>
  <si>
    <t>957550263859</t>
  </si>
  <si>
    <t>957550263867</t>
  </si>
  <si>
    <t>957550263875</t>
  </si>
  <si>
    <t>957550263883</t>
  </si>
  <si>
    <t>957550263891</t>
  </si>
  <si>
    <t>957550263909</t>
  </si>
  <si>
    <t>957550263917</t>
  </si>
  <si>
    <t>957550263925</t>
  </si>
  <si>
    <t>957550263933</t>
  </si>
  <si>
    <t>957550263941</t>
  </si>
  <si>
    <t>957550263958</t>
  </si>
  <si>
    <t>957550263966</t>
  </si>
  <si>
    <t>957550263974</t>
  </si>
  <si>
    <t>957550263982</t>
  </si>
  <si>
    <t>957550263990</t>
  </si>
  <si>
    <t>957550264006</t>
  </si>
  <si>
    <t>957550264014</t>
  </si>
  <si>
    <t>957550264022</t>
  </si>
  <si>
    <t>957550264030</t>
  </si>
  <si>
    <t>957550264048</t>
  </si>
  <si>
    <t>957550264055</t>
  </si>
  <si>
    <t>957550264063</t>
  </si>
  <si>
    <t>957550264071</t>
  </si>
  <si>
    <t>957550264089</t>
  </si>
  <si>
    <t>957550264097</t>
  </si>
  <si>
    <t>957550264105</t>
  </si>
  <si>
    <t>957550264113</t>
  </si>
  <si>
    <t>957550264121</t>
  </si>
  <si>
    <t>957550264139</t>
  </si>
  <si>
    <t>957550264147</t>
  </si>
  <si>
    <t>957550264154</t>
  </si>
  <si>
    <t>957550264162</t>
  </si>
  <si>
    <t>957550264170</t>
  </si>
  <si>
    <t>957550264188</t>
  </si>
  <si>
    <t>957550264196</t>
  </si>
  <si>
    <t>957550264204</t>
  </si>
  <si>
    <t>957550264212</t>
  </si>
  <si>
    <t>957550264220</t>
  </si>
  <si>
    <t>957550264238</t>
  </si>
  <si>
    <t>957550264246</t>
  </si>
  <si>
    <t>957550264253</t>
  </si>
  <si>
    <t>957550264261</t>
  </si>
  <si>
    <t>957550264279</t>
  </si>
  <si>
    <t>957550264287</t>
  </si>
  <si>
    <t>957550264295</t>
  </si>
  <si>
    <t>957550264303</t>
  </si>
  <si>
    <t>957550264311</t>
  </si>
  <si>
    <t>957550264329</t>
  </si>
  <si>
    <t>957550264337</t>
  </si>
  <si>
    <t>957550264345</t>
  </si>
  <si>
    <t>957550264352</t>
  </si>
  <si>
    <t>957550264360</t>
  </si>
  <si>
    <t>957550264378</t>
  </si>
  <si>
    <t>957550264386</t>
  </si>
  <si>
    <t>957550264394</t>
  </si>
  <si>
    <t>957550264402</t>
  </si>
  <si>
    <t>957550264410</t>
  </si>
  <si>
    <t>957550264428</t>
  </si>
  <si>
    <t>957550264436</t>
  </si>
  <si>
    <t>957550264444</t>
  </si>
  <si>
    <t>957550264451</t>
  </si>
  <si>
    <t>957550264469</t>
  </si>
  <si>
    <t>957550264477</t>
  </si>
  <si>
    <t>957550264485</t>
  </si>
  <si>
    <t>957550264493</t>
  </si>
  <si>
    <t>957550264501</t>
  </si>
  <si>
    <t>957550264519</t>
  </si>
  <si>
    <t>957550264527</t>
  </si>
  <si>
    <t>957550264535</t>
  </si>
  <si>
    <t>957550264543</t>
  </si>
  <si>
    <t>957550264550</t>
  </si>
  <si>
    <t>957550264568</t>
  </si>
  <si>
    <t>957550264576</t>
  </si>
  <si>
    <t>957550264584</t>
  </si>
  <si>
    <t>957550264592</t>
  </si>
  <si>
    <t>957550264600</t>
  </si>
  <si>
    <t>957550264618</t>
  </si>
  <si>
    <t>957550264626</t>
  </si>
  <si>
    <t>957550264634</t>
  </si>
  <si>
    <t>957550264642</t>
  </si>
  <si>
    <t>957550264659</t>
  </si>
  <si>
    <t>957550264667</t>
  </si>
  <si>
    <t>957550264675</t>
  </si>
  <si>
    <t>957550264683</t>
  </si>
  <si>
    <t>957550264691</t>
  </si>
  <si>
    <t>957550264709</t>
  </si>
  <si>
    <t>957550264717</t>
  </si>
  <si>
    <t>957550264725</t>
  </si>
  <si>
    <t>957550264733</t>
  </si>
  <si>
    <t>957550264741</t>
  </si>
  <si>
    <t>957550264758</t>
  </si>
  <si>
    <t>957550264766</t>
  </si>
  <si>
    <t>957550264774</t>
  </si>
  <si>
    <t>957550264782</t>
  </si>
  <si>
    <t>957550264790</t>
  </si>
  <si>
    <t>957550264808</t>
  </si>
  <si>
    <t>957550264816</t>
  </si>
  <si>
    <t>957550264824</t>
  </si>
  <si>
    <t>957550264832</t>
  </si>
  <si>
    <t>957550264840</t>
  </si>
  <si>
    <t>957550264857</t>
  </si>
  <si>
    <t>957550264865</t>
  </si>
  <si>
    <t>957550264873</t>
  </si>
  <si>
    <t>957550264881</t>
  </si>
  <si>
    <t>957550264899</t>
  </si>
  <si>
    <t>957550264907</t>
  </si>
  <si>
    <t>957550264915</t>
  </si>
  <si>
    <t>957550264923</t>
  </si>
  <si>
    <t>957550264931</t>
  </si>
  <si>
    <t>957550264949</t>
  </si>
  <si>
    <t>957550264956</t>
  </si>
  <si>
    <t>957550264964</t>
  </si>
  <si>
    <t>957550264972</t>
  </si>
  <si>
    <t>957550264980</t>
  </si>
  <si>
    <t>957550264998</t>
  </si>
  <si>
    <t>957550265003</t>
  </si>
  <si>
    <t>957550265011</t>
  </si>
  <si>
    <t>957550265029</t>
  </si>
  <si>
    <t>957550265037</t>
  </si>
  <si>
    <t>957550265045</t>
  </si>
  <si>
    <t>957550265052</t>
  </si>
  <si>
    <t>957550265060</t>
  </si>
  <si>
    <t>957550265078</t>
  </si>
  <si>
    <t>957550265086</t>
  </si>
  <si>
    <t>957550265094</t>
  </si>
  <si>
    <t>957550265102</t>
  </si>
  <si>
    <t>957550265110</t>
  </si>
  <si>
    <t>957550265128</t>
  </si>
  <si>
    <t>957550265136</t>
  </si>
  <si>
    <t>957550265144</t>
  </si>
  <si>
    <t>957550265151</t>
  </si>
  <si>
    <t>957550265169</t>
  </si>
  <si>
    <t>957550265177</t>
  </si>
  <si>
    <t>957550265185</t>
  </si>
  <si>
    <t>957550265193</t>
  </si>
  <si>
    <t>957550265201</t>
  </si>
  <si>
    <t>957550265219</t>
  </si>
  <si>
    <t>957550265227</t>
  </si>
  <si>
    <t>957550265235</t>
  </si>
  <si>
    <t>957550265243</t>
  </si>
  <si>
    <t>957550265250</t>
  </si>
  <si>
    <t>957550265268</t>
  </si>
  <si>
    <t>957550265276</t>
  </si>
  <si>
    <t>957550265284</t>
  </si>
  <si>
    <t>957550265292</t>
  </si>
  <si>
    <t>957550265300</t>
  </si>
  <si>
    <t>957550265318</t>
  </si>
  <si>
    <t>957550265326</t>
  </si>
  <si>
    <t>957550265334</t>
  </si>
  <si>
    <t>957550265342</t>
  </si>
  <si>
    <t>957550265359</t>
  </si>
  <si>
    <t>957550265367</t>
  </si>
  <si>
    <t>957550265375</t>
  </si>
  <si>
    <t>957550265383</t>
  </si>
  <si>
    <t>957550265391</t>
  </si>
  <si>
    <t>957550265409</t>
  </si>
  <si>
    <t>957550265417</t>
  </si>
  <si>
    <t>957550265425</t>
  </si>
  <si>
    <t>957550265433</t>
  </si>
  <si>
    <t>957550265441</t>
  </si>
  <si>
    <t>957550265458</t>
  </si>
  <si>
    <t>957550265466</t>
  </si>
  <si>
    <t>957550265474</t>
  </si>
  <si>
    <t>957550265482</t>
  </si>
  <si>
    <t>957550265490</t>
  </si>
  <si>
    <t>957550265508</t>
  </si>
  <si>
    <t>957550265516</t>
  </si>
  <si>
    <t>957550265524</t>
  </si>
  <si>
    <t>957550265532</t>
  </si>
  <si>
    <t>957550265540</t>
  </si>
  <si>
    <t>957550265557</t>
  </si>
  <si>
    <t>957550265565</t>
  </si>
  <si>
    <t>957550265573</t>
  </si>
  <si>
    <t>957550265581</t>
  </si>
  <si>
    <t>957550265599</t>
  </si>
  <si>
    <t>957550265607</t>
  </si>
  <si>
    <t>957550265615</t>
  </si>
  <si>
    <t>957550265623</t>
  </si>
  <si>
    <t>957550265631</t>
  </si>
  <si>
    <t>957550265649</t>
  </si>
  <si>
    <t>957550265656</t>
  </si>
  <si>
    <t>957550265664</t>
  </si>
  <si>
    <t>957550265672</t>
  </si>
  <si>
    <t>957550265680</t>
  </si>
  <si>
    <t>957550265698</t>
  </si>
  <si>
    <t>957550265706</t>
  </si>
  <si>
    <t>957550265714</t>
  </si>
  <si>
    <t>957550265722</t>
  </si>
  <si>
    <t>957550265730</t>
  </si>
  <si>
    <t>957550265748</t>
  </si>
  <si>
    <t>957550265755</t>
  </si>
  <si>
    <t>957550265763</t>
  </si>
  <si>
    <t>957550265771</t>
  </si>
  <si>
    <t>957550265789</t>
  </si>
  <si>
    <t>957550265797</t>
  </si>
  <si>
    <t>957550265805</t>
  </si>
  <si>
    <t>957550265813</t>
  </si>
  <si>
    <t>957550265821</t>
  </si>
  <si>
    <t>957550265839</t>
  </si>
  <si>
    <t>957550265847</t>
  </si>
  <si>
    <t>957550265854</t>
  </si>
  <si>
    <t>957550265862</t>
  </si>
  <si>
    <t>957550265870</t>
  </si>
  <si>
    <t>957550265888</t>
  </si>
  <si>
    <t>957550265896</t>
  </si>
  <si>
    <t>957550265904</t>
  </si>
  <si>
    <t>957550265912</t>
  </si>
  <si>
    <t>957550265920</t>
  </si>
  <si>
    <t>957550265938</t>
  </si>
  <si>
    <t>957550265946</t>
  </si>
  <si>
    <t>957550265953</t>
  </si>
  <si>
    <t>957550265961</t>
  </si>
  <si>
    <t>957550265979</t>
  </si>
  <si>
    <t>957550265987</t>
  </si>
  <si>
    <t>957550265995</t>
  </si>
  <si>
    <t>957550266001</t>
  </si>
  <si>
    <t>957550266019</t>
  </si>
  <si>
    <t>957550266027</t>
  </si>
  <si>
    <t>957550266035</t>
  </si>
  <si>
    <t>957550266043</t>
  </si>
  <si>
    <t>957550266050</t>
  </si>
  <si>
    <t>957550266068</t>
  </si>
  <si>
    <t>957550266076</t>
  </si>
  <si>
    <t>957550266084</t>
  </si>
  <si>
    <t>957550266092</t>
  </si>
  <si>
    <t>957550266100</t>
  </si>
  <si>
    <t>957550266118</t>
  </si>
  <si>
    <t>957550266126</t>
  </si>
  <si>
    <t>957550266134</t>
  </si>
  <si>
    <t>957550266142</t>
  </si>
  <si>
    <t>957550266159</t>
  </si>
  <si>
    <t>957550266167</t>
  </si>
  <si>
    <t>957550266175</t>
  </si>
  <si>
    <t>957550266183</t>
  </si>
  <si>
    <t>957550266191</t>
  </si>
  <si>
    <t>957550266209</t>
  </si>
  <si>
    <t>957550266217</t>
  </si>
  <si>
    <t>957550266225</t>
  </si>
  <si>
    <t>957550266233</t>
  </si>
  <si>
    <t>957550266241</t>
  </si>
  <si>
    <t>957550266258</t>
  </si>
  <si>
    <t>957550266266</t>
  </si>
  <si>
    <t>957550266274</t>
  </si>
  <si>
    <t>957550266282</t>
  </si>
  <si>
    <t>957550266290</t>
  </si>
  <si>
    <t>957550266308</t>
  </si>
  <si>
    <t>957550266316</t>
  </si>
  <si>
    <t>957550266324</t>
  </si>
  <si>
    <t>957550266332</t>
  </si>
  <si>
    <t>957550266340</t>
  </si>
  <si>
    <t>957550266357</t>
  </si>
  <si>
    <t>957550266365</t>
  </si>
  <si>
    <t>957550266373</t>
  </si>
  <si>
    <t>957550266381</t>
  </si>
  <si>
    <t>957550266399</t>
  </si>
  <si>
    <t>957550266407</t>
  </si>
  <si>
    <t>957550266415</t>
  </si>
  <si>
    <t>957550266423</t>
  </si>
  <si>
    <t>957550266431</t>
  </si>
  <si>
    <t>957550266449</t>
  </si>
  <si>
    <t>957550266456</t>
  </si>
  <si>
    <t>957550266464</t>
  </si>
  <si>
    <t>957550266472</t>
  </si>
  <si>
    <t>957550266480</t>
  </si>
  <si>
    <t>957550266498</t>
  </si>
  <si>
    <t>957550266506</t>
  </si>
  <si>
    <t>957550266514</t>
  </si>
  <si>
    <t>957550266522</t>
  </si>
  <si>
    <t>957550266530</t>
  </si>
  <si>
    <t>957550266548</t>
  </si>
  <si>
    <t>957550266555</t>
  </si>
  <si>
    <t>957550266563</t>
  </si>
  <si>
    <t>957550266571</t>
  </si>
  <si>
    <t>957550266589</t>
  </si>
  <si>
    <t>957550266597</t>
  </si>
  <si>
    <t>957550266605</t>
  </si>
  <si>
    <t>957550266613</t>
  </si>
  <si>
    <t>957550266621</t>
  </si>
  <si>
    <t>957550266639</t>
  </si>
  <si>
    <t>957550266647</t>
  </si>
  <si>
    <t>957550266654</t>
  </si>
  <si>
    <t>957550266662</t>
  </si>
  <si>
    <t>957550266670</t>
  </si>
  <si>
    <t>957550266688</t>
  </si>
  <si>
    <t>957550266696</t>
  </si>
  <si>
    <t>957550266704</t>
  </si>
  <si>
    <t>957550266712</t>
  </si>
  <si>
    <t>957550266720</t>
  </si>
  <si>
    <t>957550266738</t>
  </si>
  <si>
    <t>957550266746</t>
  </si>
  <si>
    <t>957550266753</t>
  </si>
  <si>
    <t>957550266761</t>
  </si>
  <si>
    <t>957550266779</t>
  </si>
  <si>
    <t>957550266787</t>
  </si>
  <si>
    <t>957550266795</t>
  </si>
  <si>
    <t>957550266803</t>
  </si>
  <si>
    <t>957550266811</t>
  </si>
  <si>
    <t>957550266829</t>
  </si>
  <si>
    <t>957550266837</t>
  </si>
  <si>
    <t>957550266845</t>
  </si>
  <si>
    <t>957550266852</t>
  </si>
  <si>
    <t>957550266860</t>
  </si>
  <si>
    <t>957550266878</t>
  </si>
  <si>
    <t>957550266886</t>
  </si>
  <si>
    <t>957550266894</t>
  </si>
  <si>
    <t>957550266902</t>
  </si>
  <si>
    <t>957550266910</t>
  </si>
  <si>
    <t>957550266928</t>
  </si>
  <si>
    <t>957550266936</t>
  </si>
  <si>
    <t>957550266944</t>
  </si>
  <si>
    <t>957550266951</t>
  </si>
  <si>
    <t>957550266969</t>
  </si>
  <si>
    <t>957550266977</t>
  </si>
  <si>
    <t>957550266985</t>
  </si>
  <si>
    <t>957550266993</t>
  </si>
  <si>
    <t>957550267009</t>
  </si>
  <si>
    <t>957550267017</t>
  </si>
  <si>
    <t>957550267025</t>
  </si>
  <si>
    <t>957550267033</t>
  </si>
  <si>
    <t>957550267041</t>
  </si>
  <si>
    <t>957550267058</t>
  </si>
  <si>
    <t>957550267066</t>
  </si>
  <si>
    <t>957550267074</t>
  </si>
  <si>
    <t>957550267082</t>
  </si>
  <si>
    <t>957550267090</t>
  </si>
  <si>
    <t>957550267108</t>
  </si>
  <si>
    <t>957550267116</t>
  </si>
  <si>
    <t>957550267124</t>
  </si>
  <si>
    <t>957550267132</t>
  </si>
  <si>
    <t>957550267140</t>
  </si>
  <si>
    <t>957550267157</t>
  </si>
  <si>
    <t>957550267165</t>
  </si>
  <si>
    <t>957550267173</t>
  </si>
  <si>
    <t>957550267181</t>
  </si>
  <si>
    <t>957550267199</t>
  </si>
  <si>
    <t>957550267207</t>
  </si>
  <si>
    <t>957550267215</t>
  </si>
  <si>
    <t>957550267223</t>
  </si>
  <si>
    <t>957550267231</t>
  </si>
  <si>
    <t>957550267249</t>
  </si>
  <si>
    <t>957550267256</t>
  </si>
  <si>
    <t>957550267264</t>
  </si>
  <si>
    <t>957550267272</t>
  </si>
  <si>
    <t>957550267280</t>
  </si>
  <si>
    <t>957550267298</t>
  </si>
  <si>
    <t>957550267306</t>
  </si>
  <si>
    <t>957550267314</t>
  </si>
  <si>
    <t>957550267322</t>
  </si>
  <si>
    <t>957550267330</t>
  </si>
  <si>
    <t>957550267348</t>
  </si>
  <si>
    <t>957550267355</t>
  </si>
  <si>
    <t>957550267363</t>
  </si>
  <si>
    <t>957550267371</t>
  </si>
  <si>
    <t>957550267389</t>
  </si>
  <si>
    <t>957550267397</t>
  </si>
  <si>
    <t>957550267405</t>
  </si>
  <si>
    <t>957550267413</t>
  </si>
  <si>
    <t>957550267421</t>
  </si>
  <si>
    <t>957550267439</t>
  </si>
  <si>
    <t>957550267447</t>
  </si>
  <si>
    <t>957550267454</t>
  </si>
  <si>
    <t>957550267462</t>
  </si>
  <si>
    <t>957550267470</t>
  </si>
  <si>
    <t>957550267488</t>
  </si>
  <si>
    <t>957550267496</t>
  </si>
  <si>
    <t>957550267504</t>
  </si>
  <si>
    <t>957550267512</t>
  </si>
  <si>
    <t>957550267520</t>
  </si>
  <si>
    <t>957550267538</t>
  </si>
  <si>
    <t>957550267546</t>
  </si>
  <si>
    <t>957550267553</t>
  </si>
  <si>
    <t>957550267561</t>
  </si>
  <si>
    <t>957550267579</t>
  </si>
  <si>
    <t>957550267587</t>
  </si>
  <si>
    <t>957550267595</t>
  </si>
  <si>
    <t>957550267603</t>
  </si>
  <si>
    <t>957550267611</t>
  </si>
  <si>
    <t>957550267629</t>
  </si>
  <si>
    <t>957550267637</t>
  </si>
  <si>
    <t>957550267645</t>
  </si>
  <si>
    <t>957550267652</t>
  </si>
  <si>
    <t>957550267660</t>
  </si>
  <si>
    <t>957550267678</t>
  </si>
  <si>
    <t>957550267686</t>
  </si>
  <si>
    <t>957550267694</t>
  </si>
  <si>
    <t>957550267702</t>
  </si>
  <si>
    <t>957550267710</t>
  </si>
  <si>
    <t>957550267728</t>
  </si>
  <si>
    <t>957550267736</t>
  </si>
  <si>
    <t>957550267744</t>
  </si>
  <si>
    <t>957550267751</t>
  </si>
  <si>
    <t>957550267769</t>
  </si>
  <si>
    <t>957550267777</t>
  </si>
  <si>
    <t>957550267785</t>
  </si>
  <si>
    <t>957550267793</t>
  </si>
  <si>
    <t>957550267801</t>
  </si>
  <si>
    <t>957550267819</t>
  </si>
  <si>
    <t>957550267827</t>
  </si>
  <si>
    <t>957550267835</t>
  </si>
  <si>
    <t>957550267843</t>
  </si>
  <si>
    <t>957550267850</t>
  </si>
  <si>
    <t>957550267868</t>
  </si>
  <si>
    <t>957550267876</t>
  </si>
  <si>
    <t>957550267884</t>
  </si>
  <si>
    <t>957550267892</t>
  </si>
  <si>
    <t>957550267900</t>
  </si>
  <si>
    <t>957550267918</t>
  </si>
  <si>
    <t>957550267926</t>
  </si>
  <si>
    <t>957550267934</t>
  </si>
  <si>
    <t>957550267942</t>
  </si>
  <si>
    <t>957550267959</t>
  </si>
  <si>
    <t>957550267967</t>
  </si>
  <si>
    <t>957550267975</t>
  </si>
  <si>
    <t>957550267983</t>
  </si>
  <si>
    <t>957550267991</t>
  </si>
  <si>
    <t>957550268007</t>
  </si>
  <si>
    <t>957550268015</t>
  </si>
  <si>
    <t>957550268023</t>
  </si>
  <si>
    <t>957550268031</t>
  </si>
  <si>
    <t>957550268049</t>
  </si>
  <si>
    <t>957550268056</t>
  </si>
  <si>
    <t>957550268064</t>
  </si>
  <si>
    <t>957550268072</t>
  </si>
  <si>
    <t>957550268080</t>
  </si>
  <si>
    <t>957550268098</t>
  </si>
  <si>
    <t>957550268106</t>
  </si>
  <si>
    <t>957550268114</t>
  </si>
  <si>
    <t>957550268122</t>
  </si>
  <si>
    <t>957550268130</t>
  </si>
  <si>
    <t>957550268148</t>
  </si>
  <si>
    <t>957550268155</t>
  </si>
  <si>
    <t>957550268163</t>
  </si>
  <si>
    <t>957550268171</t>
  </si>
  <si>
    <t>957550268189</t>
  </si>
  <si>
    <t>957550268197</t>
  </si>
  <si>
    <t>957550268205</t>
  </si>
  <si>
    <t>957550268213</t>
  </si>
  <si>
    <t>957550268221</t>
  </si>
  <si>
    <t>957550268239</t>
  </si>
  <si>
    <t>957550268247</t>
  </si>
  <si>
    <t>957550268254</t>
  </si>
  <si>
    <t>957550268262</t>
  </si>
  <si>
    <t>957550268270</t>
  </si>
  <si>
    <t>957550268288</t>
  </si>
  <si>
    <t>957550268296</t>
  </si>
  <si>
    <t>957550268304</t>
  </si>
  <si>
    <t>957550268312</t>
  </si>
  <si>
    <t>957550268320</t>
  </si>
  <si>
    <t>957550268338</t>
  </si>
  <si>
    <t>957550268346</t>
  </si>
  <si>
    <t>957550268353</t>
  </si>
  <si>
    <t>957550268361</t>
  </si>
  <si>
    <t>957550268379</t>
  </si>
  <si>
    <t>957550268387</t>
  </si>
  <si>
    <t>957550268395</t>
  </si>
  <si>
    <t>957550268403</t>
  </si>
  <si>
    <t>957550268411</t>
  </si>
  <si>
    <t>957550268429</t>
  </si>
  <si>
    <t>957550268437</t>
  </si>
  <si>
    <t>957550268445</t>
  </si>
  <si>
    <t>957550268452</t>
  </si>
  <si>
    <t>957550268460</t>
  </si>
  <si>
    <t>957550268478</t>
  </si>
  <si>
    <t>957550268486</t>
  </si>
  <si>
    <t>957550268494</t>
  </si>
  <si>
    <t>957550268502</t>
  </si>
  <si>
    <t>957550268510</t>
  </si>
  <si>
    <t>957550268528</t>
  </si>
  <si>
    <t>957550268536</t>
  </si>
  <si>
    <t>957550268544</t>
  </si>
  <si>
    <t>957550268551</t>
  </si>
  <si>
    <t>957550268569</t>
  </si>
  <si>
    <t>957550268577</t>
  </si>
  <si>
    <t>957550268585</t>
  </si>
  <si>
    <t>957550268593</t>
  </si>
  <si>
    <t>957550268601</t>
  </si>
  <si>
    <t>957550268619</t>
  </si>
  <si>
    <t>957550268627</t>
  </si>
  <si>
    <t>957550268635</t>
  </si>
  <si>
    <t>957550268643</t>
  </si>
  <si>
    <t>957550268650</t>
  </si>
  <si>
    <t>957550268668</t>
  </si>
  <si>
    <t>957550268676</t>
  </si>
  <si>
    <t>957550268684</t>
  </si>
  <si>
    <t>957550268692</t>
  </si>
  <si>
    <t>957550268700</t>
  </si>
  <si>
    <t>957550268718</t>
  </si>
  <si>
    <t>957550268726</t>
  </si>
  <si>
    <t>957550268734</t>
  </si>
  <si>
    <t>957550268742</t>
  </si>
  <si>
    <t>957550268759</t>
  </si>
  <si>
    <t>957550268767</t>
  </si>
  <si>
    <t>957550268775</t>
  </si>
  <si>
    <t>957550268783</t>
  </si>
  <si>
    <t>957550268791</t>
  </si>
  <si>
    <t>957550268809</t>
  </si>
  <si>
    <t>957550268817</t>
  </si>
  <si>
    <t>957550268825</t>
  </si>
  <si>
    <t>957550268833</t>
  </si>
  <si>
    <t>957550268841</t>
  </si>
  <si>
    <t>957550268858</t>
  </si>
  <si>
    <t>957550268866</t>
  </si>
  <si>
    <t>957550268874</t>
  </si>
  <si>
    <t>957550268882</t>
  </si>
  <si>
    <t>957550268890</t>
  </si>
  <si>
    <t>957550268908</t>
  </si>
  <si>
    <t>957550268916</t>
  </si>
  <si>
    <t>957550268924</t>
  </si>
  <si>
    <t>957550268932</t>
  </si>
  <si>
    <t>957550268940</t>
  </si>
  <si>
    <t>957550268957</t>
  </si>
  <si>
    <t>957550268965</t>
  </si>
  <si>
    <t>957550268973</t>
  </si>
  <si>
    <t>957550268981</t>
  </si>
  <si>
    <t>957550268999</t>
  </si>
  <si>
    <t>957550269005</t>
  </si>
  <si>
    <t>957550269013</t>
  </si>
  <si>
    <t>957550269021</t>
  </si>
  <si>
    <t>957550269039</t>
  </si>
  <si>
    <t>957550269047</t>
  </si>
  <si>
    <t>957550269054</t>
  </si>
  <si>
    <t>957550269062</t>
  </si>
  <si>
    <t>957550269070</t>
  </si>
  <si>
    <t>957550269088</t>
  </si>
  <si>
    <t>957550269096</t>
  </si>
  <si>
    <t>957550269104</t>
  </si>
  <si>
    <t>957550269112</t>
  </si>
  <si>
    <t>957550269120</t>
  </si>
  <si>
    <t>957550269138</t>
  </si>
  <si>
    <t>957550269146</t>
  </si>
  <si>
    <t>957550269153</t>
  </si>
  <si>
    <t>957550269161</t>
  </si>
  <si>
    <t>957550269179</t>
  </si>
  <si>
    <t>957550269187</t>
  </si>
  <si>
    <t>957550269195</t>
  </si>
  <si>
    <t>957550269203</t>
  </si>
  <si>
    <t>957550269211</t>
  </si>
  <si>
    <t>957550269229</t>
  </si>
  <si>
    <t>957550269237</t>
  </si>
  <si>
    <t>957550269245</t>
  </si>
  <si>
    <t>957550269252</t>
  </si>
  <si>
    <t>957550269260</t>
  </si>
  <si>
    <t>957550269278</t>
  </si>
  <si>
    <t>957550269286</t>
  </si>
  <si>
    <t>957550269294</t>
  </si>
  <si>
    <t>957550269302</t>
  </si>
  <si>
    <t>957550269310</t>
  </si>
  <si>
    <t>957550269328</t>
  </si>
  <si>
    <t>957550269336</t>
  </si>
  <si>
    <t>957550269344</t>
  </si>
  <si>
    <t>957550269351</t>
  </si>
  <si>
    <t>957550269369</t>
  </si>
  <si>
    <t>957550269377</t>
  </si>
  <si>
    <t>957550269385</t>
  </si>
  <si>
    <t>957550269393</t>
  </si>
  <si>
    <t>957550269401</t>
  </si>
  <si>
    <t>957550269419</t>
  </si>
  <si>
    <t>957550269427</t>
  </si>
  <si>
    <t>957550269435</t>
  </si>
  <si>
    <t>957550269443</t>
  </si>
  <si>
    <t>957550269450</t>
  </si>
  <si>
    <t>957550269468</t>
  </si>
  <si>
    <t>957550269476</t>
  </si>
  <si>
    <t>957550269484</t>
  </si>
  <si>
    <t>957550269492</t>
  </si>
  <si>
    <t>957550269500</t>
  </si>
  <si>
    <t>957550269518</t>
  </si>
  <si>
    <t>957550269526</t>
  </si>
  <si>
    <t>957550269534</t>
  </si>
  <si>
    <t>957550269542</t>
  </si>
  <si>
    <t>957550269559</t>
  </si>
  <si>
    <t>957550269567</t>
  </si>
  <si>
    <t>957550269575</t>
  </si>
  <si>
    <t>957550269583</t>
  </si>
  <si>
    <t>957550269591</t>
  </si>
  <si>
    <t>957550269609</t>
  </si>
  <si>
    <t>957550269617</t>
  </si>
  <si>
    <t>957550269625</t>
  </si>
  <si>
    <t>957550269633</t>
  </si>
  <si>
    <t>957550269641</t>
  </si>
  <si>
    <t>957550269658</t>
  </si>
  <si>
    <t>957550269666</t>
  </si>
  <si>
    <t>957550269674</t>
  </si>
  <si>
    <t>957550269682</t>
  </si>
  <si>
    <t>957550269690</t>
  </si>
  <si>
    <t>957550269708</t>
  </si>
  <si>
    <t>957550269716</t>
  </si>
  <si>
    <t>957550269724</t>
  </si>
  <si>
    <t>957550269732</t>
  </si>
  <si>
    <t>957550269740</t>
  </si>
  <si>
    <t>957550269757</t>
  </si>
  <si>
    <t>957550269765</t>
  </si>
  <si>
    <t>957550269773</t>
  </si>
  <si>
    <t>957550269781</t>
  </si>
  <si>
    <t>957550269799</t>
  </si>
  <si>
    <t>957550269807</t>
  </si>
  <si>
    <t>957550269815</t>
  </si>
  <si>
    <t>957550269823</t>
  </si>
  <si>
    <t>957550269831</t>
  </si>
  <si>
    <t>957550269849</t>
  </si>
  <si>
    <t>957550269856</t>
  </si>
  <si>
    <t>957550269864</t>
  </si>
  <si>
    <t>957550269872</t>
  </si>
  <si>
    <t>957550269880</t>
  </si>
  <si>
    <t>957550269898</t>
  </si>
  <si>
    <t>957550269906</t>
  </si>
  <si>
    <t>957550269914</t>
  </si>
  <si>
    <t>957550269922</t>
  </si>
  <si>
    <t>957550269930</t>
  </si>
  <si>
    <t>957550269948</t>
  </si>
  <si>
    <t>957550269955</t>
  </si>
  <si>
    <t>957550269963</t>
  </si>
  <si>
    <t>957550269971</t>
  </si>
  <si>
    <t>957550269989</t>
  </si>
  <si>
    <t>957550269997</t>
  </si>
  <si>
    <t>957550270003</t>
  </si>
  <si>
    <t>jdj1/1002</t>
  </si>
  <si>
    <t>8/11/2014</t>
  </si>
  <si>
    <t>Abraham P</t>
  </si>
  <si>
    <t>Tromp</t>
  </si>
  <si>
    <t>9 Christine Street</t>
  </si>
  <si>
    <t>Morgenster</t>
  </si>
  <si>
    <t>Mitchells Plain</t>
  </si>
  <si>
    <t>7785</t>
  </si>
  <si>
    <t>021 396 1401</t>
  </si>
  <si>
    <t>079 132 4766</t>
  </si>
  <si>
    <t>5806056071082</t>
  </si>
  <si>
    <t>15/11/2014</t>
  </si>
  <si>
    <t>A P Tromp</t>
  </si>
  <si>
    <t>9182416340</t>
  </si>
  <si>
    <t>ABSA</t>
  </si>
  <si>
    <t>No training fee as part of License payment</t>
  </si>
  <si>
    <t>jdj1/1003</t>
  </si>
  <si>
    <t>Lukas K</t>
  </si>
  <si>
    <t>Karels</t>
  </si>
  <si>
    <t>40 Cosmos Street</t>
  </si>
  <si>
    <t>Uitsig</t>
  </si>
  <si>
    <t>Ravensmead</t>
  </si>
  <si>
    <t>060 916 1520</t>
  </si>
  <si>
    <t>6204305218085</t>
  </si>
  <si>
    <t>15/11/2015</t>
  </si>
  <si>
    <t>G Karels</t>
  </si>
  <si>
    <t>10046660923</t>
  </si>
  <si>
    <t>51001</t>
  </si>
  <si>
    <t>No training fee as part of License Fee</t>
  </si>
  <si>
    <t>jdj1/1004</t>
  </si>
  <si>
    <t>Janice R</t>
  </si>
  <si>
    <t>Walsh</t>
  </si>
  <si>
    <t>97 Kimberley Street</t>
  </si>
  <si>
    <t>Goodwood</t>
  </si>
  <si>
    <t>7460</t>
  </si>
  <si>
    <t>072 158 8492</t>
  </si>
  <si>
    <t>8712140160088</t>
  </si>
  <si>
    <t>3636491148</t>
  </si>
  <si>
    <t>30/10/2014</t>
  </si>
  <si>
    <t>62032052938</t>
  </si>
  <si>
    <t>210415</t>
  </si>
  <si>
    <t>No training fee as paid as part of License fees.</t>
  </si>
  <si>
    <t>Julius D</t>
  </si>
  <si>
    <t>Jonkers</t>
  </si>
  <si>
    <t>9 Keurboom Str</t>
  </si>
  <si>
    <t>5905055118082</t>
  </si>
  <si>
    <t>Julius D Jonkers</t>
  </si>
  <si>
    <t>No Training fee as part of License Fee</t>
  </si>
  <si>
    <t>0621809932</t>
  </si>
  <si>
    <t>afb1</t>
  </si>
  <si>
    <t>jdj1/1001</t>
  </si>
  <si>
    <t>jdj11</t>
  </si>
  <si>
    <t>Dennis Black</t>
  </si>
  <si>
    <t>blackdennis48@gmail.com</t>
  </si>
  <si>
    <t>Payment</t>
  </si>
  <si>
    <t>ClientCode</t>
  </si>
  <si>
    <t>Charleston Hill</t>
  </si>
  <si>
    <t>Obeeka Wstelle 7</t>
  </si>
  <si>
    <t>0723321027</t>
  </si>
  <si>
    <t>Intabanet Single Care Plan - Gold</t>
  </si>
  <si>
    <t>Free License</t>
  </si>
  <si>
    <t>Free License for 2 years</t>
  </si>
  <si>
    <t>Mr</t>
  </si>
  <si>
    <t>Mrs</t>
  </si>
  <si>
    <t>Ms</t>
  </si>
  <si>
    <t>Dr</t>
  </si>
  <si>
    <t>Prof</t>
  </si>
  <si>
    <t>M</t>
  </si>
  <si>
    <t>F</t>
  </si>
  <si>
    <t>SA ID</t>
  </si>
  <si>
    <t>Foreign ID</t>
  </si>
  <si>
    <t>Passport</t>
  </si>
  <si>
    <t>Other</t>
  </si>
  <si>
    <t>Single</t>
  </si>
  <si>
    <t>Married</t>
  </si>
  <si>
    <t>Dicvorced</t>
  </si>
  <si>
    <t>Widowed</t>
  </si>
  <si>
    <t>Married Common law</t>
  </si>
  <si>
    <t>Transmission</t>
  </si>
  <si>
    <t>Wallet</t>
  </si>
  <si>
    <t>0402070000000</t>
  </si>
  <si>
    <t>Ext Prem</t>
  </si>
  <si>
    <t>Inception</t>
  </si>
  <si>
    <t>First</t>
  </si>
  <si>
    <t>Monthly</t>
  </si>
  <si>
    <t>Ext Risk</t>
  </si>
  <si>
    <t>All Risk</t>
  </si>
  <si>
    <t>Net First</t>
  </si>
  <si>
    <t>Net Mth</t>
  </si>
  <si>
    <t>Fairtime</t>
  </si>
  <si>
    <t>Mairtime</t>
  </si>
  <si>
    <t>Net Month</t>
  </si>
  <si>
    <t>Com 1</t>
  </si>
  <si>
    <t>Com Mnth</t>
  </si>
  <si>
    <t>Extended Premium</t>
  </si>
  <si>
    <t>Extended Risk Premium</t>
  </si>
  <si>
    <t>9575</t>
  </si>
  <si>
    <t>C S M</t>
  </si>
  <si>
    <t>07/01/1965</t>
  </si>
  <si>
    <t>49</t>
  </si>
  <si>
    <t>Pontac Str 4</t>
  </si>
  <si>
    <t>Obeeka W/S nr.7</t>
  </si>
  <si>
    <t>Vodacom</t>
  </si>
  <si>
    <t>8933100000000259136323016</t>
  </si>
  <si>
    <t>C S M Stapelberg</t>
  </si>
  <si>
    <t>62159550071</t>
  </si>
  <si>
    <t>D</t>
  </si>
  <si>
    <t>07/02/2004</t>
  </si>
  <si>
    <t>10</t>
  </si>
  <si>
    <t>Daughter</t>
  </si>
  <si>
    <t>50260319</t>
  </si>
  <si>
    <t>17</t>
  </si>
  <si>
    <t>Activation Date</t>
  </si>
  <si>
    <t>Policy Numbers 4</t>
  </si>
  <si>
    <t>Policy Numbers 8</t>
  </si>
  <si>
    <t>Title</t>
  </si>
  <si>
    <t>Gender</t>
  </si>
  <si>
    <t>ID Type</t>
  </si>
  <si>
    <t>ID Number</t>
  </si>
  <si>
    <t>Date of Birth</t>
  </si>
  <si>
    <t>Age</t>
  </si>
  <si>
    <t>Postal 1</t>
  </si>
  <si>
    <t>Postal 2</t>
  </si>
  <si>
    <t>Postal Suburb</t>
  </si>
  <si>
    <t>Postal City</t>
  </si>
  <si>
    <t>Postal Post Code</t>
  </si>
  <si>
    <t>Marital Status</t>
  </si>
  <si>
    <t>Cell 1</t>
  </si>
  <si>
    <t>Service Provider 1</t>
  </si>
  <si>
    <t>Sim 1</t>
  </si>
  <si>
    <t>Cell 2</t>
  </si>
  <si>
    <t>Service Provider 2</t>
  </si>
  <si>
    <t>Sim 2</t>
  </si>
  <si>
    <t>Employer</t>
  </si>
  <si>
    <t>Employer Address 1</t>
  </si>
  <si>
    <t>Employer Address 2</t>
  </si>
  <si>
    <t>Employer Suburb</t>
  </si>
  <si>
    <t>Employer City</t>
  </si>
  <si>
    <t>Employer Postal Code</t>
  </si>
  <si>
    <t>Employer Tel</t>
  </si>
  <si>
    <t>Employer fax</t>
  </si>
  <si>
    <t>Employer e-mail</t>
  </si>
  <si>
    <t>Contact Cell</t>
  </si>
  <si>
    <t>Employee number</t>
  </si>
  <si>
    <t>Union</t>
  </si>
  <si>
    <t>Union no.</t>
  </si>
  <si>
    <t>Employee Payday</t>
  </si>
  <si>
    <t>Branch</t>
  </si>
  <si>
    <t>Account Number</t>
  </si>
  <si>
    <t>Account type</t>
  </si>
  <si>
    <t>Payday</t>
  </si>
  <si>
    <t>Policy Code</t>
  </si>
  <si>
    <t>Inception Fees</t>
  </si>
  <si>
    <t>Risk Premium</t>
  </si>
  <si>
    <t>Airtime Cost</t>
  </si>
  <si>
    <t>Total Cost</t>
  </si>
  <si>
    <t>Net Commission</t>
  </si>
  <si>
    <t>Beneficiery 1 Initials</t>
  </si>
  <si>
    <t>Beneficiery 1 Surname</t>
  </si>
  <si>
    <t>Beneficiery 1 ID Number</t>
  </si>
  <si>
    <t>Beneficiery 1 Percentage</t>
  </si>
  <si>
    <t>Beneficiery 2 Initials</t>
  </si>
  <si>
    <t>Beneficiery 2 Surname</t>
  </si>
  <si>
    <t>Beneficiery 2 ID Number</t>
  </si>
  <si>
    <t>Beneficiery 2 Percentage</t>
  </si>
  <si>
    <t>Beneficiery Postal 1</t>
  </si>
  <si>
    <t>Beneficiery Postal 2</t>
  </si>
  <si>
    <t>Beneficiery Postal 3</t>
  </si>
  <si>
    <t>Beneficiery Postal Code</t>
  </si>
  <si>
    <t>Beneficiery Bank Acc Name</t>
  </si>
  <si>
    <t>Beneficiery Bank</t>
  </si>
  <si>
    <t>Beneficiery Branch</t>
  </si>
  <si>
    <t>Beneficiery Branch Code</t>
  </si>
  <si>
    <t>Beneficiery Acc Number</t>
  </si>
  <si>
    <t>Beneficiery Acc type</t>
  </si>
  <si>
    <t>Spouse Initials</t>
  </si>
  <si>
    <t>Spouse Surname</t>
  </si>
  <si>
    <t>Spouse ID No.</t>
  </si>
  <si>
    <t>Spouse D.O.B.</t>
  </si>
  <si>
    <t>Spouse age</t>
  </si>
  <si>
    <t>Spouse Relationship</t>
  </si>
  <si>
    <t>Spouse Cell no.</t>
  </si>
  <si>
    <t>Family 1 Initials</t>
  </si>
  <si>
    <t>Family 1 Surname</t>
  </si>
  <si>
    <t>Family 1 ID Number</t>
  </si>
  <si>
    <t>Family 1 D.O.B.</t>
  </si>
  <si>
    <t>Family 1 Age</t>
  </si>
  <si>
    <t>Family 1 Relationship</t>
  </si>
  <si>
    <t>Family 2 Initials</t>
  </si>
  <si>
    <t>Family 2 Surname</t>
  </si>
  <si>
    <t>Family 2 ID Number</t>
  </si>
  <si>
    <t>Family 2 D.O.B.</t>
  </si>
  <si>
    <t>Family 2 Age</t>
  </si>
  <si>
    <t>Family 2 Relationship</t>
  </si>
  <si>
    <t>Family 3 Initials</t>
  </si>
  <si>
    <t>Family 3 Surname</t>
  </si>
  <si>
    <t>Family 3 ID Number</t>
  </si>
  <si>
    <t>Family 3 D.O.B.</t>
  </si>
  <si>
    <t>Family 3 Age</t>
  </si>
  <si>
    <t>Family 3 Relationship</t>
  </si>
  <si>
    <t>Family 4 Initials</t>
  </si>
  <si>
    <t>Family 5 Surname</t>
  </si>
  <si>
    <t>Family 4 Surname</t>
  </si>
  <si>
    <t>Family 4 ID Number</t>
  </si>
  <si>
    <t>Family 4 D.O.B.</t>
  </si>
  <si>
    <t>Family 4 Age</t>
  </si>
  <si>
    <t>Family 4 Relationship</t>
  </si>
  <si>
    <t>Family 5 Initials</t>
  </si>
  <si>
    <t>Family 5 ID Number</t>
  </si>
  <si>
    <t>Family 5 D.O.B.</t>
  </si>
  <si>
    <t>Family 5 Age</t>
  </si>
  <si>
    <t>Family 5 Relationship</t>
  </si>
  <si>
    <t>Family 6 Initials</t>
  </si>
  <si>
    <t>Family 6 Surname</t>
  </si>
  <si>
    <t>Family 6 ID Number</t>
  </si>
  <si>
    <t>Family 6 D.O.B.</t>
  </si>
  <si>
    <t>Family 6 Age</t>
  </si>
  <si>
    <t>Family 6 Relationship</t>
  </si>
  <si>
    <t>Extended 1 Initials</t>
  </si>
  <si>
    <t>Extended 1 Surname</t>
  </si>
  <si>
    <t>Extended 1 ID Number</t>
  </si>
  <si>
    <t>Extended 1 D.O.B.</t>
  </si>
  <si>
    <t>Extended 1 Age</t>
  </si>
  <si>
    <t>Extended 1 Relationship</t>
  </si>
  <si>
    <t>Extended 2 Initials</t>
  </si>
  <si>
    <t>Extended 2 Surname</t>
  </si>
  <si>
    <t>Extended 2 ID Number</t>
  </si>
  <si>
    <t>Extended 2 D.O.B.</t>
  </si>
  <si>
    <t>Extended 2 Age</t>
  </si>
  <si>
    <t>Extended 2 Relationship</t>
  </si>
  <si>
    <t>Extended 3 Initials</t>
  </si>
  <si>
    <t>Extended 3 Surname</t>
  </si>
  <si>
    <t>Extended 3 ID Number</t>
  </si>
  <si>
    <t>Extended 3 D.O.B.</t>
  </si>
  <si>
    <t>Extended 3 Age</t>
  </si>
  <si>
    <t>Extended 3 Relationship</t>
  </si>
  <si>
    <t>Extended 4 Initials</t>
  </si>
  <si>
    <t>Extended 4 Surname</t>
  </si>
  <si>
    <t>Extended 4 ID Number</t>
  </si>
  <si>
    <t>Extended 4 D.O.B.</t>
  </si>
  <si>
    <t>Extended 4 Age</t>
  </si>
  <si>
    <t>Extended 4 Relationship</t>
  </si>
  <si>
    <t>Policy Code Final</t>
  </si>
  <si>
    <t>Product Final</t>
  </si>
  <si>
    <t>Policy No 4 Final</t>
  </si>
  <si>
    <t>Policy no. 8 Final</t>
  </si>
  <si>
    <t>Premium Final</t>
  </si>
  <si>
    <t>Extended Premium Final</t>
  </si>
  <si>
    <t>Inception Fee Final</t>
  </si>
  <si>
    <t>Total First Premium</t>
  </si>
  <si>
    <t>Total Monthly Premium</t>
  </si>
  <si>
    <t>Final Risk Premium</t>
  </si>
  <si>
    <t>Final Extended Risk Premium</t>
  </si>
  <si>
    <t>Total Risk Premium</t>
  </si>
  <si>
    <t>Gross Net Comm month 1</t>
  </si>
  <si>
    <t>Gross Net Com monthly</t>
  </si>
  <si>
    <t>Final Airtime Month 1</t>
  </si>
  <si>
    <t>Final Airtime monthly</t>
  </si>
  <si>
    <t>Net First Commission</t>
  </si>
  <si>
    <t>Licensee Com Month 1</t>
  </si>
  <si>
    <t>Licensee Com Monthly</t>
  </si>
  <si>
    <t>Intabanet Com Month 1</t>
  </si>
  <si>
    <t>Intabanet Com monthly</t>
  </si>
  <si>
    <t>Policy No. 4</t>
  </si>
  <si>
    <t>Policy No. 8</t>
  </si>
  <si>
    <t>Licencee Code</t>
  </si>
  <si>
    <t>Agent Code</t>
  </si>
  <si>
    <t>Total Inception Commission</t>
  </si>
  <si>
    <t>Licensee Share</t>
  </si>
  <si>
    <t>Agent Share</t>
  </si>
  <si>
    <t>Total Monthly Commission</t>
  </si>
  <si>
    <t>No. of Premiums Received</t>
  </si>
  <si>
    <t>Agent's share</t>
  </si>
  <si>
    <t>Policy holder</t>
  </si>
  <si>
    <t>First names</t>
  </si>
  <si>
    <t>No. of Extendeds</t>
  </si>
  <si>
    <t>Number of Extendeds</t>
  </si>
  <si>
    <t>Total Premium Should be</t>
  </si>
  <si>
    <t>Net Payment Due</t>
  </si>
  <si>
    <t>Licensee and Agent Fees</t>
  </si>
  <si>
    <t>Net Intabanet Income</t>
  </si>
  <si>
    <t>Activate Y/N</t>
  </si>
  <si>
    <t xml:space="preserve">Problem </t>
  </si>
  <si>
    <t>Month 1 "Y"</t>
  </si>
  <si>
    <t>7201180010081</t>
  </si>
  <si>
    <t>3007210000000</t>
  </si>
  <si>
    <t>N M L</t>
  </si>
  <si>
    <t>18/01/1972</t>
  </si>
  <si>
    <t>42</t>
  </si>
  <si>
    <t>31 Majuba Avenue</t>
  </si>
  <si>
    <t>Bosmant</t>
  </si>
  <si>
    <t>2093</t>
  </si>
  <si>
    <t>Cell C</t>
  </si>
  <si>
    <t>8927071991404244888</t>
  </si>
  <si>
    <t>N M L Jonkers</t>
  </si>
  <si>
    <t>200710</t>
  </si>
  <si>
    <t>54240012218</t>
  </si>
  <si>
    <t>N</t>
  </si>
  <si>
    <t>9804070085085</t>
  </si>
  <si>
    <t>100%</t>
  </si>
  <si>
    <t>07/04/1998</t>
  </si>
  <si>
    <t>16</t>
  </si>
  <si>
    <t>J</t>
  </si>
  <si>
    <t>21/07/1930</t>
  </si>
  <si>
    <t>84</t>
  </si>
  <si>
    <t>Mother</t>
  </si>
  <si>
    <t>50260111</t>
  </si>
  <si>
    <t>9804070000000</t>
  </si>
  <si>
    <t>Net Montly Commission</t>
  </si>
  <si>
    <t>7501010000000</t>
  </si>
  <si>
    <t>9903190000000</t>
  </si>
  <si>
    <t>0705310000000</t>
  </si>
  <si>
    <t>19/11/1975</t>
  </si>
  <si>
    <t>39</t>
  </si>
  <si>
    <t>Salem Boerdery</t>
  </si>
  <si>
    <t>Chase Pad</t>
  </si>
  <si>
    <t>Klein Drakenstein</t>
  </si>
  <si>
    <t>728</t>
  </si>
  <si>
    <t>0835383253</t>
  </si>
  <si>
    <t>MTM</t>
  </si>
  <si>
    <t>0403109040PWIB24</t>
  </si>
  <si>
    <t>F Dass</t>
  </si>
  <si>
    <t>A</t>
  </si>
  <si>
    <t>01/01/1975</t>
  </si>
  <si>
    <t>40</t>
  </si>
  <si>
    <t>O</t>
  </si>
  <si>
    <t>19/03/1999</t>
  </si>
  <si>
    <t>15</t>
  </si>
  <si>
    <t>Child</t>
  </si>
  <si>
    <t>A C</t>
  </si>
  <si>
    <t>31/05/2007</t>
  </si>
  <si>
    <t>7</t>
  </si>
  <si>
    <t>Son</t>
  </si>
  <si>
    <t>50260327</t>
  </si>
  <si>
    <t>Own</t>
  </si>
  <si>
    <t>N1 City</t>
  </si>
  <si>
    <t>Month</t>
  </si>
  <si>
    <t>Year</t>
  </si>
  <si>
    <r>
      <t xml:space="preserve">CERTIFICATE </t>
    </r>
    <r>
      <rPr>
        <i/>
        <sz val="34"/>
        <color rgb="FF322411"/>
        <rFont val="Georgia"/>
        <family val="1"/>
      </rPr>
      <t xml:space="preserve">of </t>
    </r>
    <r>
      <rPr>
        <sz val="34"/>
        <color rgb="FF322411"/>
        <rFont val="Georgia"/>
        <family val="1"/>
      </rPr>
      <t>ACHIEVEMENT</t>
    </r>
  </si>
  <si>
    <t>INTABANET DISCOUNTED AIRTIME WITH FREE FUNERAL POLICY</t>
  </si>
  <si>
    <t>INTABANET GROUP FUNERAL POLICY SCHEMES</t>
  </si>
  <si>
    <t>COMPETENT TO MARKET THEM</t>
  </si>
  <si>
    <t>THIS CERTIFICATE CONFIRMS THAT</t>
  </si>
  <si>
    <t xml:space="preserve">SIGNED: </t>
  </si>
  <si>
    <t>C.E.O.</t>
  </si>
  <si>
    <t>Names</t>
  </si>
  <si>
    <t>HAS BEEN TRAINED ON THE FOLLOWING PRODUCTS AND IS CONSIDERED</t>
  </si>
  <si>
    <t xml:space="preserve">nakkiestapelberg@gmail.com </t>
  </si>
  <si>
    <t xml:space="preserve">tjverone@gmail.com </t>
  </si>
  <si>
    <t xml:space="preserve">janicewalsh07@gmail.com </t>
  </si>
  <si>
    <t xml:space="preserve">karelslukas@gmail.com </t>
  </si>
  <si>
    <t xml:space="preserve">jonkersjd@gmail.com </t>
  </si>
  <si>
    <t xml:space="preserve">mark.felix63@gmail.com </t>
  </si>
  <si>
    <t xml:space="preserve">bblack@intabanet.co.za </t>
  </si>
  <si>
    <t>INTABANET SINGLE PURCHASE BULK DISCOUNTED AIRTIME</t>
  </si>
  <si>
    <t>Member</t>
  </si>
  <si>
    <t>Active Licensees</t>
  </si>
  <si>
    <t xml:space="preserve">As at </t>
  </si>
  <si>
    <t xml:space="preserve"> Listed Licensees</t>
  </si>
  <si>
    <t>Listed Agents</t>
  </si>
  <si>
    <t>Active Agents</t>
  </si>
  <si>
    <t>Listed Sales</t>
  </si>
  <si>
    <t>Active Sales</t>
  </si>
  <si>
    <t>Cancelled Sales</t>
  </si>
  <si>
    <t>Dormant</t>
  </si>
  <si>
    <t>Cancelled</t>
  </si>
  <si>
    <t>Dormant Sales</t>
  </si>
  <si>
    <t>Unpaid Licensee</t>
  </si>
  <si>
    <t>Terminated Licensee</t>
  </si>
  <si>
    <t>Suspended Agents</t>
  </si>
  <si>
    <t>Terminated Agents</t>
  </si>
  <si>
    <t>Retired Agents</t>
  </si>
  <si>
    <t>Deceased Agents</t>
  </si>
  <si>
    <t>Sale Status</t>
  </si>
  <si>
    <t>Order count</t>
  </si>
  <si>
    <t>Client ID number</t>
  </si>
  <si>
    <t>Client name</t>
  </si>
  <si>
    <t>Client surname</t>
  </si>
  <si>
    <t>Contact no</t>
  </si>
  <si>
    <t>Alternative contact no</t>
  </si>
  <si>
    <t>MSISDN</t>
  </si>
  <si>
    <t>SIM No</t>
  </si>
  <si>
    <t>Current network</t>
  </si>
  <si>
    <t xml:space="preserve">Network Choice </t>
  </si>
  <si>
    <t>Port YES/NO</t>
  </si>
  <si>
    <t>Subscription</t>
  </si>
  <si>
    <t>FSP: C Titus &amp; Associates 45454</t>
  </si>
  <si>
    <t>Name</t>
  </si>
  <si>
    <t>Headstart</t>
  </si>
  <si>
    <t>Extended</t>
  </si>
  <si>
    <t>Entry</t>
  </si>
  <si>
    <t>Comm</t>
  </si>
  <si>
    <t>DO</t>
  </si>
  <si>
    <t>KALA V</t>
  </si>
  <si>
    <t xml:space="preserve">TSWANE S C </t>
  </si>
  <si>
    <t>KULA S</t>
  </si>
  <si>
    <t>KULA L</t>
  </si>
  <si>
    <t>EPAY</t>
  </si>
  <si>
    <t>???</t>
  </si>
  <si>
    <t>N S GQOMFA</t>
  </si>
  <si>
    <t>M J DYANTYISI</t>
  </si>
  <si>
    <t>S DYANTYISI</t>
  </si>
  <si>
    <t>N MGWEGWE</t>
  </si>
  <si>
    <t>S MGWEGWE</t>
  </si>
  <si>
    <t>T MODI</t>
  </si>
  <si>
    <t>Total Premium collected</t>
  </si>
  <si>
    <t>Premium Balance</t>
  </si>
  <si>
    <t>Day</t>
  </si>
  <si>
    <t>Start</t>
  </si>
  <si>
    <t>End</t>
  </si>
  <si>
    <t>Monthly Premium</t>
  </si>
  <si>
    <t>New Balance</t>
  </si>
  <si>
    <t>Policy Number 4</t>
  </si>
  <si>
    <t>Policy Number 8</t>
  </si>
  <si>
    <t>Client</t>
  </si>
  <si>
    <t>Agent No</t>
  </si>
  <si>
    <t>Total Commission</t>
  </si>
  <si>
    <t>Agent's Share</t>
  </si>
  <si>
    <t xml:space="preserve">Code: </t>
  </si>
  <si>
    <t>Statement for</t>
  </si>
  <si>
    <t>No. of Licensees</t>
  </si>
  <si>
    <t>_</t>
  </si>
  <si>
    <t>__</t>
  </si>
  <si>
    <t>Smarcom code</t>
  </si>
  <si>
    <t>No. of Agents</t>
  </si>
  <si>
    <t>Brach Code</t>
  </si>
  <si>
    <t xml:space="preserve">E-Mail </t>
  </si>
  <si>
    <t>Janice R Walsh</t>
  </si>
  <si>
    <t>ACF5</t>
  </si>
  <si>
    <t>ACS5</t>
  </si>
  <si>
    <t>ACF10</t>
  </si>
  <si>
    <t>ACS10</t>
  </si>
  <si>
    <t>ACF18</t>
  </si>
  <si>
    <t>ACS18</t>
  </si>
  <si>
    <t>AVF18</t>
  </si>
  <si>
    <t>AVS18</t>
  </si>
  <si>
    <t>IACF5</t>
  </si>
  <si>
    <t>IACS5</t>
  </si>
  <si>
    <t>IACF10</t>
  </si>
  <si>
    <t>IACS10</t>
  </si>
  <si>
    <t>IAVF10</t>
  </si>
  <si>
    <t>IAVS10</t>
  </si>
  <si>
    <t>GDF95</t>
  </si>
  <si>
    <t>GDS95</t>
  </si>
  <si>
    <t>CC50</t>
  </si>
  <si>
    <t>CC100</t>
  </si>
  <si>
    <t>CC125</t>
  </si>
  <si>
    <t>Customer Number 1st 4</t>
  </si>
  <si>
    <t>Customer number last 8</t>
  </si>
  <si>
    <t>6705120195084</t>
  </si>
  <si>
    <t>9710235275083</t>
  </si>
  <si>
    <t>0602060000000</t>
  </si>
  <si>
    <t>Kleinsmith</t>
  </si>
  <si>
    <t>Zelda</t>
  </si>
  <si>
    <t>12/05/1967</t>
  </si>
  <si>
    <t>47</t>
  </si>
  <si>
    <t>Roosendal</t>
  </si>
  <si>
    <t>Delft</t>
  </si>
  <si>
    <t>7100</t>
  </si>
  <si>
    <t>1011672774</t>
  </si>
  <si>
    <t>C R</t>
  </si>
  <si>
    <t>23/10/1997</t>
  </si>
  <si>
    <t>L Z</t>
  </si>
  <si>
    <t>06/02/2006</t>
  </si>
  <si>
    <t>8</t>
  </si>
  <si>
    <t>Zelda Kleinsmith</t>
  </si>
  <si>
    <t>50260012</t>
  </si>
  <si>
    <t>x2</t>
  </si>
  <si>
    <t>FF55</t>
  </si>
  <si>
    <t>F55100MB</t>
  </si>
  <si>
    <t>Total Payment Due</t>
  </si>
  <si>
    <t>First Payment Date</t>
  </si>
  <si>
    <t>ABSA Bank 4069490397</t>
  </si>
  <si>
    <t>To Smartcom</t>
  </si>
  <si>
    <t>From</t>
  </si>
  <si>
    <t xml:space="preserve">Agent Name: </t>
  </si>
  <si>
    <t xml:space="preserve">Licensee Name: </t>
  </si>
  <si>
    <t>No. of Policies</t>
  </si>
  <si>
    <t>No. of Policies on which Premiums should be received</t>
  </si>
  <si>
    <t>Cell 2 owner's name</t>
  </si>
  <si>
    <t>Carried forward</t>
  </si>
  <si>
    <t>cdr1</t>
  </si>
  <si>
    <t>Du Mont Development</t>
  </si>
  <si>
    <t>2012/159778/07</t>
  </si>
  <si>
    <t>14 Simonzicht</t>
  </si>
  <si>
    <t>Tuscany Views</t>
  </si>
  <si>
    <t>Eerste River</t>
  </si>
  <si>
    <t>Craig Du Mont</t>
  </si>
  <si>
    <t>0760138342</t>
  </si>
  <si>
    <t>craigdumont3@gmail.com</t>
  </si>
  <si>
    <t>C Dumont</t>
  </si>
  <si>
    <t>2079242601</t>
  </si>
  <si>
    <t>Promenade</t>
  </si>
  <si>
    <t>107909</t>
  </si>
  <si>
    <t>No fees payable for the first year</t>
  </si>
  <si>
    <t>cdr1/1001</t>
  </si>
  <si>
    <t>Craig</t>
  </si>
  <si>
    <t>Du Mont</t>
  </si>
  <si>
    <t>7001</t>
  </si>
  <si>
    <t>7611125202082</t>
  </si>
  <si>
    <t>23/3/2015</t>
  </si>
  <si>
    <t>2079242604</t>
  </si>
  <si>
    <t>No training fees due - part of Licenseee training</t>
  </si>
  <si>
    <t>25 Reigersdaal Rd</t>
  </si>
  <si>
    <t>Plattekloof Glen</t>
  </si>
  <si>
    <t>0823939044</t>
  </si>
  <si>
    <t>Cape Gate</t>
  </si>
  <si>
    <t>D F Black</t>
  </si>
  <si>
    <t>1395822423</t>
  </si>
  <si>
    <t>dfb1/1001</t>
  </si>
  <si>
    <t>Dennis F</t>
  </si>
  <si>
    <t>5009285110082</t>
  </si>
  <si>
    <t>17/4/2015</t>
  </si>
  <si>
    <t>62094599829</t>
  </si>
  <si>
    <t>251945</t>
  </si>
  <si>
    <t>No Training Fee payable</t>
  </si>
  <si>
    <t>17/04/2015</t>
  </si>
  <si>
    <t>7560</t>
  </si>
  <si>
    <t>Reactivated</t>
  </si>
  <si>
    <t>crd1</t>
  </si>
  <si>
    <t>Du mont</t>
  </si>
  <si>
    <t>4 Look Street</t>
  </si>
  <si>
    <t>Macassar</t>
  </si>
  <si>
    <t>Cape Twon</t>
  </si>
  <si>
    <t>7130</t>
  </si>
  <si>
    <t>0737727024</t>
  </si>
  <si>
    <t>darrenanthonydumont@gmail.com</t>
  </si>
  <si>
    <t>9602224529108</t>
  </si>
  <si>
    <t>Darren Anthony Du Mont</t>
  </si>
  <si>
    <t>1092122583</t>
  </si>
  <si>
    <t>Vangate Mall</t>
  </si>
  <si>
    <t>Darren A</t>
  </si>
  <si>
    <t>New Gross to Intabanet month 1</t>
  </si>
  <si>
    <t>Previous Gross to Intabanet month 1</t>
  </si>
  <si>
    <t>New Gross to Intabanet Annuity</t>
  </si>
  <si>
    <t>PreviousGross to Intabanet Annuity</t>
  </si>
  <si>
    <t>Previous airtime cost</t>
  </si>
  <si>
    <t>New Airtime Cost</t>
  </si>
  <si>
    <t>Renewal Frequency</t>
  </si>
  <si>
    <t>bfb1/1004</t>
  </si>
  <si>
    <t>Evan</t>
  </si>
  <si>
    <t>Aarons</t>
  </si>
  <si>
    <t>3 Dauphine Close</t>
  </si>
  <si>
    <t>0829601771</t>
  </si>
  <si>
    <t>equiride@gmail.com</t>
  </si>
  <si>
    <t>5510195130086</t>
  </si>
  <si>
    <t>4210139996</t>
  </si>
  <si>
    <t>Evan Aarons</t>
  </si>
  <si>
    <t>1385996178</t>
  </si>
  <si>
    <t>CFJ Single Extended</t>
  </si>
  <si>
    <t>CFJ Single Extended Casket Cover</t>
  </si>
  <si>
    <t>CGES50</t>
  </si>
  <si>
    <t>CGES95</t>
  </si>
  <si>
    <t>MTB Smartnet (Pty) Ltd</t>
  </si>
  <si>
    <t>Cash Payout Fees net of the admin fee</t>
  </si>
  <si>
    <t xml:space="preserve">       </t>
  </si>
  <si>
    <t>28 Vierlelie Street</t>
  </si>
  <si>
    <t>0610030016</t>
  </si>
  <si>
    <t>8927076401208279688</t>
  </si>
  <si>
    <t>Z KleinSmith</t>
  </si>
  <si>
    <t>125.00</t>
  </si>
  <si>
    <t>Paid?</t>
  </si>
  <si>
    <t>MTB Smartnet</t>
  </si>
  <si>
    <t>8412220161086</t>
  </si>
  <si>
    <t>1402010000000</t>
  </si>
  <si>
    <t>Maroschoné Petra</t>
  </si>
  <si>
    <t>30</t>
  </si>
  <si>
    <t>8 Wolvengat Street</t>
  </si>
  <si>
    <t>Wesbank</t>
  </si>
  <si>
    <t>0847664900</t>
  </si>
  <si>
    <t>8927071991404245276</t>
  </si>
  <si>
    <t>M P Jonkers</t>
  </si>
  <si>
    <t>75.00</t>
  </si>
  <si>
    <t>28.00</t>
  </si>
  <si>
    <t>50.00</t>
  </si>
  <si>
    <t>78.00</t>
  </si>
  <si>
    <t>47.00</t>
  </si>
  <si>
    <t>C</t>
  </si>
  <si>
    <t>6101260165089</t>
  </si>
  <si>
    <t>L K</t>
  </si>
  <si>
    <t>2/1/2014</t>
  </si>
  <si>
    <t>Maroschoné Petra Jonkers</t>
  </si>
  <si>
    <t>50260129</t>
  </si>
  <si>
    <t>172.00</t>
  </si>
  <si>
    <t>97.00</t>
  </si>
  <si>
    <t>122.00</t>
  </si>
  <si>
    <t>79.50</t>
  </si>
  <si>
    <t>17.00</t>
  </si>
  <si>
    <t>42.50</t>
  </si>
  <si>
    <t>30.00</t>
  </si>
  <si>
    <t>STATUS</t>
  </si>
  <si>
    <t>USED</t>
  </si>
  <si>
    <t>Airtime value</t>
  </si>
  <si>
    <t>SMS Value</t>
  </si>
  <si>
    <t>Policy Number First 4</t>
  </si>
  <si>
    <t>Bank Acc Name</t>
  </si>
  <si>
    <t>Run Debit order?</t>
  </si>
  <si>
    <t>Payment Date</t>
  </si>
  <si>
    <t>Payment amount</t>
  </si>
  <si>
    <t>Report Date</t>
  </si>
  <si>
    <t>1360314693</t>
  </si>
  <si>
    <t>8003020051080</t>
  </si>
  <si>
    <t>9804300000000</t>
  </si>
  <si>
    <t>0208200000000</t>
  </si>
  <si>
    <t>0610270000000</t>
  </si>
  <si>
    <t>1107160000000</t>
  </si>
  <si>
    <t>Morris</t>
  </si>
  <si>
    <t>Rozanne</t>
  </si>
  <si>
    <t>35</t>
  </si>
  <si>
    <t>L3 Midmar Street</t>
  </si>
  <si>
    <t>Groenvallei</t>
  </si>
  <si>
    <t>Bellville</t>
  </si>
  <si>
    <t>0845745295</t>
  </si>
  <si>
    <t>8927071991404346210</t>
  </si>
  <si>
    <t>Mrs L M Cupido</t>
  </si>
  <si>
    <t>031110</t>
  </si>
  <si>
    <t>075851326</t>
  </si>
  <si>
    <t>B P</t>
  </si>
  <si>
    <t>Cupido</t>
  </si>
  <si>
    <t>4905055009084</t>
  </si>
  <si>
    <t>R A</t>
  </si>
  <si>
    <t>4/30/1998</t>
  </si>
  <si>
    <t>J M</t>
  </si>
  <si>
    <t>8/20/2002</t>
  </si>
  <si>
    <t>12</t>
  </si>
  <si>
    <t>C V</t>
  </si>
  <si>
    <t>10/27/2006</t>
  </si>
  <si>
    <t>M M</t>
  </si>
  <si>
    <t>7/16/2011</t>
  </si>
  <si>
    <t>3</t>
  </si>
  <si>
    <t>Rozanne Morris</t>
  </si>
  <si>
    <t>50260145</t>
  </si>
  <si>
    <t>Contract period - Months</t>
  </si>
  <si>
    <t>dfb1/1002</t>
  </si>
  <si>
    <t>8/5/2015</t>
  </si>
  <si>
    <t>Werner</t>
  </si>
  <si>
    <t>Swarts</t>
  </si>
  <si>
    <t>11 Howard Davis Rd</t>
  </si>
  <si>
    <t>Milnerton</t>
  </si>
  <si>
    <t>0827875530</t>
  </si>
  <si>
    <t>wernerswarts180@gmail.com</t>
  </si>
  <si>
    <t>5908155142085</t>
  </si>
  <si>
    <t>9/5/2015</t>
  </si>
  <si>
    <t>W Swarts</t>
  </si>
  <si>
    <t>4079950775</t>
  </si>
  <si>
    <t>632005</t>
  </si>
  <si>
    <t>current</t>
  </si>
  <si>
    <t>6110090100083</t>
  </si>
  <si>
    <t>4906205129087</t>
  </si>
  <si>
    <t>0307175394080</t>
  </si>
  <si>
    <t>Van Wyk</t>
  </si>
  <si>
    <t>M C J</t>
  </si>
  <si>
    <t>53</t>
  </si>
  <si>
    <t>11 Salvia Crescent</t>
  </si>
  <si>
    <t>Devon Park</t>
  </si>
  <si>
    <t>Eeerste River</t>
  </si>
  <si>
    <t>0219044134</t>
  </si>
  <si>
    <t>0717455121</t>
  </si>
  <si>
    <t>E E</t>
  </si>
  <si>
    <t>van Wyk</t>
  </si>
  <si>
    <t>65</t>
  </si>
  <si>
    <t>Husband</t>
  </si>
  <si>
    <t>J S</t>
  </si>
  <si>
    <t>Fransman</t>
  </si>
  <si>
    <t>7/17/2003</t>
  </si>
  <si>
    <t>11</t>
  </si>
  <si>
    <t>Nephew</t>
  </si>
  <si>
    <t>22.00</t>
  </si>
  <si>
    <t>1.00</t>
  </si>
  <si>
    <t>M C J Van Wyk</t>
  </si>
  <si>
    <t>50260525</t>
  </si>
  <si>
    <t>T R BURWANA</t>
  </si>
  <si>
    <t>Carried Forward</t>
  </si>
  <si>
    <t>8307215234080</t>
  </si>
  <si>
    <t>Abrahams</t>
  </si>
  <si>
    <t>Michael Craig</t>
  </si>
  <si>
    <t>31</t>
  </si>
  <si>
    <t>66 Tarentaal Rd</t>
  </si>
  <si>
    <t>Bridgetown</t>
  </si>
  <si>
    <t>0728538418</t>
  </si>
  <si>
    <t>Michaele Abrahams</t>
  </si>
  <si>
    <t>025909</t>
  </si>
  <si>
    <t>L</t>
  </si>
  <si>
    <t>van Aarde</t>
  </si>
  <si>
    <t>78071791085</t>
  </si>
  <si>
    <t>Michael Craig Abrahams</t>
  </si>
  <si>
    <t>50260517</t>
  </si>
  <si>
    <t>8503085115082</t>
  </si>
  <si>
    <t>8906250079084</t>
  </si>
  <si>
    <t>0608110000000</t>
  </si>
  <si>
    <t>Theart</t>
  </si>
  <si>
    <t>Willem McDonald</t>
  </si>
  <si>
    <t>29</t>
  </si>
  <si>
    <t>5 Visagie Str</t>
  </si>
  <si>
    <t>Bothasig</t>
  </si>
  <si>
    <t>0843562117</t>
  </si>
  <si>
    <t>willemslaai@hotmail.co.za</t>
  </si>
  <si>
    <t>8927076321/207090961</t>
  </si>
  <si>
    <t>0745387899</t>
  </si>
  <si>
    <t>Bianca Langwood</t>
  </si>
  <si>
    <t>8927071991/308129095</t>
  </si>
  <si>
    <t>Willem Theart</t>
  </si>
  <si>
    <t>1313797896</t>
  </si>
  <si>
    <t>G L</t>
  </si>
  <si>
    <t>Langwood</t>
  </si>
  <si>
    <t>6807305121081</t>
  </si>
  <si>
    <t>B</t>
  </si>
  <si>
    <t>25</t>
  </si>
  <si>
    <t>Common Law Spouse</t>
  </si>
  <si>
    <t>8/11/2006</t>
  </si>
  <si>
    <t>Willem McDonald Theart</t>
  </si>
  <si>
    <t>50260335</t>
  </si>
  <si>
    <t>Silusapho/Intabanet</t>
  </si>
  <si>
    <t>272920169</t>
  </si>
  <si>
    <t>28/5/2015</t>
  </si>
  <si>
    <t>Catherine</t>
  </si>
  <si>
    <t>Snyman</t>
  </si>
  <si>
    <t>57 Waratah Street</t>
  </si>
  <si>
    <t>Eersteriver</t>
  </si>
  <si>
    <t>0835121090</t>
  </si>
  <si>
    <t>leaonardcatherine613@tgmail.com</t>
  </si>
  <si>
    <t>8101180107086</t>
  </si>
  <si>
    <t>6/6/2015</t>
  </si>
  <si>
    <t>Catherine Leonard</t>
  </si>
  <si>
    <t>62357364597</t>
  </si>
  <si>
    <t>Zevenwacht</t>
  </si>
  <si>
    <t>220019</t>
  </si>
  <si>
    <t>Catherine Snyman</t>
  </si>
  <si>
    <t>BENYA A</t>
  </si>
  <si>
    <t>P S BABY</t>
  </si>
  <si>
    <t>S G FALATSA</t>
  </si>
  <si>
    <t>S P BABY</t>
  </si>
  <si>
    <t>L DOKO</t>
  </si>
  <si>
    <t>jlg1</t>
  </si>
  <si>
    <t>Joseph Gqomfa</t>
  </si>
  <si>
    <t>9 Gilio Crescent</t>
  </si>
  <si>
    <t>Westgate</t>
  </si>
  <si>
    <t>Mitchellsplein</t>
  </si>
  <si>
    <t>0213717716</t>
  </si>
  <si>
    <t>0838720832</t>
  </si>
  <si>
    <t>lungiselela@vodamail.co.za</t>
  </si>
  <si>
    <t>jlg1/1001</t>
  </si>
  <si>
    <t>Joseph</t>
  </si>
  <si>
    <t>Gqomfa</t>
  </si>
  <si>
    <t>9 Giloi Crescent</t>
  </si>
  <si>
    <t>No. of Intermediaries</t>
  </si>
  <si>
    <t>Intermediary No.</t>
  </si>
  <si>
    <t>Full Name</t>
  </si>
  <si>
    <t>Tel</t>
  </si>
  <si>
    <t>NACZ</t>
  </si>
  <si>
    <t>Full Nazareth Apostolic Church in Zion</t>
  </si>
  <si>
    <t>A646B Site C</t>
  </si>
  <si>
    <t>Sunrise Street</t>
  </si>
  <si>
    <t>Crossroads</t>
  </si>
  <si>
    <t>7784</t>
  </si>
  <si>
    <t>0733003578</t>
  </si>
  <si>
    <t>Archbishop Lawrence Mavangwe</t>
  </si>
  <si>
    <t>658440764</t>
  </si>
  <si>
    <t>Khayaletsha</t>
  </si>
  <si>
    <t>jlg1/1002</t>
  </si>
  <si>
    <t>Lawrence</t>
  </si>
  <si>
    <t>Mavangwe</t>
  </si>
  <si>
    <t>A646B  Site C</t>
  </si>
  <si>
    <t>5804225351089</t>
  </si>
  <si>
    <t>20/6/2015</t>
  </si>
  <si>
    <t>9009105632089</t>
  </si>
  <si>
    <t>1106140000000</t>
  </si>
  <si>
    <t>Xogo</t>
  </si>
  <si>
    <t>24</t>
  </si>
  <si>
    <t>39926 Hlehla Street</t>
  </si>
  <si>
    <t>Makaza</t>
  </si>
  <si>
    <t>0844029995</t>
  </si>
  <si>
    <t>E</t>
  </si>
  <si>
    <t>Thinti</t>
  </si>
  <si>
    <t>6/14/2011</t>
  </si>
  <si>
    <t>Sirvalo Xogo</t>
  </si>
  <si>
    <t>50260715</t>
  </si>
  <si>
    <t>5703130925088</t>
  </si>
  <si>
    <t>6701046061088</t>
  </si>
  <si>
    <t>Michael</t>
  </si>
  <si>
    <t>48</t>
  </si>
  <si>
    <t>41962 Jansan Street</t>
  </si>
  <si>
    <t>Mfuleni</t>
  </si>
  <si>
    <t>7786</t>
  </si>
  <si>
    <t>Z</t>
  </si>
  <si>
    <t>Mavanggwe</t>
  </si>
  <si>
    <t>Nomalinge</t>
  </si>
  <si>
    <t>3/13/1957</t>
  </si>
  <si>
    <t>57</t>
  </si>
  <si>
    <t>Spouse</t>
  </si>
  <si>
    <t>Michael Mavangwe</t>
  </si>
  <si>
    <t>50260723</t>
  </si>
  <si>
    <t>49051002087</t>
  </si>
  <si>
    <t>Tyambetyu</t>
  </si>
  <si>
    <t>Notgru Betty</t>
  </si>
  <si>
    <t>34503 Nkulu Street</t>
  </si>
  <si>
    <t>Harari</t>
  </si>
  <si>
    <t>Notgru Betty Tyambetyu</t>
  </si>
  <si>
    <t>50260731</t>
  </si>
  <si>
    <t>3801300239082</t>
  </si>
  <si>
    <t>Mateta</t>
  </si>
  <si>
    <t>Lucy Somikazi</t>
  </si>
  <si>
    <t>76</t>
  </si>
  <si>
    <t>Lucy Somikazi Mateta</t>
  </si>
  <si>
    <t>50260749</t>
  </si>
  <si>
    <t>7804115784082</t>
  </si>
  <si>
    <t>5703080904083</t>
  </si>
  <si>
    <t>1310040000000</t>
  </si>
  <si>
    <t>Xongo</t>
  </si>
  <si>
    <t>36</t>
  </si>
  <si>
    <t>39926 Hlela Street</t>
  </si>
  <si>
    <t>Makhaza</t>
  </si>
  <si>
    <t>084429995</t>
  </si>
  <si>
    <t>P N</t>
  </si>
  <si>
    <t>3/8/1957</t>
  </si>
  <si>
    <t>spouse</t>
  </si>
  <si>
    <t>10/4/2013</t>
  </si>
  <si>
    <t>1</t>
  </si>
  <si>
    <t>Mqwethu Xongo</t>
  </si>
  <si>
    <t>50260756</t>
  </si>
  <si>
    <t>Used</t>
  </si>
  <si>
    <t>7108280967088</t>
  </si>
  <si>
    <t>6510240000000</t>
  </si>
  <si>
    <t>0202250000000</t>
  </si>
  <si>
    <t>9804020000000</t>
  </si>
  <si>
    <t>Naidoo</t>
  </si>
  <si>
    <t>Berenice Louise</t>
  </si>
  <si>
    <t>43</t>
  </si>
  <si>
    <t>1857379436</t>
  </si>
  <si>
    <t>D A</t>
  </si>
  <si>
    <t>9602245291087</t>
  </si>
  <si>
    <t>10/24/1965</t>
  </si>
  <si>
    <t>0717726836</t>
  </si>
  <si>
    <t xml:space="preserve">Z </t>
  </si>
  <si>
    <t>2/25/2002</t>
  </si>
  <si>
    <t>4/2/1998</t>
  </si>
  <si>
    <t>Berenice Louise Naidoo</t>
  </si>
  <si>
    <t>50260533</t>
  </si>
  <si>
    <t>7509230246087</t>
  </si>
  <si>
    <t>6306195080085</t>
  </si>
  <si>
    <t>0112200000000</t>
  </si>
  <si>
    <t>0405010000000</t>
  </si>
  <si>
    <t>0909190000000</t>
  </si>
  <si>
    <t>Engelbrecht</t>
  </si>
  <si>
    <t>Wendy</t>
  </si>
  <si>
    <t>4 Ring Avenue</t>
  </si>
  <si>
    <t>0789592063</t>
  </si>
  <si>
    <t>0599468515</t>
  </si>
  <si>
    <t>H</t>
  </si>
  <si>
    <t>6/19/1963</t>
  </si>
  <si>
    <t>51</t>
  </si>
  <si>
    <t>Hisband</t>
  </si>
  <si>
    <t>12/20/2001</t>
  </si>
  <si>
    <t>13</t>
  </si>
  <si>
    <t>D M</t>
  </si>
  <si>
    <t>5/1/2004</t>
  </si>
  <si>
    <t xml:space="preserve">M </t>
  </si>
  <si>
    <t>9/19/2009</t>
  </si>
  <si>
    <t>5</t>
  </si>
  <si>
    <t>Wendy Engelbrecht</t>
  </si>
  <si>
    <t>50260558</t>
  </si>
  <si>
    <t>cdr1/1002</t>
  </si>
  <si>
    <t>cdr1/1003</t>
  </si>
  <si>
    <t>7908150109087</t>
  </si>
  <si>
    <t>8104255259089</t>
  </si>
  <si>
    <t>0109090000000</t>
  </si>
  <si>
    <t>0303230000000</t>
  </si>
  <si>
    <t>Thorne</t>
  </si>
  <si>
    <t>Ingrid Kerin</t>
  </si>
  <si>
    <t>54 Daphne Street</t>
  </si>
  <si>
    <t>Woodlands</t>
  </si>
  <si>
    <t>0823153591</t>
  </si>
  <si>
    <t>I K Thorne</t>
  </si>
  <si>
    <t>Mitchells Plein</t>
  </si>
  <si>
    <t>62299490848</t>
  </si>
  <si>
    <t>Maggot</t>
  </si>
  <si>
    <t>4/25/1981</t>
  </si>
  <si>
    <t>33</t>
  </si>
  <si>
    <t>Common Law Husband</t>
  </si>
  <si>
    <t>9/9/2001</t>
  </si>
  <si>
    <t>3/23/2003</t>
  </si>
  <si>
    <t>Ingrid Kerin Thorne</t>
  </si>
  <si>
    <t>50260020</t>
  </si>
  <si>
    <t>8203030148086</t>
  </si>
  <si>
    <t>8103185194085</t>
  </si>
  <si>
    <t>0303290000000</t>
  </si>
  <si>
    <t>0907070000000</t>
  </si>
  <si>
    <t>Jaars</t>
  </si>
  <si>
    <t>Monique Lea</t>
  </si>
  <si>
    <t>32</t>
  </si>
  <si>
    <t>40 Cococabana Way</t>
  </si>
  <si>
    <t>Malibu village</t>
  </si>
  <si>
    <t>Blue Downs</t>
  </si>
  <si>
    <t>0796002998</t>
  </si>
  <si>
    <t>M L Jaars</t>
  </si>
  <si>
    <t>470100</t>
  </si>
  <si>
    <t>1262090014</t>
  </si>
  <si>
    <t>C D</t>
  </si>
  <si>
    <t>3/18/1981</t>
  </si>
  <si>
    <t>Z D</t>
  </si>
  <si>
    <t>7/7/2009</t>
  </si>
  <si>
    <t>A D</t>
  </si>
  <si>
    <t>3/29/2003</t>
  </si>
  <si>
    <t>Monique Lea Jaars</t>
  </si>
  <si>
    <t>50260038</t>
  </si>
  <si>
    <t>7610195061089</t>
  </si>
  <si>
    <t>8406300136087</t>
  </si>
  <si>
    <t>9910170000000</t>
  </si>
  <si>
    <t>0404270000000</t>
  </si>
  <si>
    <t>1308050000000</t>
  </si>
  <si>
    <t>0202270000000</t>
  </si>
  <si>
    <t>de Hahn</t>
  </si>
  <si>
    <t>38</t>
  </si>
  <si>
    <t>0746085390</t>
  </si>
  <si>
    <t>crdehahn@gmail.com</t>
  </si>
  <si>
    <t>8927071991404245281</t>
  </si>
  <si>
    <t>De Hahn</t>
  </si>
  <si>
    <t>6/30/1984</t>
  </si>
  <si>
    <t>Wife</t>
  </si>
  <si>
    <t>10/17/1999</t>
  </si>
  <si>
    <t>4/27/2004</t>
  </si>
  <si>
    <t>P</t>
  </si>
  <si>
    <t>8/5/2013</t>
  </si>
  <si>
    <t>C J</t>
  </si>
  <si>
    <t>2/27/2002</t>
  </si>
  <si>
    <t>Craig de Hahn</t>
  </si>
  <si>
    <t>50260624</t>
  </si>
  <si>
    <t>6903040238080</t>
  </si>
  <si>
    <t>5604280097084</t>
  </si>
  <si>
    <t>5805070150088</t>
  </si>
  <si>
    <t>Lucas</t>
  </si>
  <si>
    <t>52</t>
  </si>
  <si>
    <t>0747044819</t>
  </si>
  <si>
    <t>8927071991404245278</t>
  </si>
  <si>
    <t>0619573713</t>
  </si>
  <si>
    <t>Gloria Karels</t>
  </si>
  <si>
    <t>8927071991404245275</t>
  </si>
  <si>
    <t>G</t>
  </si>
  <si>
    <t>6006240100082</t>
  </si>
  <si>
    <t>3/4/1969</t>
  </si>
  <si>
    <t>45</t>
  </si>
  <si>
    <t>sister</t>
  </si>
  <si>
    <t>Davidson</t>
  </si>
  <si>
    <t>4/28/1956</t>
  </si>
  <si>
    <t>Sister</t>
  </si>
  <si>
    <t>Johannes</t>
  </si>
  <si>
    <t>5/7/1958</t>
  </si>
  <si>
    <t>56</t>
  </si>
  <si>
    <t>150</t>
  </si>
  <si>
    <t>66</t>
  </si>
  <si>
    <t>Lucas Karels</t>
  </si>
  <si>
    <t>50260152</t>
  </si>
  <si>
    <t>5203150894082</t>
  </si>
  <si>
    <t>M R</t>
  </si>
  <si>
    <t>Adams</t>
  </si>
  <si>
    <t>62</t>
  </si>
  <si>
    <t>Malibu Village</t>
  </si>
  <si>
    <t>M  L</t>
  </si>
  <si>
    <t>Adams M R</t>
  </si>
  <si>
    <t>50260046</t>
  </si>
  <si>
    <t>Easypay</t>
  </si>
  <si>
    <t>8912110141080</t>
  </si>
  <si>
    <t>Gloria</t>
  </si>
  <si>
    <t>54</t>
  </si>
  <si>
    <t>0619056180</t>
  </si>
  <si>
    <t>jonkerjd@gmail.com</t>
  </si>
  <si>
    <t>8927071991404245273</t>
  </si>
  <si>
    <t>0619385532</t>
  </si>
  <si>
    <t>Lukas Karels</t>
  </si>
  <si>
    <t>8927071991404245274</t>
  </si>
  <si>
    <t>4/30/1962</t>
  </si>
  <si>
    <t>R</t>
  </si>
  <si>
    <t>de Jager</t>
  </si>
  <si>
    <t>12/11/1989</t>
  </si>
  <si>
    <t>50260160</t>
  </si>
  <si>
    <t>7108110184084</t>
  </si>
  <si>
    <t>Petrus</t>
  </si>
  <si>
    <t>Rozetta M</t>
  </si>
  <si>
    <t>0618680172</t>
  </si>
  <si>
    <t>jonkersjd@gmail.com</t>
  </si>
  <si>
    <t>8927071991404245277</t>
  </si>
  <si>
    <t>Rozetta M Petrus</t>
  </si>
  <si>
    <t>50260194</t>
  </si>
  <si>
    <t>6211185103089</t>
  </si>
  <si>
    <t>Hendricks</t>
  </si>
  <si>
    <t>David A</t>
  </si>
  <si>
    <t>40 Kosmos Street</t>
  </si>
  <si>
    <t>0619175483</t>
  </si>
  <si>
    <t>David A Hendricks</t>
  </si>
  <si>
    <t>50260178</t>
  </si>
  <si>
    <t>ztb1</t>
  </si>
  <si>
    <t>Eikendal</t>
  </si>
  <si>
    <t>Kraaifontein</t>
  </si>
  <si>
    <t>266  8th Avanue</t>
  </si>
  <si>
    <t>No. of Groups</t>
  </si>
  <si>
    <t xml:space="preserve">Group </t>
  </si>
  <si>
    <t>Take Control</t>
  </si>
  <si>
    <t>Intabanet (Pty) Ltd</t>
  </si>
  <si>
    <t>0215588835</t>
  </si>
  <si>
    <t>0825175710</t>
  </si>
  <si>
    <t>info@intabanet.co.za</t>
  </si>
  <si>
    <t>3/7/2015</t>
  </si>
  <si>
    <t>Zikam trading</t>
  </si>
  <si>
    <t>2011/109479/07</t>
  </si>
  <si>
    <t>Office No. 2, Training Centre</t>
  </si>
  <si>
    <t>Lurnole Road</t>
  </si>
  <si>
    <t>Khayelitcha</t>
  </si>
  <si>
    <t>Bongikhaya Qama</t>
  </si>
  <si>
    <t>0218371900</t>
  </si>
  <si>
    <t>0713875878</t>
  </si>
  <si>
    <t>likapa.training@yahoo.com</t>
  </si>
  <si>
    <t>0866069968</t>
  </si>
  <si>
    <t>ztb1/1001</t>
  </si>
  <si>
    <t>Bongikhaya</t>
  </si>
  <si>
    <t>Qama</t>
  </si>
  <si>
    <t>71440 Bambanani Street</t>
  </si>
  <si>
    <t>Site C1</t>
  </si>
  <si>
    <t>Khayelitsha</t>
  </si>
  <si>
    <t>0218282466</t>
  </si>
  <si>
    <t>0713875873</t>
  </si>
  <si>
    <t>quama@ymail.com</t>
  </si>
  <si>
    <t>7706055682087</t>
  </si>
  <si>
    <t>10047115228</t>
  </si>
  <si>
    <t>Khayelisha</t>
  </si>
  <si>
    <t>Sinalo</t>
  </si>
  <si>
    <t>Mawethu</t>
  </si>
  <si>
    <t>L Mavangwe</t>
  </si>
  <si>
    <t>1208140335</t>
  </si>
  <si>
    <t>Promaned</t>
  </si>
  <si>
    <t>Personal account</t>
  </si>
  <si>
    <t>jlg1/1003</t>
  </si>
  <si>
    <t>740105997088</t>
  </si>
  <si>
    <t>9609040000000</t>
  </si>
  <si>
    <t>9406060000000</t>
  </si>
  <si>
    <t>Jamani</t>
  </si>
  <si>
    <t>Nontsasa</t>
  </si>
  <si>
    <t>41</t>
  </si>
  <si>
    <t>11 Assegaaibos</t>
  </si>
  <si>
    <t>Cape Nature Reserve</t>
  </si>
  <si>
    <t>0781742476</t>
  </si>
  <si>
    <t>Y</t>
  </si>
  <si>
    <t>9/4/1996</t>
  </si>
  <si>
    <t>18</t>
  </si>
  <si>
    <t>6/6/1994</t>
  </si>
  <si>
    <t>20</t>
  </si>
  <si>
    <t>Nontsasa Jamani</t>
  </si>
  <si>
    <t>50260764</t>
  </si>
  <si>
    <t>7906240744087</t>
  </si>
  <si>
    <t>7603255801080</t>
  </si>
  <si>
    <t>0006230000000</t>
  </si>
  <si>
    <t>0510310000000</t>
  </si>
  <si>
    <t>1009020000000</t>
  </si>
  <si>
    <t>Nomawabo Gloria</t>
  </si>
  <si>
    <t>2 Assegaaibos</t>
  </si>
  <si>
    <t>Cape Nature Reseve</t>
  </si>
  <si>
    <t>Stellenbosch</t>
  </si>
  <si>
    <t>0736817239</t>
  </si>
  <si>
    <t>3/25/1976</t>
  </si>
  <si>
    <t>Mhlati</t>
  </si>
  <si>
    <t>6/23/2000</t>
  </si>
  <si>
    <t>14</t>
  </si>
  <si>
    <t>Q</t>
  </si>
  <si>
    <t>10/31/2005</t>
  </si>
  <si>
    <t>9</t>
  </si>
  <si>
    <t>U</t>
  </si>
  <si>
    <t>9/2/2010</t>
  </si>
  <si>
    <t>4</t>
  </si>
  <si>
    <t>Nomawabo Gloria Jamani</t>
  </si>
  <si>
    <t>50260772</t>
  </si>
  <si>
    <t>3506155199089</t>
  </si>
  <si>
    <t>Mlonyeni</t>
  </si>
  <si>
    <t>Dyidela</t>
  </si>
  <si>
    <t>79</t>
  </si>
  <si>
    <t>9301040826086</t>
  </si>
  <si>
    <t>Dyidela Mlonyeni</t>
  </si>
  <si>
    <t>50260780</t>
  </si>
  <si>
    <t>q</t>
  </si>
  <si>
    <t>CCIJ</t>
  </si>
  <si>
    <t>8709100146081</t>
  </si>
  <si>
    <t>9312130120082</t>
  </si>
  <si>
    <t>V B</t>
  </si>
  <si>
    <t>27</t>
  </si>
  <si>
    <t>0742704651</t>
  </si>
  <si>
    <t>8927074321202263862</t>
  </si>
  <si>
    <t>12/13/1993</t>
  </si>
  <si>
    <t>21</t>
  </si>
  <si>
    <t>V B Karels</t>
  </si>
  <si>
    <t>50260202</t>
  </si>
  <si>
    <t>5109190250082</t>
  </si>
  <si>
    <t>Leonard</t>
  </si>
  <si>
    <t>A E</t>
  </si>
  <si>
    <t>63</t>
  </si>
  <si>
    <t>0713222746</t>
  </si>
  <si>
    <t>00013202269100D-A</t>
  </si>
  <si>
    <t>Philander</t>
  </si>
  <si>
    <t>8908210271082</t>
  </si>
  <si>
    <t>A E Leonard</t>
  </si>
  <si>
    <t>50260574</t>
  </si>
  <si>
    <t xml:space="preserve">BOKWE L N </t>
  </si>
  <si>
    <t>SILU00001001</t>
  </si>
  <si>
    <t>WILLIAMS D</t>
  </si>
  <si>
    <t xml:space="preserve">JONKERS N M L </t>
  </si>
  <si>
    <t>JONKERS M P</t>
  </si>
  <si>
    <t>MORRIS R</t>
  </si>
  <si>
    <t xml:space="preserve">STAPELBERG C S M </t>
  </si>
  <si>
    <t xml:space="preserve">ABRAHAMS M C </t>
  </si>
  <si>
    <t>02/06/2015</t>
  </si>
  <si>
    <t>22/05/2015</t>
  </si>
  <si>
    <t>22/06/2015</t>
  </si>
  <si>
    <t>04/06/2015</t>
  </si>
  <si>
    <t>12/06/2015</t>
  </si>
  <si>
    <t>M W MKULUNGA</t>
  </si>
  <si>
    <t>03/06/2015</t>
  </si>
  <si>
    <t>23/06/2015</t>
  </si>
  <si>
    <t>26/05/2015</t>
  </si>
  <si>
    <t>06/05/2015</t>
  </si>
  <si>
    <t>M J C VAN WYK</t>
  </si>
  <si>
    <t>31/05/2015</t>
  </si>
  <si>
    <t>B L NAIDOO</t>
  </si>
  <si>
    <t>24/06/2015</t>
  </si>
  <si>
    <t>C DE HAHN</t>
  </si>
  <si>
    <t>upfront</t>
  </si>
  <si>
    <t>**</t>
  </si>
  <si>
    <t>1 Com</t>
  </si>
  <si>
    <t>2 Comm</t>
  </si>
  <si>
    <t>E Pay</t>
  </si>
  <si>
    <t>TOTAL</t>
  </si>
  <si>
    <t>Bank Fees</t>
  </si>
  <si>
    <t>Net Payment</t>
  </si>
  <si>
    <t>July 2015</t>
  </si>
  <si>
    <t>Darren A Du mont</t>
  </si>
  <si>
    <t>Intabanet - previously the FD Group</t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</si>
</sst>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164" formatCode="&quot;R&quot;\ #,##0.00"/>
    <numFmt numFmtId="165" formatCode="dd\ mmm\ yy"/>
    <numFmt numFmtId="166" formatCode="[$-F800]dddd\,\ mmmm\ dd\,\ yyyy"/>
    <numFmt numFmtId="167" formatCode="d/m/yyyy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sz val="13"/>
      <color theme="1"/>
      <name val="Times New Roman"/>
      <family val="1"/>
    </font>
    <font>
      <sz val="34"/>
      <color rgb="FF322411"/>
      <name val="Georgia"/>
      <family val="1"/>
    </font>
    <font>
      <i/>
      <sz val="34"/>
      <color rgb="FF322411"/>
      <name val="Georgia"/>
      <family val="1"/>
    </font>
    <font>
      <sz val="10"/>
      <color rgb="FF000000"/>
      <name val="Georgia"/>
      <family val="1"/>
    </font>
    <font>
      <sz val="12"/>
      <color rgb="FFA5A5A5"/>
      <name val="Franklin Gothic Medium"/>
      <family val="2"/>
    </font>
    <font>
      <sz val="8.5"/>
      <color rgb="FF000000"/>
      <name val="Franklin Gothic Medium"/>
      <family val="2"/>
    </font>
    <font>
      <sz val="10"/>
      <color rgb="FF000000"/>
      <name val="Franklin Gothic Medium"/>
      <family val="2"/>
    </font>
    <font>
      <sz val="37"/>
      <color rgb="FF322411"/>
      <name val="Georgia"/>
      <family val="1"/>
    </font>
    <font>
      <sz val="5.5"/>
      <color rgb="FF000000"/>
      <name val="Georgia"/>
      <family val="1"/>
    </font>
    <font>
      <sz val="14"/>
      <color rgb="FF000000"/>
      <name val="Franklin Gothic Medium"/>
      <family val="2"/>
    </font>
    <font>
      <sz val="10"/>
      <color rgb="FF322411"/>
      <name val="Georgia"/>
      <family val="1"/>
    </font>
    <font>
      <sz val="12"/>
      <color rgb="FF322411"/>
      <name val="Forte"/>
      <family val="4"/>
    </font>
    <font>
      <sz val="32"/>
      <color rgb="FF322411"/>
      <name val="Georgia"/>
      <family val="1"/>
    </font>
    <font>
      <sz val="6.5"/>
      <color rgb="FF000000"/>
      <name val="Georgia"/>
      <family val="1"/>
    </font>
    <font>
      <sz val="9"/>
      <color rgb="FF322411"/>
      <name val="Franklin Gothic Medium"/>
      <family val="2"/>
    </font>
    <font>
      <sz val="12"/>
      <color theme="0" tint="-0.34998626667073579"/>
      <name val="Franklin Gothic Medium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rgb="FF000000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color indexed="57"/>
      <name val="Calibri"/>
      <family val="2"/>
      <scheme val="minor"/>
    </font>
    <font>
      <b/>
      <i/>
      <sz val="11"/>
      <color indexed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indexed="39"/>
      <name val="Calibri"/>
      <family val="2"/>
      <scheme val="minor"/>
    </font>
    <font>
      <b/>
      <sz val="11"/>
      <color indexed="3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0.5"/>
      <name val="Calibri"/>
      <family val="2"/>
      <scheme val="minor"/>
    </font>
    <font>
      <sz val="10.5"/>
      <name val="Calibri"/>
      <family val="2"/>
      <scheme val="minor"/>
    </font>
    <font>
      <b/>
      <vertAlign val="superscript"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b/>
      <sz val="28"/>
      <color theme="3" tint="-0.249977111117893"/>
      <name val="Calibri"/>
      <family val="2"/>
      <scheme val="minor"/>
    </font>
    <font>
      <sz val="11"/>
      <color rgb="FF1F497D"/>
      <name val="Calibri"/>
      <family val="2"/>
      <scheme val="minor"/>
    </font>
    <font>
      <b/>
      <i/>
      <sz val="12"/>
      <color indexed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2"/>
      <name val="Calibri"/>
      <family val="2"/>
      <scheme val="minor"/>
    </font>
    <font>
      <sz val="10"/>
      <color rgb="FF574123"/>
      <name val="Tahoma"/>
      <family val="2"/>
    </font>
    <font>
      <sz val="10"/>
      <color rgb="FF574123"/>
      <name val="Lucida Grande"/>
    </font>
    <font>
      <b/>
      <i/>
      <sz val="11"/>
      <color indexed="57"/>
      <name val="Calibri"/>
      <family val="2"/>
      <scheme val="minor"/>
    </font>
    <font>
      <b/>
      <sz val="18"/>
      <color indexed="12"/>
      <name val="Calibri"/>
      <family val="2"/>
      <scheme val="minor"/>
    </font>
    <font>
      <sz val="11"/>
      <color rgb="FF574123"/>
      <name val="Tahoma"/>
      <family val="2"/>
    </font>
    <font>
      <u/>
      <sz val="11"/>
      <name val="Calibri"/>
      <family val="2"/>
    </font>
    <font>
      <sz val="7.5"/>
      <color rgb="FF000000"/>
      <name val="Calibri"/>
      <family val="2"/>
      <scheme val="minor"/>
    </font>
    <font>
      <sz val="11"/>
      <color rgb="FF66666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</cellStyleXfs>
  <cellXfs count="502">
    <xf numFmtId="0" fontId="0" fillId="0" borderId="0" xfId="0"/>
    <xf numFmtId="0" fontId="2" fillId="4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wrapText="1" shrinkToFit="1"/>
    </xf>
    <xf numFmtId="0" fontId="2" fillId="4" borderId="6" xfId="0" applyFont="1" applyFill="1" applyBorder="1" applyAlignment="1">
      <alignment horizontal="center" wrapText="1"/>
    </xf>
    <xf numFmtId="0" fontId="2" fillId="4" borderId="8" xfId="0" applyFont="1" applyFill="1" applyBorder="1" applyAlignment="1">
      <alignment horizontal="center" wrapText="1"/>
    </xf>
    <xf numFmtId="0" fontId="2" fillId="4" borderId="9" xfId="0" applyFont="1" applyFill="1" applyBorder="1" applyAlignment="1">
      <alignment horizontal="center" textRotation="45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0" xfId="0" applyNumberFormat="1"/>
    <xf numFmtId="164" fontId="0" fillId="0" borderId="18" xfId="0" applyNumberFormat="1" applyBorder="1"/>
    <xf numFmtId="164" fontId="0" fillId="0" borderId="22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6" borderId="22" xfId="0" applyNumberFormat="1" applyFill="1" applyBorder="1" applyAlignment="1">
      <alignment horizontal="center"/>
    </xf>
    <xf numFmtId="164" fontId="0" fillId="6" borderId="18" xfId="0" applyNumberFormat="1" applyFill="1" applyBorder="1" applyAlignment="1">
      <alignment horizontal="center"/>
    </xf>
    <xf numFmtId="164" fontId="0" fillId="6" borderId="24" xfId="0" applyNumberFormat="1" applyFill="1" applyBorder="1"/>
    <xf numFmtId="164" fontId="0" fillId="6" borderId="26" xfId="0" applyNumberFormat="1" applyFill="1" applyBorder="1" applyAlignment="1">
      <alignment horizontal="center"/>
    </xf>
    <xf numFmtId="164" fontId="0" fillId="6" borderId="27" xfId="0" applyNumberFormat="1" applyFill="1" applyBorder="1" applyAlignment="1">
      <alignment horizontal="center"/>
    </xf>
    <xf numFmtId="0" fontId="2" fillId="4" borderId="4" xfId="0" applyFont="1" applyFill="1" applyBorder="1" applyAlignment="1">
      <alignment horizontal="center" textRotation="45"/>
    </xf>
    <xf numFmtId="164" fontId="2" fillId="0" borderId="13" xfId="0" applyNumberFormat="1" applyFont="1" applyBorder="1" applyAlignment="1">
      <alignment horizontal="center"/>
    </xf>
    <xf numFmtId="164" fontId="1" fillId="0" borderId="22" xfId="1" applyNumberFormat="1" applyFont="1" applyBorder="1" applyAlignment="1">
      <alignment horizontal="center"/>
    </xf>
    <xf numFmtId="164" fontId="1" fillId="0" borderId="24" xfId="1" applyNumberFormat="1" applyFont="1" applyBorder="1" applyAlignment="1">
      <alignment horizontal="center"/>
    </xf>
    <xf numFmtId="10" fontId="0" fillId="0" borderId="0" xfId="0" applyNumberFormat="1"/>
    <xf numFmtId="164" fontId="2" fillId="0" borderId="22" xfId="0" applyNumberFormat="1" applyFont="1" applyBorder="1" applyAlignment="1">
      <alignment horizontal="center"/>
    </xf>
    <xf numFmtId="164" fontId="1" fillId="0" borderId="18" xfId="1" applyNumberFormat="1" applyFont="1" applyBorder="1" applyAlignment="1">
      <alignment horizontal="center"/>
    </xf>
    <xf numFmtId="164" fontId="0" fillId="0" borderId="18" xfId="0" applyNumberFormat="1" applyFont="1" applyFill="1" applyBorder="1" applyAlignment="1">
      <alignment horizontal="center"/>
    </xf>
    <xf numFmtId="164" fontId="0" fillId="0" borderId="24" xfId="0" applyNumberFormat="1" applyFont="1" applyFill="1" applyBorder="1" applyAlignment="1">
      <alignment horizontal="center"/>
    </xf>
    <xf numFmtId="164" fontId="2" fillId="0" borderId="26" xfId="0" applyNumberFormat="1" applyFont="1" applyBorder="1" applyAlignment="1">
      <alignment horizontal="center"/>
    </xf>
    <xf numFmtId="164" fontId="1" fillId="0" borderId="26" xfId="1" applyNumberFormat="1" applyFont="1" applyBorder="1" applyAlignment="1">
      <alignment horizontal="center"/>
    </xf>
    <xf numFmtId="164" fontId="1" fillId="0" borderId="28" xfId="1" applyNumberFormat="1" applyFont="1" applyBorder="1" applyAlignment="1">
      <alignment horizontal="center"/>
    </xf>
    <xf numFmtId="164" fontId="1" fillId="0" borderId="27" xfId="1" applyNumberFormat="1" applyFont="1" applyBorder="1" applyAlignment="1">
      <alignment horizontal="center"/>
    </xf>
    <xf numFmtId="164" fontId="0" fillId="0" borderId="27" xfId="0" applyNumberFormat="1" applyFont="1" applyFill="1" applyBorder="1" applyAlignment="1">
      <alignment horizontal="center"/>
    </xf>
    <xf numFmtId="164" fontId="0" fillId="0" borderId="28" xfId="0" applyNumberFormat="1" applyFont="1" applyFill="1" applyBorder="1" applyAlignment="1">
      <alignment horizontal="center"/>
    </xf>
    <xf numFmtId="49" fontId="0" fillId="0" borderId="0" xfId="0" applyNumberFormat="1"/>
    <xf numFmtId="15" fontId="0" fillId="0" borderId="0" xfId="0" applyNumberFormat="1"/>
    <xf numFmtId="165" fontId="0" fillId="0" borderId="0" xfId="0" applyNumberFormat="1"/>
    <xf numFmtId="0" fontId="0" fillId="4" borderId="18" xfId="0" applyFill="1" applyBorder="1"/>
    <xf numFmtId="49" fontId="0" fillId="4" borderId="18" xfId="0" applyNumberFormat="1" applyFill="1" applyBorder="1"/>
    <xf numFmtId="0" fontId="0" fillId="4" borderId="33" xfId="0" applyFill="1" applyBorder="1"/>
    <xf numFmtId="4" fontId="0" fillId="0" borderId="0" xfId="0" applyNumberFormat="1"/>
    <xf numFmtId="0" fontId="0" fillId="7" borderId="18" xfId="0" applyFill="1" applyBorder="1"/>
    <xf numFmtId="15" fontId="0" fillId="7" borderId="18" xfId="0" applyNumberFormat="1" applyFill="1" applyBorder="1"/>
    <xf numFmtId="49" fontId="0" fillId="7" borderId="18" xfId="0" applyNumberFormat="1" applyFill="1" applyBorder="1"/>
    <xf numFmtId="4" fontId="0" fillId="7" borderId="18" xfId="0" applyNumberFormat="1" applyFill="1" applyBorder="1"/>
    <xf numFmtId="0" fontId="2" fillId="4" borderId="29" xfId="0" applyFont="1" applyFill="1" applyBorder="1" applyAlignment="1">
      <alignment horizontal="center" textRotation="45" wrapText="1"/>
    </xf>
    <xf numFmtId="0" fontId="2" fillId="4" borderId="35" xfId="0" applyFont="1" applyFill="1" applyBorder="1" applyAlignment="1">
      <alignment horizontal="center" textRotation="45" wrapText="1"/>
    </xf>
    <xf numFmtId="164" fontId="0" fillId="9" borderId="22" xfId="0" applyNumberFormat="1" applyFill="1" applyBorder="1" applyAlignment="1">
      <alignment horizontal="center"/>
    </xf>
    <xf numFmtId="164" fontId="0" fillId="9" borderId="18" xfId="0" applyNumberFormat="1" applyFill="1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164" fontId="0" fillId="0" borderId="13" xfId="0" applyNumberFormat="1" applyBorder="1"/>
    <xf numFmtId="164" fontId="0" fillId="0" borderId="22" xfId="0" applyNumberFormat="1" applyBorder="1"/>
    <xf numFmtId="164" fontId="0" fillId="6" borderId="22" xfId="0" applyNumberFormat="1" applyFill="1" applyBorder="1"/>
    <xf numFmtId="164" fontId="0" fillId="6" borderId="26" xfId="0" applyNumberFormat="1" applyFill="1" applyBorder="1"/>
    <xf numFmtId="164" fontId="1" fillId="0" borderId="37" xfId="1" applyNumberFormat="1" applyFont="1" applyBorder="1" applyAlignment="1">
      <alignment horizontal="center"/>
    </xf>
    <xf numFmtId="164" fontId="0" fillId="0" borderId="37" xfId="0" applyNumberFormat="1" applyFont="1" applyFill="1" applyBorder="1" applyAlignment="1">
      <alignment horizontal="center"/>
    </xf>
    <xf numFmtId="164" fontId="0" fillId="0" borderId="37" xfId="0" applyNumberFormat="1" applyBorder="1"/>
    <xf numFmtId="164" fontId="0" fillId="0" borderId="26" xfId="0" applyNumberFormat="1" applyBorder="1"/>
    <xf numFmtId="164" fontId="0" fillId="0" borderId="27" xfId="0" applyNumberFormat="1" applyBorder="1"/>
    <xf numFmtId="10" fontId="0" fillId="0" borderId="28" xfId="0" applyNumberFormat="1" applyBorder="1"/>
    <xf numFmtId="164" fontId="1" fillId="0" borderId="36" xfId="1" applyNumberFormat="1" applyFont="1" applyBorder="1" applyAlignment="1">
      <alignment horizontal="center"/>
    </xf>
    <xf numFmtId="164" fontId="1" fillId="0" borderId="39" xfId="1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/>
    </xf>
    <xf numFmtId="0" fontId="2" fillId="0" borderId="18" xfId="0" applyNumberFormat="1" applyFont="1" applyBorder="1" applyAlignment="1">
      <alignment horizontal="center"/>
    </xf>
    <xf numFmtId="164" fontId="2" fillId="0" borderId="37" xfId="0" applyNumberFormat="1" applyFont="1" applyBorder="1" applyAlignment="1">
      <alignment horizontal="center"/>
    </xf>
    <xf numFmtId="0" fontId="2" fillId="0" borderId="37" xfId="0" applyNumberFormat="1" applyFont="1" applyBorder="1" applyAlignment="1">
      <alignment horizontal="center"/>
    </xf>
    <xf numFmtId="164" fontId="1" fillId="0" borderId="14" xfId="1" applyNumberFormat="1" applyFont="1" applyBorder="1" applyAlignment="1">
      <alignment horizontal="center"/>
    </xf>
    <xf numFmtId="164" fontId="2" fillId="0" borderId="27" xfId="0" applyNumberFormat="1" applyFont="1" applyBorder="1" applyAlignment="1">
      <alignment horizontal="center"/>
    </xf>
    <xf numFmtId="0" fontId="2" fillId="0" borderId="27" xfId="0" applyNumberFormat="1" applyFont="1" applyBorder="1" applyAlignment="1">
      <alignment horizontal="center"/>
    </xf>
    <xf numFmtId="164" fontId="0" fillId="0" borderId="30" xfId="0" applyNumberFormat="1" applyBorder="1"/>
    <xf numFmtId="164" fontId="0" fillId="0" borderId="41" xfId="0" applyNumberFormat="1" applyBorder="1"/>
    <xf numFmtId="164" fontId="0" fillId="0" borderId="42" xfId="0" applyNumberFormat="1" applyBorder="1"/>
    <xf numFmtId="164" fontId="0" fillId="0" borderId="14" xfId="0" applyNumberFormat="1" applyFont="1" applyFill="1" applyBorder="1" applyAlignment="1">
      <alignment horizontal="center"/>
    </xf>
    <xf numFmtId="164" fontId="0" fillId="0" borderId="11" xfId="0" applyNumberFormat="1" applyBorder="1"/>
    <xf numFmtId="164" fontId="0" fillId="0" borderId="38" xfId="0" applyNumberFormat="1" applyBorder="1"/>
    <xf numFmtId="164" fontId="0" fillId="0" borderId="31" xfId="0" applyNumberFormat="1" applyBorder="1"/>
    <xf numFmtId="164" fontId="0" fillId="6" borderId="31" xfId="0" applyNumberFormat="1" applyFill="1" applyBorder="1"/>
    <xf numFmtId="164" fontId="0" fillId="9" borderId="31" xfId="0" applyNumberFormat="1" applyFill="1" applyBorder="1"/>
    <xf numFmtId="164" fontId="0" fillId="6" borderId="32" xfId="0" applyNumberFormat="1" applyFill="1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4" xfId="0" applyBorder="1"/>
    <xf numFmtId="0" fontId="0" fillId="6" borderId="22" xfId="0" applyFill="1" applyBorder="1"/>
    <xf numFmtId="0" fontId="0" fillId="6" borderId="24" xfId="0" applyFill="1" applyBorder="1"/>
    <xf numFmtId="0" fontId="0" fillId="0" borderId="31" xfId="0" applyBorder="1"/>
    <xf numFmtId="0" fontId="0" fillId="0" borderId="32" xfId="0" applyBorder="1"/>
    <xf numFmtId="164" fontId="0" fillId="0" borderId="18" xfId="0" applyNumberFormat="1" applyBorder="1" applyAlignment="1">
      <alignment horizontal="right"/>
    </xf>
    <xf numFmtId="0" fontId="0" fillId="0" borderId="38" xfId="0" applyBorder="1"/>
    <xf numFmtId="0" fontId="0" fillId="0" borderId="15" xfId="0" applyBorder="1"/>
    <xf numFmtId="0" fontId="0" fillId="0" borderId="17" xfId="0" applyBorder="1"/>
    <xf numFmtId="0" fontId="2" fillId="4" borderId="4" xfId="0" applyFont="1" applyFill="1" applyBorder="1" applyAlignment="1">
      <alignment horizontal="center" wrapText="1"/>
    </xf>
    <xf numFmtId="0" fontId="2" fillId="4" borderId="40" xfId="0" applyFont="1" applyFill="1" applyBorder="1" applyAlignment="1">
      <alignment horizontal="center"/>
    </xf>
    <xf numFmtId="0" fontId="2" fillId="4" borderId="43" xfId="0" applyFont="1" applyFill="1" applyBorder="1" applyAlignment="1">
      <alignment horizontal="center" textRotation="45"/>
    </xf>
    <xf numFmtId="0" fontId="2" fillId="4" borderId="44" xfId="0" applyFont="1" applyFill="1" applyBorder="1" applyAlignment="1">
      <alignment horizontal="center" textRotation="45"/>
    </xf>
    <xf numFmtId="164" fontId="2" fillId="6" borderId="18" xfId="0" applyNumberFormat="1" applyFont="1" applyFill="1" applyBorder="1" applyAlignment="1">
      <alignment horizontal="center"/>
    </xf>
    <xf numFmtId="164" fontId="2" fillId="9" borderId="18" xfId="0" applyNumberFormat="1" applyFont="1" applyFill="1" applyBorder="1" applyAlignment="1">
      <alignment horizontal="center"/>
    </xf>
    <xf numFmtId="164" fontId="2" fillId="0" borderId="16" xfId="0" applyNumberFormat="1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46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0" fillId="0" borderId="23" xfId="0" applyBorder="1"/>
    <xf numFmtId="0" fontId="0" fillId="4" borderId="13" xfId="0" applyFill="1" applyBorder="1"/>
    <xf numFmtId="0" fontId="0" fillId="4" borderId="22" xfId="0" applyFill="1" applyBorder="1"/>
    <xf numFmtId="164" fontId="0" fillId="0" borderId="24" xfId="0" applyNumberFormat="1" applyBorder="1" applyAlignment="1">
      <alignment horizontal="center"/>
    </xf>
    <xf numFmtId="0" fontId="0" fillId="5" borderId="22" xfId="0" applyFill="1" applyBorder="1"/>
    <xf numFmtId="164" fontId="0" fillId="6" borderId="24" xfId="0" applyNumberFormat="1" applyFill="1" applyBorder="1" applyAlignment="1">
      <alignment horizontal="center"/>
    </xf>
    <xf numFmtId="0" fontId="0" fillId="8" borderId="22" xfId="0" applyFill="1" applyBorder="1"/>
    <xf numFmtId="164" fontId="0" fillId="9" borderId="24" xfId="0" applyNumberFormat="1" applyFill="1" applyBorder="1" applyAlignment="1">
      <alignment horizontal="center"/>
    </xf>
    <xf numFmtId="0" fontId="0" fillId="5" borderId="26" xfId="0" applyFill="1" applyBorder="1"/>
    <xf numFmtId="164" fontId="2" fillId="6" borderId="27" xfId="0" applyNumberFormat="1" applyFont="1" applyFill="1" applyBorder="1" applyAlignment="1">
      <alignment horizontal="center"/>
    </xf>
    <xf numFmtId="164" fontId="0" fillId="6" borderId="28" xfId="0" applyNumberFormat="1" applyFill="1" applyBorder="1" applyAlignment="1">
      <alignment horizontal="center"/>
    </xf>
    <xf numFmtId="0" fontId="2" fillId="4" borderId="7" xfId="0" applyFont="1" applyFill="1" applyBorder="1" applyAlignment="1">
      <alignment horizontal="center" textRotation="45" wrapText="1"/>
    </xf>
    <xf numFmtId="164" fontId="0" fillId="0" borderId="13" xfId="0" applyNumberFormat="1" applyBorder="1" applyAlignment="1">
      <alignment horizontal="right"/>
    </xf>
    <xf numFmtId="164" fontId="0" fillId="0" borderId="22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0" fontId="5" fillId="0" borderId="0" xfId="0" applyFont="1"/>
    <xf numFmtId="164" fontId="2" fillId="4" borderId="10" xfId="0" applyNumberFormat="1" applyFont="1" applyFill="1" applyBorder="1" applyAlignment="1">
      <alignment horizontal="center" textRotation="45" wrapText="1"/>
    </xf>
    <xf numFmtId="164" fontId="2" fillId="4" borderId="6" xfId="0" applyNumberFormat="1" applyFont="1" applyFill="1" applyBorder="1" applyAlignment="1">
      <alignment horizontal="center" textRotation="45" wrapText="1"/>
    </xf>
    <xf numFmtId="164" fontId="0" fillId="6" borderId="22" xfId="0" applyNumberFormat="1" applyFill="1" applyBorder="1" applyAlignment="1">
      <alignment horizontal="right"/>
    </xf>
    <xf numFmtId="164" fontId="0" fillId="6" borderId="18" xfId="0" applyNumberFormat="1" applyFill="1" applyBorder="1" applyAlignment="1">
      <alignment horizontal="right"/>
    </xf>
    <xf numFmtId="164" fontId="0" fillId="6" borderId="24" xfId="0" applyNumberFormat="1" applyFill="1" applyBorder="1" applyAlignment="1">
      <alignment horizontal="right"/>
    </xf>
    <xf numFmtId="164" fontId="0" fillId="6" borderId="15" xfId="0" applyNumberFormat="1" applyFill="1" applyBorder="1" applyAlignment="1">
      <alignment horizontal="right"/>
    </xf>
    <xf numFmtId="164" fontId="0" fillId="6" borderId="16" xfId="0" applyNumberFormat="1" applyFill="1" applyBorder="1" applyAlignment="1">
      <alignment horizontal="right"/>
    </xf>
    <xf numFmtId="164" fontId="0" fillId="6" borderId="17" xfId="0" applyNumberFormat="1" applyFill="1" applyBorder="1" applyAlignment="1">
      <alignment horizontal="right"/>
    </xf>
    <xf numFmtId="164" fontId="0" fillId="0" borderId="48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164" fontId="0" fillId="0" borderId="16" xfId="0" applyNumberFormat="1" applyBorder="1" applyAlignment="1">
      <alignment horizontal="right"/>
    </xf>
    <xf numFmtId="164" fontId="0" fillId="0" borderId="17" xfId="0" applyNumberFormat="1" applyBorder="1" applyAlignment="1">
      <alignment horizontal="right"/>
    </xf>
    <xf numFmtId="164" fontId="0" fillId="9" borderId="16" xfId="0" applyNumberFormat="1" applyFill="1" applyBorder="1" applyAlignment="1">
      <alignment horizontal="center"/>
    </xf>
    <xf numFmtId="164" fontId="0" fillId="9" borderId="49" xfId="0" applyNumberFormat="1" applyFill="1" applyBorder="1" applyAlignment="1">
      <alignment horizontal="center"/>
    </xf>
    <xf numFmtId="164" fontId="0" fillId="6" borderId="16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right"/>
    </xf>
    <xf numFmtId="164" fontId="0" fillId="9" borderId="15" xfId="0" applyNumberFormat="1" applyFill="1" applyBorder="1" applyAlignment="1">
      <alignment horizontal="center"/>
    </xf>
    <xf numFmtId="164" fontId="0" fillId="9" borderId="17" xfId="0" applyNumberFormat="1" applyFill="1" applyBorder="1" applyAlignment="1">
      <alignment horizontal="center"/>
    </xf>
    <xf numFmtId="164" fontId="0" fillId="9" borderId="48" xfId="0" applyNumberFormat="1" applyFill="1" applyBorder="1" applyAlignment="1">
      <alignment horizontal="center"/>
    </xf>
    <xf numFmtId="164" fontId="0" fillId="9" borderId="50" xfId="0" applyNumberFormat="1" applyFill="1" applyBorder="1" applyAlignment="1">
      <alignment horizontal="center"/>
    </xf>
    <xf numFmtId="164" fontId="0" fillId="6" borderId="15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5" borderId="15" xfId="0" applyFill="1" applyBorder="1"/>
    <xf numFmtId="164" fontId="2" fillId="6" borderId="16" xfId="0" applyNumberFormat="1" applyFont="1" applyFill="1" applyBorder="1" applyAlignment="1">
      <alignment horizontal="center"/>
    </xf>
    <xf numFmtId="164" fontId="0" fillId="6" borderId="38" xfId="0" applyNumberFormat="1" applyFill="1" applyBorder="1"/>
    <xf numFmtId="0" fontId="0" fillId="6" borderId="15" xfId="0" applyFill="1" applyBorder="1"/>
    <xf numFmtId="0" fontId="0" fillId="6" borderId="17" xfId="0" applyFill="1" applyBorder="1"/>
    <xf numFmtId="0" fontId="0" fillId="4" borderId="48" xfId="0" applyFill="1" applyBorder="1"/>
    <xf numFmtId="164" fontId="2" fillId="0" borderId="49" xfId="0" applyNumberFormat="1" applyFont="1" applyBorder="1" applyAlignment="1">
      <alignment horizontal="center"/>
    </xf>
    <xf numFmtId="164" fontId="0" fillId="0" borderId="50" xfId="0" applyNumberFormat="1" applyBorder="1" applyAlignment="1">
      <alignment horizontal="center"/>
    </xf>
    <xf numFmtId="164" fontId="0" fillId="0" borderId="48" xfId="0" applyNumberFormat="1" applyBorder="1" applyAlignment="1">
      <alignment horizontal="center"/>
    </xf>
    <xf numFmtId="164" fontId="0" fillId="0" borderId="49" xfId="0" applyNumberFormat="1" applyBorder="1" applyAlignment="1">
      <alignment horizontal="center"/>
    </xf>
    <xf numFmtId="164" fontId="0" fillId="0" borderId="47" xfId="0" applyNumberFormat="1" applyBorder="1"/>
    <xf numFmtId="0" fontId="0" fillId="0" borderId="48" xfId="0" applyBorder="1"/>
    <xf numFmtId="0" fontId="0" fillId="0" borderId="50" xfId="0" applyBorder="1"/>
    <xf numFmtId="0" fontId="0" fillId="0" borderId="20" xfId="0" applyBorder="1"/>
    <xf numFmtId="0" fontId="0" fillId="4" borderId="15" xfId="0" applyFill="1" applyBorder="1"/>
    <xf numFmtId="164" fontId="0" fillId="0" borderId="17" xfId="0" applyNumberFormat="1" applyBorder="1" applyAlignment="1">
      <alignment horizontal="center"/>
    </xf>
    <xf numFmtId="0" fontId="0" fillId="0" borderId="51" xfId="0" applyBorder="1"/>
    <xf numFmtId="0" fontId="0" fillId="5" borderId="48" xfId="0" applyFill="1" applyBorder="1"/>
    <xf numFmtId="164" fontId="2" fillId="6" borderId="49" xfId="0" applyNumberFormat="1" applyFont="1" applyFill="1" applyBorder="1" applyAlignment="1">
      <alignment horizontal="center"/>
    </xf>
    <xf numFmtId="164" fontId="0" fillId="6" borderId="50" xfId="0" applyNumberFormat="1" applyFill="1" applyBorder="1" applyAlignment="1">
      <alignment horizontal="center"/>
    </xf>
    <xf numFmtId="164" fontId="0" fillId="6" borderId="48" xfId="0" applyNumberFormat="1" applyFill="1" applyBorder="1" applyAlignment="1">
      <alignment horizontal="center"/>
    </xf>
    <xf numFmtId="164" fontId="0" fillId="6" borderId="49" xfId="0" applyNumberFormat="1" applyFill="1" applyBorder="1" applyAlignment="1">
      <alignment horizontal="center"/>
    </xf>
    <xf numFmtId="164" fontId="0" fillId="6" borderId="47" xfId="0" applyNumberFormat="1" applyFill="1" applyBorder="1"/>
    <xf numFmtId="0" fontId="0" fillId="6" borderId="48" xfId="0" applyFill="1" applyBorder="1"/>
    <xf numFmtId="0" fontId="0" fillId="6" borderId="50" xfId="0" applyFill="1" applyBorder="1"/>
    <xf numFmtId="0" fontId="0" fillId="8" borderId="15" xfId="0" applyFill="1" applyBorder="1"/>
    <xf numFmtId="164" fontId="2" fillId="9" borderId="16" xfId="0" applyNumberFormat="1" applyFont="1" applyFill="1" applyBorder="1" applyAlignment="1">
      <alignment horizontal="center"/>
    </xf>
    <xf numFmtId="164" fontId="0" fillId="9" borderId="38" xfId="0" applyNumberFormat="1" applyFill="1" applyBorder="1"/>
    <xf numFmtId="0" fontId="0" fillId="8" borderId="48" xfId="0" applyFill="1" applyBorder="1"/>
    <xf numFmtId="164" fontId="2" fillId="9" borderId="49" xfId="0" applyNumberFormat="1" applyFont="1" applyFill="1" applyBorder="1" applyAlignment="1">
      <alignment horizontal="center"/>
    </xf>
    <xf numFmtId="164" fontId="0" fillId="6" borderId="21" xfId="0" applyNumberFormat="1" applyFill="1" applyBorder="1"/>
    <xf numFmtId="164" fontId="0" fillId="6" borderId="25" xfId="0" applyNumberFormat="1" applyFill="1" applyBorder="1"/>
    <xf numFmtId="164" fontId="0" fillId="0" borderId="12" xfId="0" applyNumberFormat="1" applyBorder="1"/>
    <xf numFmtId="164" fontId="0" fillId="0" borderId="21" xfId="0" applyNumberFormat="1" applyBorder="1"/>
    <xf numFmtId="164" fontId="0" fillId="0" borderId="52" xfId="0" applyNumberFormat="1" applyBorder="1"/>
    <xf numFmtId="164" fontId="0" fillId="6" borderId="19" xfId="0" applyNumberFormat="1" applyFill="1" applyBorder="1"/>
    <xf numFmtId="164" fontId="0" fillId="6" borderId="52" xfId="0" applyNumberFormat="1" applyFill="1" applyBorder="1"/>
    <xf numFmtId="164" fontId="0" fillId="0" borderId="19" xfId="0" applyNumberFormat="1" applyBorder="1"/>
    <xf numFmtId="164" fontId="0" fillId="9" borderId="19" xfId="0" applyNumberFormat="1" applyFill="1" applyBorder="1"/>
    <xf numFmtId="164" fontId="0" fillId="9" borderId="21" xfId="0" applyNumberFormat="1" applyFill="1" applyBorder="1"/>
    <xf numFmtId="164" fontId="0" fillId="6" borderId="15" xfId="0" applyNumberFormat="1" applyFill="1" applyBorder="1"/>
    <xf numFmtId="164" fontId="0" fillId="6" borderId="17" xfId="0" applyNumberFormat="1" applyFill="1" applyBorder="1"/>
    <xf numFmtId="164" fontId="0" fillId="6" borderId="48" xfId="0" applyNumberFormat="1" applyFill="1" applyBorder="1" applyAlignment="1">
      <alignment horizontal="right"/>
    </xf>
    <xf numFmtId="164" fontId="0" fillId="6" borderId="49" xfId="0" applyNumberFormat="1" applyFill="1" applyBorder="1" applyAlignment="1">
      <alignment horizontal="right"/>
    </xf>
    <xf numFmtId="164" fontId="0" fillId="6" borderId="50" xfId="0" applyNumberFormat="1" applyFill="1" applyBorder="1" applyAlignment="1">
      <alignment horizontal="right"/>
    </xf>
    <xf numFmtId="164" fontId="0" fillId="9" borderId="15" xfId="0" applyNumberFormat="1" applyFill="1" applyBorder="1" applyAlignment="1">
      <alignment horizontal="right"/>
    </xf>
    <xf numFmtId="164" fontId="0" fillId="9" borderId="16" xfId="0" applyNumberFormat="1" applyFill="1" applyBorder="1" applyAlignment="1">
      <alignment horizontal="right"/>
    </xf>
    <xf numFmtId="164" fontId="0" fillId="9" borderId="17" xfId="0" applyNumberFormat="1" applyFill="1" applyBorder="1" applyAlignment="1">
      <alignment horizontal="right"/>
    </xf>
    <xf numFmtId="164" fontId="0" fillId="9" borderId="22" xfId="0" applyNumberFormat="1" applyFill="1" applyBorder="1" applyAlignment="1">
      <alignment horizontal="right"/>
    </xf>
    <xf numFmtId="164" fontId="0" fillId="9" borderId="18" xfId="0" applyNumberFormat="1" applyFill="1" applyBorder="1" applyAlignment="1">
      <alignment horizontal="right"/>
    </xf>
    <xf numFmtId="164" fontId="0" fillId="9" borderId="24" xfId="0" applyNumberFormat="1" applyFill="1" applyBorder="1" applyAlignment="1">
      <alignment horizontal="right"/>
    </xf>
    <xf numFmtId="164" fontId="0" fillId="9" borderId="49" xfId="0" applyNumberFormat="1" applyFill="1" applyBorder="1" applyAlignment="1">
      <alignment horizontal="right"/>
    </xf>
    <xf numFmtId="164" fontId="0" fillId="6" borderId="26" xfId="0" applyNumberFormat="1" applyFill="1" applyBorder="1" applyAlignment="1">
      <alignment horizontal="right"/>
    </xf>
    <xf numFmtId="164" fontId="0" fillId="6" borderId="27" xfId="0" applyNumberFormat="1" applyFill="1" applyBorder="1" applyAlignment="1">
      <alignment horizontal="right"/>
    </xf>
    <xf numFmtId="164" fontId="0" fillId="6" borderId="28" xfId="0" applyNumberFormat="1" applyFill="1" applyBorder="1" applyAlignment="1">
      <alignment horizontal="right"/>
    </xf>
    <xf numFmtId="2" fontId="0" fillId="0" borderId="0" xfId="0" applyNumberFormat="1"/>
    <xf numFmtId="1" fontId="0" fillId="0" borderId="0" xfId="0" applyNumberFormat="1"/>
    <xf numFmtId="9" fontId="0" fillId="0" borderId="18" xfId="0" applyNumberFormat="1" applyBorder="1"/>
    <xf numFmtId="0" fontId="0" fillId="4" borderId="53" xfId="0" applyFill="1" applyBorder="1"/>
    <xf numFmtId="0" fontId="0" fillId="0" borderId="54" xfId="0" applyBorder="1"/>
    <xf numFmtId="9" fontId="0" fillId="0" borderId="22" xfId="0" applyNumberFormat="1" applyBorder="1"/>
    <xf numFmtId="9" fontId="0" fillId="0" borderId="24" xfId="0" applyNumberFormat="1" applyBorder="1"/>
    <xf numFmtId="9" fontId="0" fillId="0" borderId="26" xfId="0" applyNumberFormat="1" applyBorder="1"/>
    <xf numFmtId="9" fontId="0" fillId="0" borderId="28" xfId="0" applyNumberFormat="1" applyBorder="1"/>
    <xf numFmtId="0" fontId="0" fillId="0" borderId="29" xfId="0" applyBorder="1"/>
    <xf numFmtId="9" fontId="0" fillId="0" borderId="27" xfId="0" applyNumberFormat="1" applyBorder="1"/>
    <xf numFmtId="2" fontId="0" fillId="0" borderId="54" xfId="0" applyNumberFormat="1" applyBorder="1"/>
    <xf numFmtId="2" fontId="0" fillId="0" borderId="24" xfId="0" applyNumberFormat="1" applyBorder="1"/>
    <xf numFmtId="0" fontId="0" fillId="0" borderId="26" xfId="0" applyBorder="1"/>
    <xf numFmtId="2" fontId="0" fillId="0" borderId="28" xfId="0" applyNumberFormat="1" applyBorder="1"/>
    <xf numFmtId="0" fontId="0" fillId="4" borderId="4" xfId="0" applyFill="1" applyBorder="1"/>
    <xf numFmtId="2" fontId="0" fillId="0" borderId="17" xfId="0" applyNumberFormat="1" applyBorder="1"/>
    <xf numFmtId="0" fontId="0" fillId="4" borderId="44" xfId="0" applyFill="1" applyBorder="1"/>
    <xf numFmtId="2" fontId="0" fillId="4" borderId="55" xfId="0" applyNumberFormat="1" applyFill="1" applyBorder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4" borderId="10" xfId="0" applyFill="1" applyBorder="1"/>
    <xf numFmtId="0" fontId="0" fillId="4" borderId="6" xfId="0" applyFill="1" applyBorder="1"/>
    <xf numFmtId="0" fontId="0" fillId="0" borderId="11" xfId="0" applyBorder="1"/>
    <xf numFmtId="0" fontId="0" fillId="4" borderId="5" xfId="0" applyFill="1" applyBorder="1"/>
    <xf numFmtId="9" fontId="0" fillId="0" borderId="13" xfId="0" applyNumberFormat="1" applyBorder="1"/>
    <xf numFmtId="9" fontId="0" fillId="0" borderId="14" xfId="0" applyNumberFormat="1" applyBorder="1"/>
    <xf numFmtId="9" fontId="0" fillId="0" borderId="37" xfId="0" applyNumberFormat="1" applyBorder="1"/>
    <xf numFmtId="0" fontId="0" fillId="0" borderId="0" xfId="0" applyFill="1" applyBorder="1"/>
    <xf numFmtId="10" fontId="0" fillId="0" borderId="26" xfId="0" applyNumberFormat="1" applyBorder="1"/>
    <xf numFmtId="0" fontId="0" fillId="0" borderId="35" xfId="0" applyBorder="1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49" fontId="2" fillId="10" borderId="18" xfId="0" applyNumberFormat="1" applyFont="1" applyFill="1" applyBorder="1" applyAlignment="1">
      <alignment horizontal="center" textRotation="45" wrapText="1"/>
    </xf>
    <xf numFmtId="14" fontId="2" fillId="10" borderId="18" xfId="0" applyNumberFormat="1" applyFont="1" applyFill="1" applyBorder="1" applyAlignment="1">
      <alignment horizontal="center" textRotation="45" wrapText="1"/>
    </xf>
    <xf numFmtId="4" fontId="2" fillId="10" borderId="18" xfId="0" applyNumberFormat="1" applyFont="1" applyFill="1" applyBorder="1" applyAlignment="1">
      <alignment horizontal="center" textRotation="45" wrapText="1"/>
    </xf>
    <xf numFmtId="2" fontId="2" fillId="10" borderId="18" xfId="0" applyNumberFormat="1" applyFont="1" applyFill="1" applyBorder="1" applyAlignment="1">
      <alignment horizontal="center" textRotation="45" wrapText="1"/>
    </xf>
    <xf numFmtId="4" fontId="0" fillId="0" borderId="0" xfId="0" applyNumberFormat="1" applyAlignment="1">
      <alignment horizontal="right"/>
    </xf>
    <xf numFmtId="0" fontId="6" fillId="0" borderId="0" xfId="0" applyFont="1" applyAlignment="1">
      <alignment horizontal="center"/>
    </xf>
    <xf numFmtId="0" fontId="0" fillId="0" borderId="0" xfId="0" applyBorder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 applyAlignment="1">
      <alignment horizontal="center"/>
    </xf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center"/>
    </xf>
    <xf numFmtId="17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left" indent="15"/>
    </xf>
    <xf numFmtId="0" fontId="23" fillId="0" borderId="0" xfId="0" applyFont="1" applyAlignment="1">
      <alignment horizontal="center"/>
    </xf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6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5" fillId="0" borderId="0" xfId="0" applyNumberFormat="1" applyFont="1"/>
    <xf numFmtId="0" fontId="29" fillId="0" borderId="0" xfId="2" applyAlignment="1" applyProtection="1"/>
    <xf numFmtId="49" fontId="5" fillId="0" borderId="0" xfId="0" applyNumberFormat="1" applyFont="1" applyAlignment="1">
      <alignment horizontal="right"/>
    </xf>
    <xf numFmtId="10" fontId="2" fillId="10" borderId="18" xfId="0" applyNumberFormat="1" applyFont="1" applyFill="1" applyBorder="1" applyAlignment="1">
      <alignment horizontal="center" textRotation="45" wrapText="1"/>
    </xf>
    <xf numFmtId="0" fontId="2" fillId="0" borderId="0" xfId="0" applyFont="1"/>
    <xf numFmtId="0" fontId="38" fillId="0" borderId="0" xfId="0" applyFont="1"/>
    <xf numFmtId="0" fontId="37" fillId="0" borderId="0" xfId="0" applyFont="1"/>
    <xf numFmtId="0" fontId="0" fillId="0" borderId="35" xfId="0" applyBorder="1" applyAlignment="1">
      <alignment horizontal="right"/>
    </xf>
    <xf numFmtId="166" fontId="0" fillId="0" borderId="35" xfId="0" applyNumberFormat="1" applyBorder="1"/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0" fontId="6" fillId="0" borderId="0" xfId="0" applyFont="1"/>
    <xf numFmtId="0" fontId="40" fillId="0" borderId="0" xfId="0" applyFont="1"/>
    <xf numFmtId="0" fontId="40" fillId="0" borderId="0" xfId="0" applyFont="1" applyAlignment="1">
      <alignment horizontal="center"/>
    </xf>
    <xf numFmtId="0" fontId="41" fillId="0" borderId="0" xfId="0" applyFont="1"/>
    <xf numFmtId="0" fontId="41" fillId="0" borderId="0" xfId="0" applyFont="1" applyAlignment="1">
      <alignment horizontal="center"/>
    </xf>
    <xf numFmtId="0" fontId="2" fillId="0" borderId="35" xfId="0" applyFont="1" applyBorder="1"/>
    <xf numFmtId="0" fontId="42" fillId="9" borderId="18" xfId="0" applyFont="1" applyFill="1" applyBorder="1" applyAlignment="1">
      <alignment horizontal="center" textRotation="45"/>
    </xf>
    <xf numFmtId="0" fontId="44" fillId="0" borderId="0" xfId="0" applyFont="1"/>
    <xf numFmtId="0" fontId="0" fillId="4" borderId="56" xfId="0" applyFont="1" applyFill="1" applyBorder="1" applyAlignment="1">
      <alignment horizontal="center"/>
    </xf>
    <xf numFmtId="1" fontId="0" fillId="4" borderId="56" xfId="0" applyNumberFormat="1" applyFont="1" applyFill="1" applyBorder="1" applyAlignment="1">
      <alignment horizontal="center"/>
    </xf>
    <xf numFmtId="0" fontId="0" fillId="4" borderId="56" xfId="0" applyFont="1" applyFill="1" applyBorder="1"/>
    <xf numFmtId="0" fontId="0" fillId="4" borderId="18" xfId="0" applyFont="1" applyFill="1" applyBorder="1"/>
    <xf numFmtId="1" fontId="0" fillId="0" borderId="18" xfId="0" applyNumberFormat="1" applyFont="1" applyBorder="1"/>
    <xf numFmtId="0" fontId="45" fillId="0" borderId="18" xfId="0" applyFont="1" applyBorder="1" applyAlignment="1">
      <alignment vertical="center" wrapText="1"/>
    </xf>
    <xf numFmtId="2" fontId="45" fillId="0" borderId="18" xfId="0" applyNumberFormat="1" applyFont="1" applyBorder="1" applyAlignment="1">
      <alignment horizontal="right" vertical="center" wrapText="1"/>
    </xf>
    <xf numFmtId="2" fontId="0" fillId="0" borderId="18" xfId="0" applyNumberFormat="1" applyFont="1" applyBorder="1" applyAlignment="1">
      <alignment horizontal="right"/>
    </xf>
    <xf numFmtId="1" fontId="45" fillId="0" borderId="18" xfId="0" applyNumberFormat="1" applyFont="1" applyBorder="1" applyAlignment="1">
      <alignment vertical="center" wrapText="1"/>
    </xf>
    <xf numFmtId="2" fontId="45" fillId="0" borderId="18" xfId="0" applyNumberFormat="1" applyFont="1" applyBorder="1" applyAlignment="1">
      <alignment horizontal="right" vertical="center"/>
    </xf>
    <xf numFmtId="2" fontId="0" fillId="0" borderId="18" xfId="0" applyNumberFormat="1" applyFont="1" applyFill="1" applyBorder="1" applyAlignment="1">
      <alignment horizontal="right"/>
    </xf>
    <xf numFmtId="1" fontId="45" fillId="0" borderId="18" xfId="0" applyNumberFormat="1" applyFont="1" applyBorder="1" applyAlignment="1">
      <alignment horizontal="right" vertical="center" wrapText="1"/>
    </xf>
    <xf numFmtId="0" fontId="0" fillId="0" borderId="18" xfId="0" applyFont="1" applyBorder="1"/>
    <xf numFmtId="1" fontId="0" fillId="0" borderId="18" xfId="0" applyNumberFormat="1" applyBorder="1"/>
    <xf numFmtId="0" fontId="0" fillId="0" borderId="18" xfId="0" applyFont="1" applyFill="1" applyBorder="1"/>
    <xf numFmtId="2" fontId="0" fillId="0" borderId="18" xfId="0" applyNumberFormat="1" applyBorder="1" applyAlignment="1">
      <alignment horizontal="right"/>
    </xf>
    <xf numFmtId="3" fontId="0" fillId="0" borderId="18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4" borderId="57" xfId="0" applyFont="1" applyFill="1" applyBorder="1" applyAlignment="1">
      <alignment horizontal="center" textRotation="45" wrapText="1"/>
    </xf>
    <xf numFmtId="0" fontId="0" fillId="6" borderId="31" xfId="0" applyFill="1" applyBorder="1"/>
    <xf numFmtId="0" fontId="47" fillId="0" borderId="0" xfId="0" applyFont="1"/>
    <xf numFmtId="0" fontId="2" fillId="0" borderId="0" xfId="0" applyFont="1" applyAlignment="1">
      <alignment horizontal="right"/>
    </xf>
    <xf numFmtId="0" fontId="5" fillId="0" borderId="53" xfId="0" applyFont="1" applyBorder="1"/>
    <xf numFmtId="0" fontId="28" fillId="0" borderId="29" xfId="0" applyFont="1" applyBorder="1" applyAlignment="1">
      <alignment horizontal="right"/>
    </xf>
    <xf numFmtId="4" fontId="0" fillId="0" borderId="29" xfId="0" applyNumberFormat="1" applyBorder="1"/>
    <xf numFmtId="2" fontId="0" fillId="0" borderId="29" xfId="0" applyNumberFormat="1" applyBorder="1"/>
    <xf numFmtId="2" fontId="2" fillId="0" borderId="29" xfId="0" applyNumberFormat="1" applyFont="1" applyBorder="1" applyAlignment="1">
      <alignment horizontal="right"/>
    </xf>
    <xf numFmtId="0" fontId="5" fillId="0" borderId="58" xfId="0" applyFont="1" applyBorder="1"/>
    <xf numFmtId="4" fontId="0" fillId="0" borderId="0" xfId="0" applyNumberFormat="1" applyBorder="1"/>
    <xf numFmtId="2" fontId="0" fillId="0" borderId="0" xfId="0" applyNumberFormat="1" applyBorder="1"/>
    <xf numFmtId="0" fontId="2" fillId="0" borderId="0" xfId="0" applyFont="1" applyBorder="1" applyAlignment="1">
      <alignment horizontal="right"/>
    </xf>
    <xf numFmtId="0" fontId="0" fillId="0" borderId="43" xfId="0" applyBorder="1"/>
    <xf numFmtId="0" fontId="28" fillId="0" borderId="0" xfId="0" applyFont="1" applyBorder="1" applyAlignment="1">
      <alignment horizontal="right"/>
    </xf>
    <xf numFmtId="4" fontId="49" fillId="0" borderId="0" xfId="0" applyNumberFormat="1" applyFont="1" applyBorder="1"/>
    <xf numFmtId="0" fontId="46" fillId="0" borderId="0" xfId="0" applyFont="1" applyBorder="1" applyAlignment="1">
      <alignment horizontal="right"/>
    </xf>
    <xf numFmtId="0" fontId="46" fillId="0" borderId="0" xfId="0" applyFont="1" applyBorder="1"/>
    <xf numFmtId="0" fontId="0" fillId="0" borderId="55" xfId="0" applyBorder="1"/>
    <xf numFmtId="0" fontId="0" fillId="0" borderId="0" xfId="0" applyBorder="1" applyAlignment="1">
      <alignment horizontal="right"/>
    </xf>
    <xf numFmtId="2" fontId="0" fillId="0" borderId="39" xfId="0" applyNumberFormat="1" applyFill="1" applyBorder="1" applyAlignment="1">
      <alignment horizontal="center" textRotation="45" wrapText="1"/>
    </xf>
    <xf numFmtId="2" fontId="0" fillId="4" borderId="8" xfId="0" applyNumberFormat="1" applyFill="1" applyBorder="1" applyAlignment="1">
      <alignment horizontal="center" textRotation="45" wrapText="1"/>
    </xf>
    <xf numFmtId="2" fontId="0" fillId="4" borderId="9" xfId="0" applyNumberFormat="1" applyFill="1" applyBorder="1" applyAlignment="1">
      <alignment horizontal="center" textRotation="45" wrapText="1"/>
    </xf>
    <xf numFmtId="0" fontId="42" fillId="9" borderId="18" xfId="0" applyFont="1" applyFill="1" applyBorder="1" applyAlignment="1">
      <alignment horizontal="center" textRotation="45" wrapText="1"/>
    </xf>
    <xf numFmtId="1" fontId="42" fillId="9" borderId="18" xfId="0" applyNumberFormat="1" applyFont="1" applyFill="1" applyBorder="1" applyAlignment="1">
      <alignment horizontal="center" textRotation="45" wrapText="1"/>
    </xf>
    <xf numFmtId="0" fontId="43" fillId="9" borderId="18" xfId="0" applyFont="1" applyFill="1" applyBorder="1" applyAlignment="1">
      <alignment horizontal="center" textRotation="45" wrapText="1"/>
    </xf>
    <xf numFmtId="0" fontId="0" fillId="0" borderId="0" xfId="0" applyAlignment="1">
      <alignment horizontal="left"/>
    </xf>
    <xf numFmtId="4" fontId="42" fillId="9" borderId="18" xfId="0" applyNumberFormat="1" applyFont="1" applyFill="1" applyBorder="1" applyAlignment="1">
      <alignment horizontal="center" textRotation="45" wrapText="1"/>
    </xf>
    <xf numFmtId="0" fontId="43" fillId="9" borderId="18" xfId="0" applyFont="1" applyFill="1" applyBorder="1" applyAlignment="1">
      <alignment horizontal="center" textRotation="45"/>
    </xf>
    <xf numFmtId="0" fontId="51" fillId="0" borderId="0" xfId="0" applyFont="1"/>
    <xf numFmtId="17" fontId="0" fillId="0" borderId="0" xfId="0" applyNumberFormat="1"/>
    <xf numFmtId="2" fontId="0" fillId="4" borderId="7" xfId="0" applyNumberFormat="1" applyFill="1" applyBorder="1" applyAlignment="1">
      <alignment textRotation="45" wrapText="1"/>
    </xf>
    <xf numFmtId="0" fontId="0" fillId="0" borderId="0" xfId="0" applyAlignment="1">
      <alignment horizontal="center"/>
    </xf>
    <xf numFmtId="165" fontId="0" fillId="0" borderId="0" xfId="0" quotePrefix="1" applyNumberFormat="1"/>
    <xf numFmtId="0" fontId="46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14" fontId="0" fillId="0" borderId="0" xfId="0" quotePrefix="1" applyNumberFormat="1"/>
    <xf numFmtId="14" fontId="0" fillId="4" borderId="18" xfId="0" applyNumberFormat="1" applyFill="1" applyBorder="1"/>
    <xf numFmtId="14" fontId="0" fillId="7" borderId="18" xfId="0" applyNumberFormat="1" applyFill="1" applyBorder="1"/>
    <xf numFmtId="14" fontId="5" fillId="0" borderId="0" xfId="0" applyNumberFormat="1" applyFont="1"/>
    <xf numFmtId="164" fontId="2" fillId="4" borderId="18" xfId="0" applyNumberFormat="1" applyFont="1" applyFill="1" applyBorder="1" applyAlignment="1">
      <alignment horizontal="center" textRotation="45" wrapText="1"/>
    </xf>
    <xf numFmtId="0" fontId="0" fillId="0" borderId="18" xfId="0" applyBorder="1"/>
    <xf numFmtId="164" fontId="47" fillId="0" borderId="0" xfId="0" applyNumberFormat="1" applyFont="1"/>
    <xf numFmtId="164" fontId="47" fillId="0" borderId="18" xfId="0" applyNumberFormat="1" applyFont="1" applyBorder="1"/>
    <xf numFmtId="164" fontId="37" fillId="0" borderId="18" xfId="0" applyNumberFormat="1" applyFont="1" applyBorder="1"/>
    <xf numFmtId="0" fontId="55" fillId="0" borderId="0" xfId="0" applyFont="1"/>
    <xf numFmtId="167" fontId="0" fillId="0" borderId="0" xfId="0" applyNumberFormat="1"/>
    <xf numFmtId="164" fontId="0" fillId="9" borderId="18" xfId="0" applyNumberFormat="1" applyFill="1" applyBorder="1"/>
    <xf numFmtId="0" fontId="0" fillId="0" borderId="19" xfId="0" applyBorder="1"/>
    <xf numFmtId="0" fontId="0" fillId="0" borderId="21" xfId="0" applyBorder="1"/>
    <xf numFmtId="0" fontId="0" fillId="0" borderId="25" xfId="0" applyBorder="1"/>
    <xf numFmtId="0" fontId="2" fillId="3" borderId="62" xfId="0" applyFont="1" applyFill="1" applyBorder="1" applyAlignment="1">
      <alignment horizontal="center"/>
    </xf>
    <xf numFmtId="0" fontId="2" fillId="3" borderId="19" xfId="0" applyFont="1" applyFill="1" applyBorder="1"/>
    <xf numFmtId="0" fontId="2" fillId="3" borderId="21" xfId="0" applyFont="1" applyFill="1" applyBorder="1"/>
    <xf numFmtId="0" fontId="2" fillId="3" borderId="25" xfId="0" applyFont="1" applyFill="1" applyBorder="1"/>
    <xf numFmtId="164" fontId="1" fillId="0" borderId="59" xfId="1" applyNumberFormat="1" applyFont="1" applyBorder="1" applyAlignment="1">
      <alignment horizontal="center"/>
    </xf>
    <xf numFmtId="164" fontId="0" fillId="0" borderId="63" xfId="0" applyNumberFormat="1" applyBorder="1"/>
    <xf numFmtId="164" fontId="0" fillId="6" borderId="64" xfId="0" applyNumberFormat="1" applyFill="1" applyBorder="1"/>
    <xf numFmtId="164" fontId="0" fillId="6" borderId="41" xfId="0" applyNumberFormat="1" applyFill="1" applyBorder="1"/>
    <xf numFmtId="164" fontId="0" fillId="6" borderId="63" xfId="0" applyNumberFormat="1" applyFill="1" applyBorder="1"/>
    <xf numFmtId="164" fontId="0" fillId="0" borderId="64" xfId="0" applyNumberFormat="1" applyBorder="1"/>
    <xf numFmtId="164" fontId="0" fillId="9" borderId="64" xfId="0" applyNumberFormat="1" applyFill="1" applyBorder="1"/>
    <xf numFmtId="164" fontId="0" fillId="9" borderId="41" xfId="0" applyNumberFormat="1" applyFill="1" applyBorder="1"/>
    <xf numFmtId="164" fontId="0" fillId="9" borderId="36" xfId="0" applyNumberFormat="1" applyFill="1" applyBorder="1"/>
    <xf numFmtId="164" fontId="0" fillId="6" borderId="42" xfId="0" applyNumberFormat="1" applyFill="1" applyBorder="1"/>
    <xf numFmtId="164" fontId="0" fillId="9" borderId="60" xfId="0" applyNumberFormat="1" applyFill="1" applyBorder="1"/>
    <xf numFmtId="164" fontId="0" fillId="9" borderId="49" xfId="0" applyNumberFormat="1" applyFill="1" applyBorder="1"/>
    <xf numFmtId="0" fontId="0" fillId="0" borderId="49" xfId="0" applyBorder="1"/>
    <xf numFmtId="0" fontId="0" fillId="0" borderId="66" xfId="0" applyBorder="1"/>
    <xf numFmtId="0" fontId="0" fillId="0" borderId="67" xfId="0" applyBorder="1"/>
    <xf numFmtId="0" fontId="0" fillId="0" borderId="65" xfId="0" applyBorder="1"/>
    <xf numFmtId="164" fontId="0" fillId="0" borderId="66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0" fontId="2" fillId="3" borderId="34" xfId="0" applyFont="1" applyFill="1" applyBorder="1" applyAlignment="1">
      <alignment horizontal="center" textRotation="45" wrapText="1"/>
    </xf>
    <xf numFmtId="0" fontId="2" fillId="3" borderId="33" xfId="0" applyFont="1" applyFill="1" applyBorder="1" applyAlignment="1">
      <alignment horizontal="center" textRotation="45"/>
    </xf>
    <xf numFmtId="0" fontId="0" fillId="3" borderId="33" xfId="0" applyFont="1" applyFill="1" applyBorder="1" applyAlignment="1">
      <alignment horizontal="center" textRotation="45"/>
    </xf>
    <xf numFmtId="0" fontId="0" fillId="3" borderId="43" xfId="0" applyFill="1" applyBorder="1" applyAlignment="1">
      <alignment horizontal="center" textRotation="45" wrapText="1"/>
    </xf>
    <xf numFmtId="0" fontId="0" fillId="3" borderId="34" xfId="0" applyFill="1" applyBorder="1" applyAlignment="1">
      <alignment horizontal="center" textRotation="45" wrapText="1"/>
    </xf>
    <xf numFmtId="0" fontId="0" fillId="3" borderId="45" xfId="0" applyFont="1" applyFill="1" applyBorder="1" applyAlignment="1">
      <alignment horizontal="center" textRotation="45" wrapText="1"/>
    </xf>
    <xf numFmtId="164" fontId="0" fillId="3" borderId="61" xfId="0" applyNumberFormat="1" applyFill="1" applyBorder="1" applyAlignment="1">
      <alignment horizontal="center" textRotation="45" wrapText="1"/>
    </xf>
    <xf numFmtId="164" fontId="0" fillId="3" borderId="33" xfId="0" applyNumberFormat="1" applyFont="1" applyFill="1" applyBorder="1" applyAlignment="1">
      <alignment horizontal="center" textRotation="45" wrapText="1"/>
    </xf>
    <xf numFmtId="164" fontId="0" fillId="3" borderId="33" xfId="0" applyNumberFormat="1" applyFont="1" applyFill="1" applyBorder="1" applyAlignment="1">
      <alignment horizontal="center" textRotation="45"/>
    </xf>
    <xf numFmtId="0" fontId="0" fillId="3" borderId="45" xfId="0" applyFill="1" applyBorder="1" applyAlignment="1">
      <alignment horizontal="center" textRotation="45"/>
    </xf>
    <xf numFmtId="1" fontId="2" fillId="10" borderId="18" xfId="0" applyNumberFormat="1" applyFont="1" applyFill="1" applyBorder="1" applyAlignment="1">
      <alignment horizontal="center" textRotation="45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43" fillId="9" borderId="18" xfId="0" applyFont="1" applyFill="1" applyBorder="1" applyAlignment="1">
      <alignment horizontal="right" textRotation="45"/>
    </xf>
    <xf numFmtId="167" fontId="0" fillId="0" borderId="0" xfId="0" applyNumberFormat="1" applyAlignment="1">
      <alignment horizontal="right"/>
    </xf>
    <xf numFmtId="17" fontId="0" fillId="0" borderId="0" xfId="0" applyNumberFormat="1" applyAlignment="1">
      <alignment horizontal="left"/>
    </xf>
    <xf numFmtId="0" fontId="43" fillId="9" borderId="18" xfId="0" applyNumberFormat="1" applyFont="1" applyFill="1" applyBorder="1" applyAlignment="1">
      <alignment horizontal="center" textRotation="45"/>
    </xf>
    <xf numFmtId="14" fontId="0" fillId="0" borderId="0" xfId="0" applyNumberFormat="1"/>
    <xf numFmtId="14" fontId="0" fillId="0" borderId="0" xfId="0" applyNumberFormat="1"/>
    <xf numFmtId="49" fontId="2" fillId="10" borderId="18" xfId="0" applyNumberFormat="1" applyFont="1" applyFill="1" applyBorder="1" applyAlignment="1">
      <alignment horizontal="right" textRotation="45" wrapText="1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2" fillId="10" borderId="18" xfId="0" applyNumberFormat="1" applyFont="1" applyFill="1" applyBorder="1" applyAlignment="1">
      <alignment horizontal="right" textRotation="45" wrapText="1"/>
    </xf>
    <xf numFmtId="0" fontId="0" fillId="0" borderId="69" xfId="0" applyBorder="1" applyAlignment="1">
      <alignment horizontal="center"/>
    </xf>
    <xf numFmtId="2" fontId="46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4" borderId="70" xfId="0" applyFont="1" applyFill="1" applyBorder="1" applyAlignment="1">
      <alignment horizontal="center" textRotation="45" wrapText="1"/>
    </xf>
    <xf numFmtId="164" fontId="0" fillId="6" borderId="71" xfId="0" applyNumberFormat="1" applyFill="1" applyBorder="1"/>
    <xf numFmtId="0" fontId="0" fillId="0" borderId="72" xfId="0" applyBorder="1"/>
    <xf numFmtId="10" fontId="0" fillId="0" borderId="73" xfId="0" applyNumberFormat="1" applyBorder="1"/>
    <xf numFmtId="10" fontId="0" fillId="0" borderId="23" xfId="0" applyNumberFormat="1" applyBorder="1"/>
    <xf numFmtId="10" fontId="0" fillId="0" borderId="74" xfId="0" applyNumberFormat="1" applyBorder="1"/>
    <xf numFmtId="0" fontId="2" fillId="4" borderId="4" xfId="0" applyFont="1" applyFill="1" applyBorder="1" applyAlignment="1">
      <alignment horizontal="center" textRotation="45" wrapText="1"/>
    </xf>
    <xf numFmtId="0" fontId="2" fillId="4" borderId="6" xfId="0" applyFont="1" applyFill="1" applyBorder="1" applyAlignment="1">
      <alignment horizontal="center" textRotation="45" wrapText="1"/>
    </xf>
    <xf numFmtId="3" fontId="0" fillId="0" borderId="14" xfId="0" applyNumberFormat="1" applyBorder="1"/>
    <xf numFmtId="164" fontId="0" fillId="0" borderId="22" xfId="0" applyNumberFormat="1" applyFill="1" applyBorder="1"/>
    <xf numFmtId="3" fontId="0" fillId="0" borderId="24" xfId="0" applyNumberFormat="1" applyBorder="1"/>
    <xf numFmtId="164" fontId="0" fillId="0" borderId="26" xfId="0" applyNumberFormat="1" applyFill="1" applyBorder="1"/>
    <xf numFmtId="3" fontId="0" fillId="0" borderId="28" xfId="0" applyNumberFormat="1" applyBorder="1"/>
    <xf numFmtId="0" fontId="0" fillId="0" borderId="0" xfId="0" applyAlignment="1">
      <alignment horizontal="center"/>
    </xf>
    <xf numFmtId="0" fontId="0" fillId="11" borderId="18" xfId="0" applyFill="1" applyBorder="1" applyAlignment="1">
      <alignment textRotation="45" wrapText="1"/>
    </xf>
    <xf numFmtId="14" fontId="0" fillId="0" borderId="0" xfId="0" applyNumberFormat="1"/>
    <xf numFmtId="14" fontId="56" fillId="0" borderId="0" xfId="0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ont="1"/>
    <xf numFmtId="0" fontId="47" fillId="9" borderId="18" xfId="0" applyFont="1" applyFill="1" applyBorder="1" applyAlignment="1">
      <alignment horizontal="center" textRotation="45" wrapText="1"/>
    </xf>
    <xf numFmtId="0" fontId="59" fillId="0" borderId="0" xfId="0" applyFon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45" fillId="0" borderId="18" xfId="0" applyNumberFormat="1" applyFont="1" applyBorder="1" applyAlignment="1">
      <alignment horizontal="right" vertical="center"/>
    </xf>
    <xf numFmtId="14" fontId="0" fillId="7" borderId="18" xfId="0" applyNumberFormat="1" applyFill="1" applyBorder="1" applyAlignment="1">
      <alignment horizontal="right"/>
    </xf>
    <xf numFmtId="14" fontId="0" fillId="0" borderId="0" xfId="0" applyNumberFormat="1"/>
    <xf numFmtId="0" fontId="0" fillId="0" borderId="0" xfId="0" applyAlignment="1">
      <alignment horizontal="center"/>
    </xf>
    <xf numFmtId="0" fontId="47" fillId="0" borderId="0" xfId="0" applyNumberFormat="1" applyFont="1" applyBorder="1"/>
    <xf numFmtId="0" fontId="47" fillId="7" borderId="18" xfId="0" applyNumberFormat="1" applyFont="1" applyFill="1" applyBorder="1"/>
    <xf numFmtId="0" fontId="60" fillId="0" borderId="0" xfId="2" applyNumberFormat="1" applyFont="1" applyBorder="1" applyAlignment="1" applyProtection="1"/>
    <xf numFmtId="14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 applyFill="1"/>
    <xf numFmtId="14" fontId="0" fillId="13" borderId="0" xfId="0" applyNumberFormat="1" applyFill="1"/>
    <xf numFmtId="0" fontId="0" fillId="0" borderId="0" xfId="0" applyAlignment="1">
      <alignment horizontal="center"/>
    </xf>
    <xf numFmtId="0" fontId="0" fillId="5" borderId="18" xfId="0" applyFont="1" applyFill="1" applyBorder="1"/>
    <xf numFmtId="15" fontId="47" fillId="0" borderId="18" xfId="0" applyNumberFormat="1" applyFont="1" applyBorder="1" applyAlignment="1">
      <alignment vertical="center" wrapText="1"/>
    </xf>
    <xf numFmtId="2" fontId="45" fillId="0" borderId="36" xfId="0" applyNumberFormat="1" applyFont="1" applyBorder="1" applyAlignment="1">
      <alignment horizontal="right" vertical="center"/>
    </xf>
    <xf numFmtId="2" fontId="61" fillId="0" borderId="0" xfId="0" applyNumberFormat="1" applyFont="1" applyAlignment="1">
      <alignment horizontal="center" vertical="center" wrapText="1"/>
    </xf>
    <xf numFmtId="0" fontId="61" fillId="0" borderId="0" xfId="0" applyFont="1" applyFill="1" applyBorder="1" applyAlignment="1">
      <alignment horizontal="center" vertical="center" wrapText="1"/>
    </xf>
    <xf numFmtId="2" fontId="45" fillId="0" borderId="36" xfId="0" applyNumberFormat="1" applyFont="1" applyBorder="1" applyAlignment="1">
      <alignment horizontal="right" vertical="center" wrapText="1"/>
    </xf>
    <xf numFmtId="3" fontId="0" fillId="0" borderId="0" xfId="0" applyNumberFormat="1" applyAlignment="1">
      <alignment horizontal="right"/>
    </xf>
    <xf numFmtId="0" fontId="45" fillId="0" borderId="18" xfId="0" applyFont="1" applyBorder="1" applyAlignment="1">
      <alignment horizontal="right" vertical="center" wrapText="1"/>
    </xf>
    <xf numFmtId="15" fontId="47" fillId="12" borderId="18" xfId="0" applyNumberFormat="1" applyFont="1" applyFill="1" applyBorder="1" applyAlignment="1">
      <alignment vertical="center" wrapText="1"/>
    </xf>
    <xf numFmtId="2" fontId="62" fillId="12" borderId="18" xfId="0" applyNumberFormat="1" applyFont="1" applyFill="1" applyBorder="1" applyAlignment="1">
      <alignment horizontal="right" vertical="center" wrapText="1"/>
    </xf>
    <xf numFmtId="2" fontId="0" fillId="0" borderId="36" xfId="0" applyNumberFormat="1" applyFont="1" applyBorder="1" applyAlignment="1">
      <alignment horizontal="right"/>
    </xf>
    <xf numFmtId="2" fontId="0" fillId="0" borderId="36" xfId="0" applyNumberFormat="1" applyBorder="1" applyAlignment="1">
      <alignment horizontal="right"/>
    </xf>
    <xf numFmtId="0" fontId="0" fillId="4" borderId="75" xfId="0" applyFont="1" applyFill="1" applyBorder="1"/>
    <xf numFmtId="1" fontId="61" fillId="0" borderId="0" xfId="0" applyNumberFormat="1" applyFont="1" applyAlignment="1">
      <alignment vertical="center" wrapText="1"/>
    </xf>
    <xf numFmtId="0" fontId="61" fillId="0" borderId="0" xfId="0" applyFont="1" applyAlignment="1">
      <alignment vertical="center" wrapText="1"/>
    </xf>
    <xf numFmtId="0" fontId="0" fillId="5" borderId="18" xfId="0" applyFill="1" applyBorder="1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/>
    <xf numFmtId="0" fontId="50" fillId="0" borderId="0" xfId="0" applyFont="1" applyBorder="1" applyAlignment="1"/>
    <xf numFmtId="0" fontId="48" fillId="0" borderId="0" xfId="0" applyFont="1" applyBorder="1" applyAlignment="1"/>
  </cellXfs>
  <cellStyles count="3">
    <cellStyle name="Comma" xfId="1" builtinId="3"/>
    <cellStyle name="Hyperlink" xfId="2" builtinId="8"/>
    <cellStyle name="Normal" xfId="0" builtinId="0"/>
  </cellStyles>
  <dxfs count="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457199</xdr:colOff>
      <xdr:row>19</xdr:row>
      <xdr:rowOff>85725</xdr:rowOff>
    </xdr:from>
    <xdr:to>
      <xdr:col>7</xdr:col>
      <xdr:colOff>310790</xdr:colOff>
      <xdr:row>29</xdr:row>
      <xdr:rowOff>76200</xdr:rowOff>
    </xdr:to>
    <xdr:pic>
      <xdr:nvPicPr>
        <xdr:cNvPr id="3" name="Picture 2" descr="Intabanet.logo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7199" y="3743325"/>
          <a:ext cx="4768491" cy="1895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34943</xdr:colOff>
      <xdr:row>3</xdr:row>
      <xdr:rowOff>66676</xdr:rowOff>
    </xdr:from>
    <xdr:to>
      <xdr:col>17</xdr:col>
      <xdr:colOff>365108</xdr:colOff>
      <xdr:row>33</xdr:row>
      <xdr:rowOff>166628</xdr:rowOff>
    </xdr:to>
    <xdr:grpSp>
      <xdr:nvGrpSpPr>
        <xdr:cNvPr id="8193" name="Group 1"/>
        <xdr:cNvGrpSpPr>
          <a:grpSpLocks/>
        </xdr:cNvGrpSpPr>
      </xdr:nvGrpSpPr>
      <xdr:grpSpPr bwMode="auto">
        <a:xfrm>
          <a:off x="1678159" y="609601"/>
          <a:ext cx="10344934" cy="6762741"/>
          <a:chOff x="345" y="235"/>
          <a:chExt cx="15148" cy="11762"/>
        </a:xfrm>
      </xdr:grpSpPr>
      <xdr:grpSp>
        <xdr:nvGrpSpPr>
          <xdr:cNvPr id="8387" name="Group 195"/>
          <xdr:cNvGrpSpPr>
            <a:grpSpLocks/>
          </xdr:cNvGrpSpPr>
        </xdr:nvGrpSpPr>
        <xdr:grpSpPr bwMode="auto">
          <a:xfrm>
            <a:off x="14712" y="9855"/>
            <a:ext cx="752" cy="1228"/>
            <a:chOff x="14712" y="9855"/>
            <a:chExt cx="752" cy="1228"/>
          </a:xfrm>
        </xdr:grpSpPr>
        <xdr:sp macro="" textlink="">
          <xdr:nvSpPr>
            <xdr:cNvPr id="8389" name="Freeform 197"/>
            <xdr:cNvSpPr>
              <a:spLocks/>
            </xdr:cNvSpPr>
          </xdr:nvSpPr>
          <xdr:spPr bwMode="auto">
            <a:xfrm>
              <a:off x="14712" y="9855"/>
              <a:ext cx="752" cy="1228"/>
            </a:xfrm>
            <a:custGeom>
              <a:avLst/>
              <a:gdLst/>
              <a:ahLst/>
              <a:cxnLst>
                <a:cxn ang="0">
                  <a:pos x="0" y="150"/>
                </a:cxn>
                <a:cxn ang="0">
                  <a:pos x="62" y="285"/>
                </a:cxn>
                <a:cxn ang="0">
                  <a:pos x="69" y="345"/>
                </a:cxn>
                <a:cxn ang="0">
                  <a:pos x="94" y="430"/>
                </a:cxn>
                <a:cxn ang="0">
                  <a:pos x="159" y="490"/>
                </a:cxn>
                <a:cxn ang="0">
                  <a:pos x="224" y="505"/>
                </a:cxn>
                <a:cxn ang="0">
                  <a:pos x="219" y="500"/>
                </a:cxn>
                <a:cxn ang="0">
                  <a:pos x="122" y="452"/>
                </a:cxn>
                <a:cxn ang="0">
                  <a:pos x="79" y="360"/>
                </a:cxn>
                <a:cxn ang="0">
                  <a:pos x="127" y="355"/>
                </a:cxn>
                <a:cxn ang="0">
                  <a:pos x="289" y="472"/>
                </a:cxn>
                <a:cxn ang="0">
                  <a:pos x="422" y="555"/>
                </a:cxn>
                <a:cxn ang="0">
                  <a:pos x="542" y="662"/>
                </a:cxn>
                <a:cxn ang="0">
                  <a:pos x="567" y="710"/>
                </a:cxn>
                <a:cxn ang="0">
                  <a:pos x="569" y="710"/>
                </a:cxn>
                <a:cxn ang="0">
                  <a:pos x="594" y="727"/>
                </a:cxn>
                <a:cxn ang="0">
                  <a:pos x="687" y="887"/>
                </a:cxn>
                <a:cxn ang="0">
                  <a:pos x="739" y="1097"/>
                </a:cxn>
                <a:cxn ang="0">
                  <a:pos x="744" y="1087"/>
                </a:cxn>
                <a:cxn ang="0">
                  <a:pos x="682" y="855"/>
                </a:cxn>
                <a:cxn ang="0">
                  <a:pos x="579" y="687"/>
                </a:cxn>
                <a:cxn ang="0">
                  <a:pos x="584" y="662"/>
                </a:cxn>
                <a:cxn ang="0">
                  <a:pos x="519" y="612"/>
                </a:cxn>
                <a:cxn ang="0">
                  <a:pos x="379" y="500"/>
                </a:cxn>
                <a:cxn ang="0">
                  <a:pos x="239" y="400"/>
                </a:cxn>
                <a:cxn ang="0">
                  <a:pos x="94" y="280"/>
                </a:cxn>
                <a:cxn ang="0">
                  <a:pos x="154" y="190"/>
                </a:cxn>
                <a:cxn ang="0">
                  <a:pos x="267" y="120"/>
                </a:cxn>
                <a:cxn ang="0">
                  <a:pos x="144" y="182"/>
                </a:cxn>
                <a:cxn ang="0">
                  <a:pos x="89" y="260"/>
                </a:cxn>
                <a:cxn ang="0">
                  <a:pos x="47" y="227"/>
                </a:cxn>
                <a:cxn ang="0">
                  <a:pos x="9" y="135"/>
                </a:cxn>
                <a:cxn ang="0">
                  <a:pos x="24" y="55"/>
                </a:cxn>
                <a:cxn ang="0">
                  <a:pos x="74" y="5"/>
                </a:cxn>
                <a:cxn ang="0">
                  <a:pos x="154" y="22"/>
                </a:cxn>
                <a:cxn ang="0">
                  <a:pos x="169" y="32"/>
                </a:cxn>
                <a:cxn ang="0">
                  <a:pos x="159" y="22"/>
                </a:cxn>
                <a:cxn ang="0">
                  <a:pos x="74" y="0"/>
                </a:cxn>
                <a:cxn ang="0">
                  <a:pos x="19" y="50"/>
                </a:cxn>
              </a:cxnLst>
              <a:rect l="0" t="0" r="r" b="b"/>
              <a:pathLst>
                <a:path w="752" h="1228">
                  <a:moveTo>
                    <a:pt x="4" y="82"/>
                  </a:moveTo>
                  <a:lnTo>
                    <a:pt x="0" y="150"/>
                  </a:lnTo>
                  <a:lnTo>
                    <a:pt x="19" y="215"/>
                  </a:lnTo>
                  <a:lnTo>
                    <a:pt x="62" y="285"/>
                  </a:lnTo>
                  <a:lnTo>
                    <a:pt x="74" y="302"/>
                  </a:lnTo>
                  <a:lnTo>
                    <a:pt x="69" y="345"/>
                  </a:lnTo>
                  <a:lnTo>
                    <a:pt x="74" y="387"/>
                  </a:lnTo>
                  <a:lnTo>
                    <a:pt x="94" y="430"/>
                  </a:lnTo>
                  <a:lnTo>
                    <a:pt x="122" y="462"/>
                  </a:lnTo>
                  <a:lnTo>
                    <a:pt x="159" y="490"/>
                  </a:lnTo>
                  <a:lnTo>
                    <a:pt x="214" y="505"/>
                  </a:lnTo>
                  <a:lnTo>
                    <a:pt x="224" y="505"/>
                  </a:lnTo>
                  <a:lnTo>
                    <a:pt x="224" y="500"/>
                  </a:lnTo>
                  <a:lnTo>
                    <a:pt x="219" y="500"/>
                  </a:lnTo>
                  <a:lnTo>
                    <a:pt x="164" y="485"/>
                  </a:lnTo>
                  <a:lnTo>
                    <a:pt x="122" y="452"/>
                  </a:lnTo>
                  <a:lnTo>
                    <a:pt x="89" y="410"/>
                  </a:lnTo>
                  <a:lnTo>
                    <a:pt x="79" y="360"/>
                  </a:lnTo>
                  <a:lnTo>
                    <a:pt x="84" y="312"/>
                  </a:lnTo>
                  <a:lnTo>
                    <a:pt x="127" y="355"/>
                  </a:lnTo>
                  <a:lnTo>
                    <a:pt x="224" y="430"/>
                  </a:lnTo>
                  <a:lnTo>
                    <a:pt x="289" y="472"/>
                  </a:lnTo>
                  <a:lnTo>
                    <a:pt x="354" y="512"/>
                  </a:lnTo>
                  <a:lnTo>
                    <a:pt x="422" y="555"/>
                  </a:lnTo>
                  <a:lnTo>
                    <a:pt x="482" y="607"/>
                  </a:lnTo>
                  <a:lnTo>
                    <a:pt x="542" y="662"/>
                  </a:lnTo>
                  <a:lnTo>
                    <a:pt x="569" y="695"/>
                  </a:lnTo>
                  <a:lnTo>
                    <a:pt x="567" y="710"/>
                  </a:lnTo>
                  <a:lnTo>
                    <a:pt x="552" y="742"/>
                  </a:lnTo>
                  <a:lnTo>
                    <a:pt x="569" y="710"/>
                  </a:lnTo>
                  <a:lnTo>
                    <a:pt x="574" y="700"/>
                  </a:lnTo>
                  <a:lnTo>
                    <a:pt x="594" y="727"/>
                  </a:lnTo>
                  <a:lnTo>
                    <a:pt x="644" y="802"/>
                  </a:lnTo>
                  <a:lnTo>
                    <a:pt x="687" y="887"/>
                  </a:lnTo>
                  <a:lnTo>
                    <a:pt x="719" y="985"/>
                  </a:lnTo>
                  <a:lnTo>
                    <a:pt x="739" y="1097"/>
                  </a:lnTo>
                  <a:lnTo>
                    <a:pt x="751" y="1228"/>
                  </a:lnTo>
                  <a:lnTo>
                    <a:pt x="744" y="1087"/>
                  </a:lnTo>
                  <a:lnTo>
                    <a:pt x="714" y="962"/>
                  </a:lnTo>
                  <a:lnTo>
                    <a:pt x="682" y="855"/>
                  </a:lnTo>
                  <a:lnTo>
                    <a:pt x="637" y="765"/>
                  </a:lnTo>
                  <a:lnTo>
                    <a:pt x="579" y="687"/>
                  </a:lnTo>
                  <a:lnTo>
                    <a:pt x="589" y="662"/>
                  </a:lnTo>
                  <a:lnTo>
                    <a:pt x="584" y="662"/>
                  </a:lnTo>
                  <a:lnTo>
                    <a:pt x="574" y="682"/>
                  </a:lnTo>
                  <a:lnTo>
                    <a:pt x="519" y="612"/>
                  </a:lnTo>
                  <a:lnTo>
                    <a:pt x="449" y="550"/>
                  </a:lnTo>
                  <a:lnTo>
                    <a:pt x="379" y="500"/>
                  </a:lnTo>
                  <a:lnTo>
                    <a:pt x="309" y="447"/>
                  </a:lnTo>
                  <a:lnTo>
                    <a:pt x="239" y="400"/>
                  </a:lnTo>
                  <a:lnTo>
                    <a:pt x="154" y="335"/>
                  </a:lnTo>
                  <a:lnTo>
                    <a:pt x="94" y="280"/>
                  </a:lnTo>
                  <a:lnTo>
                    <a:pt x="112" y="237"/>
                  </a:lnTo>
                  <a:lnTo>
                    <a:pt x="154" y="190"/>
                  </a:lnTo>
                  <a:lnTo>
                    <a:pt x="207" y="157"/>
                  </a:lnTo>
                  <a:lnTo>
                    <a:pt x="267" y="120"/>
                  </a:lnTo>
                  <a:lnTo>
                    <a:pt x="202" y="145"/>
                  </a:lnTo>
                  <a:lnTo>
                    <a:pt x="144" y="182"/>
                  </a:lnTo>
                  <a:lnTo>
                    <a:pt x="107" y="227"/>
                  </a:lnTo>
                  <a:lnTo>
                    <a:pt x="89" y="260"/>
                  </a:lnTo>
                  <a:lnTo>
                    <a:pt x="84" y="275"/>
                  </a:lnTo>
                  <a:lnTo>
                    <a:pt x="47" y="227"/>
                  </a:lnTo>
                  <a:lnTo>
                    <a:pt x="19" y="182"/>
                  </a:lnTo>
                  <a:lnTo>
                    <a:pt x="9" y="135"/>
                  </a:lnTo>
                  <a:lnTo>
                    <a:pt x="9" y="87"/>
                  </a:lnTo>
                  <a:lnTo>
                    <a:pt x="24" y="55"/>
                  </a:lnTo>
                  <a:lnTo>
                    <a:pt x="42" y="27"/>
                  </a:lnTo>
                  <a:lnTo>
                    <a:pt x="74" y="5"/>
                  </a:lnTo>
                  <a:lnTo>
                    <a:pt x="112" y="5"/>
                  </a:lnTo>
                  <a:lnTo>
                    <a:pt x="154" y="22"/>
                  </a:lnTo>
                  <a:lnTo>
                    <a:pt x="164" y="32"/>
                  </a:lnTo>
                  <a:lnTo>
                    <a:pt x="169" y="32"/>
                  </a:lnTo>
                  <a:lnTo>
                    <a:pt x="164" y="27"/>
                  </a:lnTo>
                  <a:lnTo>
                    <a:pt x="159" y="22"/>
                  </a:lnTo>
                  <a:lnTo>
                    <a:pt x="117" y="0"/>
                  </a:lnTo>
                  <a:lnTo>
                    <a:pt x="74" y="0"/>
                  </a:lnTo>
                  <a:lnTo>
                    <a:pt x="42" y="17"/>
                  </a:lnTo>
                  <a:lnTo>
                    <a:pt x="19" y="50"/>
                  </a:lnTo>
                  <a:lnTo>
                    <a:pt x="4" y="8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88" name="Freeform 196"/>
            <xdr:cNvSpPr>
              <a:spLocks/>
            </xdr:cNvSpPr>
          </xdr:nvSpPr>
          <xdr:spPr bwMode="auto">
            <a:xfrm>
              <a:off x="14712" y="9855"/>
              <a:ext cx="752" cy="1228"/>
            </a:xfrm>
            <a:custGeom>
              <a:avLst/>
              <a:gdLst/>
              <a:ahLst/>
              <a:cxnLst>
                <a:cxn ang="0">
                  <a:pos x="627" y="335"/>
                </a:cxn>
                <a:cxn ang="0">
                  <a:pos x="602" y="270"/>
                </a:cxn>
                <a:cxn ang="0">
                  <a:pos x="562" y="215"/>
                </a:cxn>
                <a:cxn ang="0">
                  <a:pos x="504" y="167"/>
                </a:cxn>
                <a:cxn ang="0">
                  <a:pos x="422" y="125"/>
                </a:cxn>
                <a:cxn ang="0">
                  <a:pos x="342" y="112"/>
                </a:cxn>
                <a:cxn ang="0">
                  <a:pos x="267" y="120"/>
                </a:cxn>
                <a:cxn ang="0">
                  <a:pos x="207" y="157"/>
                </a:cxn>
                <a:cxn ang="0">
                  <a:pos x="267" y="145"/>
                </a:cxn>
                <a:cxn ang="0">
                  <a:pos x="332" y="145"/>
                </a:cxn>
                <a:cxn ang="0">
                  <a:pos x="402" y="157"/>
                </a:cxn>
                <a:cxn ang="0">
                  <a:pos x="472" y="195"/>
                </a:cxn>
                <a:cxn ang="0">
                  <a:pos x="537" y="247"/>
                </a:cxn>
                <a:cxn ang="0">
                  <a:pos x="584" y="307"/>
                </a:cxn>
                <a:cxn ang="0">
                  <a:pos x="612" y="382"/>
                </a:cxn>
                <a:cxn ang="0">
                  <a:pos x="622" y="467"/>
                </a:cxn>
                <a:cxn ang="0">
                  <a:pos x="612" y="555"/>
                </a:cxn>
                <a:cxn ang="0">
                  <a:pos x="599" y="612"/>
                </a:cxn>
                <a:cxn ang="0">
                  <a:pos x="584" y="662"/>
                </a:cxn>
                <a:cxn ang="0">
                  <a:pos x="589" y="662"/>
                </a:cxn>
                <a:cxn ang="0">
                  <a:pos x="607" y="602"/>
                </a:cxn>
                <a:cxn ang="0">
                  <a:pos x="627" y="545"/>
                </a:cxn>
                <a:cxn ang="0">
                  <a:pos x="639" y="475"/>
                </a:cxn>
                <a:cxn ang="0">
                  <a:pos x="639" y="405"/>
                </a:cxn>
                <a:cxn ang="0">
                  <a:pos x="627" y="335"/>
                </a:cxn>
              </a:cxnLst>
              <a:rect l="0" t="0" r="r" b="b"/>
              <a:pathLst>
                <a:path w="752" h="1228">
                  <a:moveTo>
                    <a:pt x="627" y="335"/>
                  </a:moveTo>
                  <a:lnTo>
                    <a:pt x="602" y="270"/>
                  </a:lnTo>
                  <a:lnTo>
                    <a:pt x="562" y="215"/>
                  </a:lnTo>
                  <a:lnTo>
                    <a:pt x="504" y="167"/>
                  </a:lnTo>
                  <a:lnTo>
                    <a:pt x="422" y="125"/>
                  </a:lnTo>
                  <a:lnTo>
                    <a:pt x="342" y="112"/>
                  </a:lnTo>
                  <a:lnTo>
                    <a:pt x="267" y="120"/>
                  </a:lnTo>
                  <a:lnTo>
                    <a:pt x="207" y="157"/>
                  </a:lnTo>
                  <a:lnTo>
                    <a:pt x="267" y="145"/>
                  </a:lnTo>
                  <a:lnTo>
                    <a:pt x="332" y="145"/>
                  </a:lnTo>
                  <a:lnTo>
                    <a:pt x="402" y="157"/>
                  </a:lnTo>
                  <a:lnTo>
                    <a:pt x="472" y="195"/>
                  </a:lnTo>
                  <a:lnTo>
                    <a:pt x="537" y="247"/>
                  </a:lnTo>
                  <a:lnTo>
                    <a:pt x="584" y="307"/>
                  </a:lnTo>
                  <a:lnTo>
                    <a:pt x="612" y="382"/>
                  </a:lnTo>
                  <a:lnTo>
                    <a:pt x="622" y="467"/>
                  </a:lnTo>
                  <a:lnTo>
                    <a:pt x="612" y="555"/>
                  </a:lnTo>
                  <a:lnTo>
                    <a:pt x="599" y="612"/>
                  </a:lnTo>
                  <a:lnTo>
                    <a:pt x="584" y="662"/>
                  </a:lnTo>
                  <a:lnTo>
                    <a:pt x="589" y="662"/>
                  </a:lnTo>
                  <a:lnTo>
                    <a:pt x="607" y="602"/>
                  </a:lnTo>
                  <a:lnTo>
                    <a:pt x="627" y="545"/>
                  </a:lnTo>
                  <a:lnTo>
                    <a:pt x="639" y="475"/>
                  </a:lnTo>
                  <a:lnTo>
                    <a:pt x="639" y="405"/>
                  </a:lnTo>
                  <a:lnTo>
                    <a:pt x="627" y="33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384" name="Group 192"/>
          <xdr:cNvGrpSpPr>
            <a:grpSpLocks/>
          </xdr:cNvGrpSpPr>
        </xdr:nvGrpSpPr>
        <xdr:grpSpPr bwMode="auto">
          <a:xfrm>
            <a:off x="14425" y="10859"/>
            <a:ext cx="1068" cy="1045"/>
            <a:chOff x="14425" y="10859"/>
            <a:chExt cx="1068" cy="1045"/>
          </a:xfrm>
        </xdr:grpSpPr>
        <xdr:sp macro="" textlink="">
          <xdr:nvSpPr>
            <xdr:cNvPr id="8386" name="Freeform 194"/>
            <xdr:cNvSpPr>
              <a:spLocks/>
            </xdr:cNvSpPr>
          </xdr:nvSpPr>
          <xdr:spPr bwMode="auto">
            <a:xfrm>
              <a:off x="14425" y="10859"/>
              <a:ext cx="1068" cy="1045"/>
            </a:xfrm>
            <a:custGeom>
              <a:avLst/>
              <a:gdLst/>
              <a:ahLst/>
              <a:cxnLst>
                <a:cxn ang="0">
                  <a:pos x="430" y="312"/>
                </a:cxn>
                <a:cxn ang="0">
                  <a:pos x="385" y="259"/>
                </a:cxn>
                <a:cxn ang="0">
                  <a:pos x="430" y="329"/>
                </a:cxn>
                <a:cxn ang="0">
                  <a:pos x="430" y="372"/>
                </a:cxn>
                <a:cxn ang="0">
                  <a:pos x="390" y="329"/>
                </a:cxn>
                <a:cxn ang="0">
                  <a:pos x="375" y="247"/>
                </a:cxn>
                <a:cxn ang="0">
                  <a:pos x="407" y="157"/>
                </a:cxn>
                <a:cxn ang="0">
                  <a:pos x="525" y="44"/>
                </a:cxn>
                <a:cxn ang="0">
                  <a:pos x="682" y="12"/>
                </a:cxn>
                <a:cxn ang="0">
                  <a:pos x="837" y="59"/>
                </a:cxn>
                <a:cxn ang="0">
                  <a:pos x="962" y="172"/>
                </a:cxn>
                <a:cxn ang="0">
                  <a:pos x="1025" y="317"/>
                </a:cxn>
                <a:cxn ang="0">
                  <a:pos x="1025" y="499"/>
                </a:cxn>
                <a:cxn ang="0">
                  <a:pos x="972" y="672"/>
                </a:cxn>
                <a:cxn ang="0">
                  <a:pos x="852" y="817"/>
                </a:cxn>
                <a:cxn ang="0">
                  <a:pos x="687" y="909"/>
                </a:cxn>
                <a:cxn ang="0">
                  <a:pos x="425" y="972"/>
                </a:cxn>
                <a:cxn ang="0">
                  <a:pos x="102" y="984"/>
                </a:cxn>
                <a:cxn ang="0">
                  <a:pos x="42" y="989"/>
                </a:cxn>
                <a:cxn ang="0">
                  <a:pos x="10" y="999"/>
                </a:cxn>
                <a:cxn ang="0">
                  <a:pos x="0" y="1012"/>
                </a:cxn>
                <a:cxn ang="0">
                  <a:pos x="10" y="1027"/>
                </a:cxn>
                <a:cxn ang="0">
                  <a:pos x="47" y="1037"/>
                </a:cxn>
                <a:cxn ang="0">
                  <a:pos x="100" y="1044"/>
                </a:cxn>
                <a:cxn ang="0">
                  <a:pos x="262" y="1042"/>
                </a:cxn>
                <a:cxn ang="0">
                  <a:pos x="505" y="1012"/>
                </a:cxn>
                <a:cxn ang="0">
                  <a:pos x="720" y="952"/>
                </a:cxn>
                <a:cxn ang="0">
                  <a:pos x="892" y="839"/>
                </a:cxn>
                <a:cxn ang="0">
                  <a:pos x="1025" y="657"/>
                </a:cxn>
                <a:cxn ang="0">
                  <a:pos x="1068" y="437"/>
                </a:cxn>
                <a:cxn ang="0">
                  <a:pos x="1025" y="237"/>
                </a:cxn>
                <a:cxn ang="0">
                  <a:pos x="912" y="92"/>
                </a:cxn>
                <a:cxn ang="0">
                  <a:pos x="757" y="12"/>
                </a:cxn>
                <a:cxn ang="0">
                  <a:pos x="595" y="7"/>
                </a:cxn>
                <a:cxn ang="0">
                  <a:pos x="440" y="92"/>
                </a:cxn>
                <a:cxn ang="0">
                  <a:pos x="365" y="222"/>
                </a:cxn>
                <a:cxn ang="0">
                  <a:pos x="342" y="227"/>
                </a:cxn>
                <a:cxn ang="0">
                  <a:pos x="342" y="237"/>
                </a:cxn>
                <a:cxn ang="0">
                  <a:pos x="360" y="284"/>
                </a:cxn>
                <a:cxn ang="0">
                  <a:pos x="407" y="387"/>
                </a:cxn>
                <a:cxn ang="0">
                  <a:pos x="445" y="392"/>
                </a:cxn>
                <a:cxn ang="0">
                  <a:pos x="445" y="344"/>
                </a:cxn>
              </a:cxnLst>
              <a:rect l="0" t="0" r="r" b="b"/>
              <a:pathLst>
                <a:path w="1068" h="1045">
                  <a:moveTo>
                    <a:pt x="445" y="344"/>
                  </a:moveTo>
                  <a:lnTo>
                    <a:pt x="430" y="312"/>
                  </a:lnTo>
                  <a:lnTo>
                    <a:pt x="412" y="274"/>
                  </a:lnTo>
                  <a:lnTo>
                    <a:pt x="385" y="259"/>
                  </a:lnTo>
                  <a:lnTo>
                    <a:pt x="412" y="292"/>
                  </a:lnTo>
                  <a:lnTo>
                    <a:pt x="430" y="329"/>
                  </a:lnTo>
                  <a:lnTo>
                    <a:pt x="435" y="354"/>
                  </a:lnTo>
                  <a:lnTo>
                    <a:pt x="430" y="372"/>
                  </a:lnTo>
                  <a:lnTo>
                    <a:pt x="417" y="367"/>
                  </a:lnTo>
                  <a:lnTo>
                    <a:pt x="390" y="329"/>
                  </a:lnTo>
                  <a:lnTo>
                    <a:pt x="375" y="279"/>
                  </a:lnTo>
                  <a:lnTo>
                    <a:pt x="375" y="247"/>
                  </a:lnTo>
                  <a:lnTo>
                    <a:pt x="380" y="219"/>
                  </a:lnTo>
                  <a:lnTo>
                    <a:pt x="407" y="157"/>
                  </a:lnTo>
                  <a:lnTo>
                    <a:pt x="455" y="97"/>
                  </a:lnTo>
                  <a:lnTo>
                    <a:pt x="525" y="44"/>
                  </a:lnTo>
                  <a:lnTo>
                    <a:pt x="600" y="17"/>
                  </a:lnTo>
                  <a:lnTo>
                    <a:pt x="682" y="12"/>
                  </a:lnTo>
                  <a:lnTo>
                    <a:pt x="762" y="27"/>
                  </a:lnTo>
                  <a:lnTo>
                    <a:pt x="837" y="59"/>
                  </a:lnTo>
                  <a:lnTo>
                    <a:pt x="907" y="107"/>
                  </a:lnTo>
                  <a:lnTo>
                    <a:pt x="962" y="172"/>
                  </a:lnTo>
                  <a:lnTo>
                    <a:pt x="1000" y="237"/>
                  </a:lnTo>
                  <a:lnTo>
                    <a:pt x="1025" y="317"/>
                  </a:lnTo>
                  <a:lnTo>
                    <a:pt x="1030" y="404"/>
                  </a:lnTo>
                  <a:lnTo>
                    <a:pt x="1025" y="499"/>
                  </a:lnTo>
                  <a:lnTo>
                    <a:pt x="1005" y="587"/>
                  </a:lnTo>
                  <a:lnTo>
                    <a:pt x="972" y="672"/>
                  </a:lnTo>
                  <a:lnTo>
                    <a:pt x="922" y="752"/>
                  </a:lnTo>
                  <a:lnTo>
                    <a:pt x="852" y="817"/>
                  </a:lnTo>
                  <a:lnTo>
                    <a:pt x="777" y="867"/>
                  </a:lnTo>
                  <a:lnTo>
                    <a:pt x="687" y="909"/>
                  </a:lnTo>
                  <a:lnTo>
                    <a:pt x="590" y="942"/>
                  </a:lnTo>
                  <a:lnTo>
                    <a:pt x="425" y="972"/>
                  </a:lnTo>
                  <a:lnTo>
                    <a:pt x="257" y="984"/>
                  </a:lnTo>
                  <a:lnTo>
                    <a:pt x="102" y="984"/>
                  </a:lnTo>
                  <a:lnTo>
                    <a:pt x="70" y="989"/>
                  </a:lnTo>
                  <a:lnTo>
                    <a:pt x="42" y="989"/>
                  </a:lnTo>
                  <a:lnTo>
                    <a:pt x="25" y="994"/>
                  </a:lnTo>
                  <a:lnTo>
                    <a:pt x="10" y="999"/>
                  </a:lnTo>
                  <a:lnTo>
                    <a:pt x="0" y="1009"/>
                  </a:lnTo>
                  <a:lnTo>
                    <a:pt x="0" y="1012"/>
                  </a:lnTo>
                  <a:lnTo>
                    <a:pt x="5" y="1022"/>
                  </a:lnTo>
                  <a:lnTo>
                    <a:pt x="10" y="1027"/>
                  </a:lnTo>
                  <a:lnTo>
                    <a:pt x="30" y="1032"/>
                  </a:lnTo>
                  <a:lnTo>
                    <a:pt x="47" y="1037"/>
                  </a:lnTo>
                  <a:lnTo>
                    <a:pt x="70" y="1042"/>
                  </a:lnTo>
                  <a:lnTo>
                    <a:pt x="100" y="1044"/>
                  </a:lnTo>
                  <a:lnTo>
                    <a:pt x="132" y="1044"/>
                  </a:lnTo>
                  <a:lnTo>
                    <a:pt x="262" y="1042"/>
                  </a:lnTo>
                  <a:lnTo>
                    <a:pt x="385" y="1032"/>
                  </a:lnTo>
                  <a:lnTo>
                    <a:pt x="505" y="1012"/>
                  </a:lnTo>
                  <a:lnTo>
                    <a:pt x="617" y="989"/>
                  </a:lnTo>
                  <a:lnTo>
                    <a:pt x="720" y="952"/>
                  </a:lnTo>
                  <a:lnTo>
                    <a:pt x="815" y="902"/>
                  </a:lnTo>
                  <a:lnTo>
                    <a:pt x="892" y="839"/>
                  </a:lnTo>
                  <a:lnTo>
                    <a:pt x="962" y="764"/>
                  </a:lnTo>
                  <a:lnTo>
                    <a:pt x="1025" y="657"/>
                  </a:lnTo>
                  <a:lnTo>
                    <a:pt x="1058" y="549"/>
                  </a:lnTo>
                  <a:lnTo>
                    <a:pt x="1068" y="437"/>
                  </a:lnTo>
                  <a:lnTo>
                    <a:pt x="1058" y="334"/>
                  </a:lnTo>
                  <a:lnTo>
                    <a:pt x="1025" y="237"/>
                  </a:lnTo>
                  <a:lnTo>
                    <a:pt x="972" y="157"/>
                  </a:lnTo>
                  <a:lnTo>
                    <a:pt x="912" y="92"/>
                  </a:lnTo>
                  <a:lnTo>
                    <a:pt x="837" y="44"/>
                  </a:lnTo>
                  <a:lnTo>
                    <a:pt x="757" y="12"/>
                  </a:lnTo>
                  <a:lnTo>
                    <a:pt x="677" y="0"/>
                  </a:lnTo>
                  <a:lnTo>
                    <a:pt x="595" y="7"/>
                  </a:lnTo>
                  <a:lnTo>
                    <a:pt x="515" y="37"/>
                  </a:lnTo>
                  <a:lnTo>
                    <a:pt x="440" y="92"/>
                  </a:lnTo>
                  <a:lnTo>
                    <a:pt x="392" y="152"/>
                  </a:lnTo>
                  <a:lnTo>
                    <a:pt x="365" y="222"/>
                  </a:lnTo>
                  <a:lnTo>
                    <a:pt x="365" y="242"/>
                  </a:lnTo>
                  <a:lnTo>
                    <a:pt x="342" y="227"/>
                  </a:lnTo>
                  <a:lnTo>
                    <a:pt x="290" y="222"/>
                  </a:lnTo>
                  <a:lnTo>
                    <a:pt x="342" y="237"/>
                  </a:lnTo>
                  <a:lnTo>
                    <a:pt x="365" y="247"/>
                  </a:lnTo>
                  <a:lnTo>
                    <a:pt x="360" y="284"/>
                  </a:lnTo>
                  <a:lnTo>
                    <a:pt x="375" y="344"/>
                  </a:lnTo>
                  <a:lnTo>
                    <a:pt x="407" y="387"/>
                  </a:lnTo>
                  <a:lnTo>
                    <a:pt x="430" y="397"/>
                  </a:lnTo>
                  <a:lnTo>
                    <a:pt x="445" y="392"/>
                  </a:lnTo>
                  <a:lnTo>
                    <a:pt x="450" y="372"/>
                  </a:lnTo>
                  <a:lnTo>
                    <a:pt x="445" y="34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85" name="Freeform 193"/>
            <xdr:cNvSpPr>
              <a:spLocks/>
            </xdr:cNvSpPr>
          </xdr:nvSpPr>
          <xdr:spPr bwMode="auto">
            <a:xfrm>
              <a:off x="14425" y="10859"/>
              <a:ext cx="1068" cy="1045"/>
            </a:xfrm>
            <a:custGeom>
              <a:avLst/>
              <a:gdLst/>
              <a:ahLst/>
              <a:cxnLst>
                <a:cxn ang="0">
                  <a:pos x="385" y="259"/>
                </a:cxn>
                <a:cxn ang="0">
                  <a:pos x="412" y="274"/>
                </a:cxn>
                <a:cxn ang="0">
                  <a:pos x="380" y="247"/>
                </a:cxn>
                <a:cxn ang="0">
                  <a:pos x="375" y="247"/>
                </a:cxn>
                <a:cxn ang="0">
                  <a:pos x="375" y="257"/>
                </a:cxn>
                <a:cxn ang="0">
                  <a:pos x="385" y="259"/>
                </a:cxn>
              </a:cxnLst>
              <a:rect l="0" t="0" r="r" b="b"/>
              <a:pathLst>
                <a:path w="1068" h="1045">
                  <a:moveTo>
                    <a:pt x="385" y="259"/>
                  </a:moveTo>
                  <a:lnTo>
                    <a:pt x="412" y="274"/>
                  </a:lnTo>
                  <a:lnTo>
                    <a:pt x="380" y="247"/>
                  </a:lnTo>
                  <a:lnTo>
                    <a:pt x="375" y="247"/>
                  </a:lnTo>
                  <a:lnTo>
                    <a:pt x="375" y="257"/>
                  </a:lnTo>
                  <a:lnTo>
                    <a:pt x="385" y="259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83" name="Freeform 191"/>
          <xdr:cNvSpPr>
            <a:spLocks/>
          </xdr:cNvSpPr>
        </xdr:nvSpPr>
        <xdr:spPr bwMode="auto">
          <a:xfrm>
            <a:off x="14496" y="10723"/>
            <a:ext cx="973" cy="875"/>
          </a:xfrm>
          <a:custGeom>
            <a:avLst/>
            <a:gdLst/>
            <a:ahLst/>
            <a:cxnLst>
              <a:cxn ang="0">
                <a:pos x="122" y="252"/>
              </a:cxn>
              <a:cxn ang="0">
                <a:pos x="267" y="112"/>
              </a:cxn>
              <a:cxn ang="0">
                <a:pos x="445" y="52"/>
              </a:cxn>
              <a:cxn ang="0">
                <a:pos x="632" y="67"/>
              </a:cxn>
              <a:cxn ang="0">
                <a:pos x="795" y="150"/>
              </a:cxn>
              <a:cxn ang="0">
                <a:pos x="925" y="287"/>
              </a:cxn>
              <a:cxn ang="0">
                <a:pos x="960" y="327"/>
              </a:cxn>
              <a:cxn ang="0">
                <a:pos x="907" y="230"/>
              </a:cxn>
              <a:cxn ang="0">
                <a:pos x="817" y="127"/>
              </a:cxn>
              <a:cxn ang="0">
                <a:pos x="687" y="42"/>
              </a:cxn>
              <a:cxn ang="0">
                <a:pos x="515" y="0"/>
              </a:cxn>
              <a:cxn ang="0">
                <a:pos x="322" y="25"/>
              </a:cxn>
              <a:cxn ang="0">
                <a:pos x="155" y="122"/>
              </a:cxn>
              <a:cxn ang="0">
                <a:pos x="32" y="287"/>
              </a:cxn>
              <a:cxn ang="0">
                <a:pos x="0" y="487"/>
              </a:cxn>
              <a:cxn ang="0">
                <a:pos x="62" y="670"/>
              </a:cxn>
              <a:cxn ang="0">
                <a:pos x="175" y="795"/>
              </a:cxn>
              <a:cxn ang="0">
                <a:pos x="320" y="865"/>
              </a:cxn>
              <a:cxn ang="0">
                <a:pos x="467" y="875"/>
              </a:cxn>
              <a:cxn ang="0">
                <a:pos x="567" y="842"/>
              </a:cxn>
              <a:cxn ang="0">
                <a:pos x="627" y="767"/>
              </a:cxn>
              <a:cxn ang="0">
                <a:pos x="617" y="682"/>
              </a:cxn>
              <a:cxn ang="0">
                <a:pos x="570" y="637"/>
              </a:cxn>
              <a:cxn ang="0">
                <a:pos x="510" y="645"/>
              </a:cxn>
              <a:cxn ang="0">
                <a:pos x="477" y="697"/>
              </a:cxn>
              <a:cxn ang="0">
                <a:pos x="492" y="745"/>
              </a:cxn>
              <a:cxn ang="0">
                <a:pos x="525" y="752"/>
              </a:cxn>
              <a:cxn ang="0">
                <a:pos x="537" y="745"/>
              </a:cxn>
              <a:cxn ang="0">
                <a:pos x="532" y="717"/>
              </a:cxn>
              <a:cxn ang="0">
                <a:pos x="505" y="712"/>
              </a:cxn>
              <a:cxn ang="0">
                <a:pos x="520" y="670"/>
              </a:cxn>
              <a:cxn ang="0">
                <a:pos x="567" y="660"/>
              </a:cxn>
              <a:cxn ang="0">
                <a:pos x="607" y="687"/>
              </a:cxn>
              <a:cxn ang="0">
                <a:pos x="612" y="777"/>
              </a:cxn>
              <a:cxn ang="0">
                <a:pos x="532" y="847"/>
              </a:cxn>
              <a:cxn ang="0">
                <a:pos x="375" y="860"/>
              </a:cxn>
              <a:cxn ang="0">
                <a:pos x="215" y="795"/>
              </a:cxn>
              <a:cxn ang="0">
                <a:pos x="107" y="670"/>
              </a:cxn>
              <a:cxn ang="0">
                <a:pos x="57" y="510"/>
              </a:cxn>
              <a:cxn ang="0">
                <a:pos x="80" y="337"/>
              </a:cxn>
            </a:cxnLst>
            <a:rect l="0" t="0" r="r" b="b"/>
            <a:pathLst>
              <a:path w="973" h="875">
                <a:moveTo>
                  <a:pt x="80" y="337"/>
                </a:moveTo>
                <a:lnTo>
                  <a:pt x="122" y="252"/>
                </a:lnTo>
                <a:lnTo>
                  <a:pt x="187" y="180"/>
                </a:lnTo>
                <a:lnTo>
                  <a:pt x="267" y="112"/>
                </a:lnTo>
                <a:lnTo>
                  <a:pt x="355" y="75"/>
                </a:lnTo>
                <a:lnTo>
                  <a:pt x="445" y="52"/>
                </a:lnTo>
                <a:lnTo>
                  <a:pt x="537" y="52"/>
                </a:lnTo>
                <a:lnTo>
                  <a:pt x="632" y="67"/>
                </a:lnTo>
                <a:lnTo>
                  <a:pt x="715" y="100"/>
                </a:lnTo>
                <a:lnTo>
                  <a:pt x="795" y="150"/>
                </a:lnTo>
                <a:lnTo>
                  <a:pt x="870" y="212"/>
                </a:lnTo>
                <a:lnTo>
                  <a:pt x="925" y="287"/>
                </a:lnTo>
                <a:lnTo>
                  <a:pt x="973" y="370"/>
                </a:lnTo>
                <a:lnTo>
                  <a:pt x="960" y="327"/>
                </a:lnTo>
                <a:lnTo>
                  <a:pt x="940" y="282"/>
                </a:lnTo>
                <a:lnTo>
                  <a:pt x="907" y="230"/>
                </a:lnTo>
                <a:lnTo>
                  <a:pt x="865" y="180"/>
                </a:lnTo>
                <a:lnTo>
                  <a:pt x="817" y="127"/>
                </a:lnTo>
                <a:lnTo>
                  <a:pt x="757" y="80"/>
                </a:lnTo>
                <a:lnTo>
                  <a:pt x="687" y="42"/>
                </a:lnTo>
                <a:lnTo>
                  <a:pt x="607" y="15"/>
                </a:lnTo>
                <a:lnTo>
                  <a:pt x="515" y="0"/>
                </a:lnTo>
                <a:lnTo>
                  <a:pt x="417" y="0"/>
                </a:lnTo>
                <a:lnTo>
                  <a:pt x="322" y="25"/>
                </a:lnTo>
                <a:lnTo>
                  <a:pt x="235" y="62"/>
                </a:lnTo>
                <a:lnTo>
                  <a:pt x="155" y="122"/>
                </a:lnTo>
                <a:lnTo>
                  <a:pt x="85" y="197"/>
                </a:lnTo>
                <a:lnTo>
                  <a:pt x="32" y="287"/>
                </a:lnTo>
                <a:lnTo>
                  <a:pt x="5" y="380"/>
                </a:lnTo>
                <a:lnTo>
                  <a:pt x="0" y="487"/>
                </a:lnTo>
                <a:lnTo>
                  <a:pt x="25" y="585"/>
                </a:lnTo>
                <a:lnTo>
                  <a:pt x="62" y="670"/>
                </a:lnTo>
                <a:lnTo>
                  <a:pt x="112" y="740"/>
                </a:lnTo>
                <a:lnTo>
                  <a:pt x="175" y="795"/>
                </a:lnTo>
                <a:lnTo>
                  <a:pt x="245" y="837"/>
                </a:lnTo>
                <a:lnTo>
                  <a:pt x="320" y="865"/>
                </a:lnTo>
                <a:lnTo>
                  <a:pt x="392" y="875"/>
                </a:lnTo>
                <a:lnTo>
                  <a:pt x="467" y="875"/>
                </a:lnTo>
                <a:lnTo>
                  <a:pt x="520" y="860"/>
                </a:lnTo>
                <a:lnTo>
                  <a:pt x="567" y="842"/>
                </a:lnTo>
                <a:lnTo>
                  <a:pt x="605" y="810"/>
                </a:lnTo>
                <a:lnTo>
                  <a:pt x="627" y="767"/>
                </a:lnTo>
                <a:lnTo>
                  <a:pt x="627" y="717"/>
                </a:lnTo>
                <a:lnTo>
                  <a:pt x="617" y="682"/>
                </a:lnTo>
                <a:lnTo>
                  <a:pt x="600" y="655"/>
                </a:lnTo>
                <a:lnTo>
                  <a:pt x="570" y="637"/>
                </a:lnTo>
                <a:lnTo>
                  <a:pt x="532" y="637"/>
                </a:lnTo>
                <a:lnTo>
                  <a:pt x="510" y="645"/>
                </a:lnTo>
                <a:lnTo>
                  <a:pt x="487" y="670"/>
                </a:lnTo>
                <a:lnTo>
                  <a:pt x="477" y="697"/>
                </a:lnTo>
                <a:lnTo>
                  <a:pt x="487" y="735"/>
                </a:lnTo>
                <a:lnTo>
                  <a:pt x="492" y="745"/>
                </a:lnTo>
                <a:lnTo>
                  <a:pt x="500" y="752"/>
                </a:lnTo>
                <a:lnTo>
                  <a:pt x="525" y="752"/>
                </a:lnTo>
                <a:lnTo>
                  <a:pt x="530" y="750"/>
                </a:lnTo>
                <a:lnTo>
                  <a:pt x="537" y="745"/>
                </a:lnTo>
                <a:lnTo>
                  <a:pt x="537" y="725"/>
                </a:lnTo>
                <a:lnTo>
                  <a:pt x="532" y="717"/>
                </a:lnTo>
                <a:lnTo>
                  <a:pt x="525" y="712"/>
                </a:lnTo>
                <a:lnTo>
                  <a:pt x="505" y="712"/>
                </a:lnTo>
                <a:lnTo>
                  <a:pt x="505" y="687"/>
                </a:lnTo>
                <a:lnTo>
                  <a:pt x="520" y="670"/>
                </a:lnTo>
                <a:lnTo>
                  <a:pt x="537" y="660"/>
                </a:lnTo>
                <a:lnTo>
                  <a:pt x="567" y="660"/>
                </a:lnTo>
                <a:lnTo>
                  <a:pt x="590" y="670"/>
                </a:lnTo>
                <a:lnTo>
                  <a:pt x="607" y="687"/>
                </a:lnTo>
                <a:lnTo>
                  <a:pt x="617" y="720"/>
                </a:lnTo>
                <a:lnTo>
                  <a:pt x="612" y="777"/>
                </a:lnTo>
                <a:lnTo>
                  <a:pt x="585" y="820"/>
                </a:lnTo>
                <a:lnTo>
                  <a:pt x="532" y="847"/>
                </a:lnTo>
                <a:lnTo>
                  <a:pt x="467" y="865"/>
                </a:lnTo>
                <a:lnTo>
                  <a:pt x="375" y="860"/>
                </a:lnTo>
                <a:lnTo>
                  <a:pt x="290" y="837"/>
                </a:lnTo>
                <a:lnTo>
                  <a:pt x="215" y="795"/>
                </a:lnTo>
                <a:lnTo>
                  <a:pt x="155" y="740"/>
                </a:lnTo>
                <a:lnTo>
                  <a:pt x="107" y="670"/>
                </a:lnTo>
                <a:lnTo>
                  <a:pt x="75" y="595"/>
                </a:lnTo>
                <a:lnTo>
                  <a:pt x="57" y="510"/>
                </a:lnTo>
                <a:lnTo>
                  <a:pt x="62" y="422"/>
                </a:lnTo>
                <a:lnTo>
                  <a:pt x="80" y="337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8382" name="Freeform 190"/>
          <xdr:cNvSpPr>
            <a:spLocks/>
          </xdr:cNvSpPr>
        </xdr:nvSpPr>
        <xdr:spPr bwMode="auto">
          <a:xfrm>
            <a:off x="13819" y="10963"/>
            <a:ext cx="1360" cy="720"/>
          </a:xfrm>
          <a:custGeom>
            <a:avLst/>
            <a:gdLst/>
            <a:ahLst/>
            <a:cxnLst>
              <a:cxn ang="0">
                <a:pos x="0" y="190"/>
              </a:cxn>
              <a:cxn ang="0">
                <a:pos x="20" y="285"/>
              </a:cxn>
              <a:cxn ang="0">
                <a:pos x="95" y="350"/>
              </a:cxn>
              <a:cxn ang="0">
                <a:pos x="202" y="355"/>
              </a:cxn>
              <a:cxn ang="0">
                <a:pos x="272" y="290"/>
              </a:cxn>
              <a:cxn ang="0">
                <a:pos x="272" y="195"/>
              </a:cxn>
              <a:cxn ang="0">
                <a:pos x="215" y="140"/>
              </a:cxn>
              <a:cxn ang="0">
                <a:pos x="150" y="150"/>
              </a:cxn>
              <a:cxn ang="0">
                <a:pos x="112" y="200"/>
              </a:cxn>
              <a:cxn ang="0">
                <a:pos x="127" y="247"/>
              </a:cxn>
              <a:cxn ang="0">
                <a:pos x="145" y="262"/>
              </a:cxn>
              <a:cxn ang="0">
                <a:pos x="182" y="257"/>
              </a:cxn>
              <a:cxn ang="0">
                <a:pos x="192" y="232"/>
              </a:cxn>
              <a:cxn ang="0">
                <a:pos x="182" y="220"/>
              </a:cxn>
              <a:cxn ang="0">
                <a:pos x="170" y="225"/>
              </a:cxn>
              <a:cxn ang="0">
                <a:pos x="155" y="232"/>
              </a:cxn>
              <a:cxn ang="0">
                <a:pos x="140" y="237"/>
              </a:cxn>
              <a:cxn ang="0">
                <a:pos x="132" y="227"/>
              </a:cxn>
              <a:cxn ang="0">
                <a:pos x="137" y="187"/>
              </a:cxn>
              <a:cxn ang="0">
                <a:pos x="187" y="167"/>
              </a:cxn>
              <a:cxn ang="0">
                <a:pos x="240" y="210"/>
              </a:cxn>
              <a:cxn ang="0">
                <a:pos x="235" y="285"/>
              </a:cxn>
              <a:cxn ang="0">
                <a:pos x="175" y="335"/>
              </a:cxn>
              <a:cxn ang="0">
                <a:pos x="90" y="335"/>
              </a:cxn>
              <a:cxn ang="0">
                <a:pos x="25" y="275"/>
              </a:cxn>
              <a:cxn ang="0">
                <a:pos x="15" y="172"/>
              </a:cxn>
              <a:cxn ang="0">
                <a:pos x="67" y="75"/>
              </a:cxn>
              <a:cxn ang="0">
                <a:pos x="192" y="22"/>
              </a:cxn>
              <a:cxn ang="0">
                <a:pos x="332" y="65"/>
              </a:cxn>
              <a:cxn ang="0">
                <a:pos x="460" y="190"/>
              </a:cxn>
              <a:cxn ang="0">
                <a:pos x="567" y="372"/>
              </a:cxn>
              <a:cxn ang="0">
                <a:pos x="697" y="565"/>
              </a:cxn>
              <a:cxn ang="0">
                <a:pos x="875" y="687"/>
              </a:cxn>
              <a:cxn ang="0">
                <a:pos x="1100" y="720"/>
              </a:cxn>
              <a:cxn ang="0">
                <a:pos x="1360" y="667"/>
              </a:cxn>
              <a:cxn ang="0">
                <a:pos x="1117" y="705"/>
              </a:cxn>
              <a:cxn ang="0">
                <a:pos x="917" y="677"/>
              </a:cxn>
              <a:cxn ang="0">
                <a:pos x="762" y="587"/>
              </a:cxn>
              <a:cxn ang="0">
                <a:pos x="645" y="457"/>
              </a:cxn>
              <a:cxn ang="0">
                <a:pos x="530" y="242"/>
              </a:cxn>
              <a:cxn ang="0">
                <a:pos x="375" y="55"/>
              </a:cxn>
              <a:cxn ang="0">
                <a:pos x="210" y="0"/>
              </a:cxn>
              <a:cxn ang="0">
                <a:pos x="70" y="55"/>
              </a:cxn>
              <a:cxn ang="0">
                <a:pos x="5" y="145"/>
              </a:cxn>
            </a:cxnLst>
            <a:rect l="0" t="0" r="r" b="b"/>
            <a:pathLst>
              <a:path w="1360" h="720">
                <a:moveTo>
                  <a:pt x="5" y="145"/>
                </a:moveTo>
                <a:lnTo>
                  <a:pt x="0" y="190"/>
                </a:lnTo>
                <a:lnTo>
                  <a:pt x="0" y="242"/>
                </a:lnTo>
                <a:lnTo>
                  <a:pt x="20" y="285"/>
                </a:lnTo>
                <a:lnTo>
                  <a:pt x="42" y="317"/>
                </a:lnTo>
                <a:lnTo>
                  <a:pt x="95" y="350"/>
                </a:lnTo>
                <a:lnTo>
                  <a:pt x="150" y="365"/>
                </a:lnTo>
                <a:lnTo>
                  <a:pt x="202" y="355"/>
                </a:lnTo>
                <a:lnTo>
                  <a:pt x="245" y="327"/>
                </a:lnTo>
                <a:lnTo>
                  <a:pt x="272" y="290"/>
                </a:lnTo>
                <a:lnTo>
                  <a:pt x="285" y="242"/>
                </a:lnTo>
                <a:lnTo>
                  <a:pt x="272" y="195"/>
                </a:lnTo>
                <a:lnTo>
                  <a:pt x="247" y="157"/>
                </a:lnTo>
                <a:lnTo>
                  <a:pt x="215" y="140"/>
                </a:lnTo>
                <a:lnTo>
                  <a:pt x="182" y="140"/>
                </a:lnTo>
                <a:lnTo>
                  <a:pt x="150" y="150"/>
                </a:lnTo>
                <a:lnTo>
                  <a:pt x="127" y="172"/>
                </a:lnTo>
                <a:lnTo>
                  <a:pt x="112" y="200"/>
                </a:lnTo>
                <a:lnTo>
                  <a:pt x="117" y="232"/>
                </a:lnTo>
                <a:lnTo>
                  <a:pt x="127" y="247"/>
                </a:lnTo>
                <a:lnTo>
                  <a:pt x="137" y="257"/>
                </a:lnTo>
                <a:lnTo>
                  <a:pt x="145" y="262"/>
                </a:lnTo>
                <a:lnTo>
                  <a:pt x="175" y="262"/>
                </a:lnTo>
                <a:lnTo>
                  <a:pt x="182" y="257"/>
                </a:lnTo>
                <a:lnTo>
                  <a:pt x="187" y="247"/>
                </a:lnTo>
                <a:lnTo>
                  <a:pt x="192" y="232"/>
                </a:lnTo>
                <a:lnTo>
                  <a:pt x="187" y="220"/>
                </a:lnTo>
                <a:lnTo>
                  <a:pt x="182" y="220"/>
                </a:lnTo>
                <a:lnTo>
                  <a:pt x="175" y="225"/>
                </a:lnTo>
                <a:lnTo>
                  <a:pt x="170" y="225"/>
                </a:lnTo>
                <a:lnTo>
                  <a:pt x="160" y="227"/>
                </a:lnTo>
                <a:lnTo>
                  <a:pt x="155" y="232"/>
                </a:lnTo>
                <a:lnTo>
                  <a:pt x="145" y="237"/>
                </a:lnTo>
                <a:lnTo>
                  <a:pt x="140" y="237"/>
                </a:lnTo>
                <a:lnTo>
                  <a:pt x="137" y="232"/>
                </a:lnTo>
                <a:lnTo>
                  <a:pt x="132" y="227"/>
                </a:lnTo>
                <a:lnTo>
                  <a:pt x="132" y="215"/>
                </a:lnTo>
                <a:lnTo>
                  <a:pt x="137" y="187"/>
                </a:lnTo>
                <a:lnTo>
                  <a:pt x="160" y="172"/>
                </a:lnTo>
                <a:lnTo>
                  <a:pt x="187" y="167"/>
                </a:lnTo>
                <a:lnTo>
                  <a:pt x="215" y="177"/>
                </a:lnTo>
                <a:lnTo>
                  <a:pt x="240" y="210"/>
                </a:lnTo>
                <a:lnTo>
                  <a:pt x="245" y="247"/>
                </a:lnTo>
                <a:lnTo>
                  <a:pt x="235" y="285"/>
                </a:lnTo>
                <a:lnTo>
                  <a:pt x="207" y="317"/>
                </a:lnTo>
                <a:lnTo>
                  <a:pt x="175" y="335"/>
                </a:lnTo>
                <a:lnTo>
                  <a:pt x="132" y="345"/>
                </a:lnTo>
                <a:lnTo>
                  <a:pt x="90" y="335"/>
                </a:lnTo>
                <a:lnTo>
                  <a:pt x="52" y="312"/>
                </a:lnTo>
                <a:lnTo>
                  <a:pt x="25" y="275"/>
                </a:lnTo>
                <a:lnTo>
                  <a:pt x="10" y="225"/>
                </a:lnTo>
                <a:lnTo>
                  <a:pt x="15" y="172"/>
                </a:lnTo>
                <a:lnTo>
                  <a:pt x="32" y="120"/>
                </a:lnTo>
                <a:lnTo>
                  <a:pt x="67" y="75"/>
                </a:lnTo>
                <a:lnTo>
                  <a:pt x="117" y="37"/>
                </a:lnTo>
                <a:lnTo>
                  <a:pt x="192" y="22"/>
                </a:lnTo>
                <a:lnTo>
                  <a:pt x="262" y="32"/>
                </a:lnTo>
                <a:lnTo>
                  <a:pt x="332" y="65"/>
                </a:lnTo>
                <a:lnTo>
                  <a:pt x="397" y="117"/>
                </a:lnTo>
                <a:lnTo>
                  <a:pt x="460" y="190"/>
                </a:lnTo>
                <a:lnTo>
                  <a:pt x="515" y="275"/>
                </a:lnTo>
                <a:lnTo>
                  <a:pt x="567" y="372"/>
                </a:lnTo>
                <a:lnTo>
                  <a:pt x="627" y="477"/>
                </a:lnTo>
                <a:lnTo>
                  <a:pt x="697" y="565"/>
                </a:lnTo>
                <a:lnTo>
                  <a:pt x="782" y="635"/>
                </a:lnTo>
                <a:lnTo>
                  <a:pt x="875" y="687"/>
                </a:lnTo>
                <a:lnTo>
                  <a:pt x="982" y="715"/>
                </a:lnTo>
                <a:lnTo>
                  <a:pt x="1100" y="720"/>
                </a:lnTo>
                <a:lnTo>
                  <a:pt x="1225" y="705"/>
                </a:lnTo>
                <a:lnTo>
                  <a:pt x="1360" y="667"/>
                </a:lnTo>
                <a:lnTo>
                  <a:pt x="1235" y="695"/>
                </a:lnTo>
                <a:lnTo>
                  <a:pt x="1117" y="705"/>
                </a:lnTo>
                <a:lnTo>
                  <a:pt x="1010" y="700"/>
                </a:lnTo>
                <a:lnTo>
                  <a:pt x="917" y="677"/>
                </a:lnTo>
                <a:lnTo>
                  <a:pt x="832" y="640"/>
                </a:lnTo>
                <a:lnTo>
                  <a:pt x="762" y="587"/>
                </a:lnTo>
                <a:lnTo>
                  <a:pt x="697" y="527"/>
                </a:lnTo>
                <a:lnTo>
                  <a:pt x="645" y="457"/>
                </a:lnTo>
                <a:lnTo>
                  <a:pt x="605" y="377"/>
                </a:lnTo>
                <a:lnTo>
                  <a:pt x="530" y="242"/>
                </a:lnTo>
                <a:lnTo>
                  <a:pt x="455" y="135"/>
                </a:lnTo>
                <a:lnTo>
                  <a:pt x="375" y="55"/>
                </a:lnTo>
                <a:lnTo>
                  <a:pt x="295" y="12"/>
                </a:lnTo>
                <a:lnTo>
                  <a:pt x="210" y="0"/>
                </a:lnTo>
                <a:lnTo>
                  <a:pt x="127" y="22"/>
                </a:lnTo>
                <a:lnTo>
                  <a:pt x="70" y="55"/>
                </a:lnTo>
                <a:lnTo>
                  <a:pt x="30" y="97"/>
                </a:lnTo>
                <a:lnTo>
                  <a:pt x="5" y="145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376" name="Group 184"/>
          <xdr:cNvGrpSpPr>
            <a:grpSpLocks/>
          </xdr:cNvGrpSpPr>
        </xdr:nvGrpSpPr>
        <xdr:grpSpPr bwMode="auto">
          <a:xfrm>
            <a:off x="14173" y="11565"/>
            <a:ext cx="913" cy="382"/>
            <a:chOff x="14173" y="11565"/>
            <a:chExt cx="913" cy="382"/>
          </a:xfrm>
        </xdr:grpSpPr>
        <xdr:sp macro="" textlink="">
          <xdr:nvSpPr>
            <xdr:cNvPr id="8381" name="Freeform 189"/>
            <xdr:cNvSpPr>
              <a:spLocks/>
            </xdr:cNvSpPr>
          </xdr:nvSpPr>
          <xdr:spPr bwMode="auto">
            <a:xfrm>
              <a:off x="14173" y="11565"/>
              <a:ext cx="913" cy="382"/>
            </a:xfrm>
            <a:custGeom>
              <a:avLst/>
              <a:gdLst/>
              <a:ahLst/>
              <a:cxnLst>
                <a:cxn ang="0">
                  <a:pos x="15" y="257"/>
                </a:cxn>
                <a:cxn ang="0">
                  <a:pos x="42" y="299"/>
                </a:cxn>
                <a:cxn ang="0">
                  <a:pos x="85" y="337"/>
                </a:cxn>
                <a:cxn ang="0">
                  <a:pos x="62" y="307"/>
                </a:cxn>
                <a:cxn ang="0">
                  <a:pos x="37" y="274"/>
                </a:cxn>
                <a:cxn ang="0">
                  <a:pos x="30" y="242"/>
                </a:cxn>
                <a:cxn ang="0">
                  <a:pos x="25" y="199"/>
                </a:cxn>
                <a:cxn ang="0">
                  <a:pos x="35" y="154"/>
                </a:cxn>
                <a:cxn ang="0">
                  <a:pos x="57" y="107"/>
                </a:cxn>
                <a:cxn ang="0">
                  <a:pos x="90" y="69"/>
                </a:cxn>
                <a:cxn ang="0">
                  <a:pos x="145" y="37"/>
                </a:cxn>
                <a:cxn ang="0">
                  <a:pos x="212" y="22"/>
                </a:cxn>
                <a:cxn ang="0">
                  <a:pos x="267" y="22"/>
                </a:cxn>
                <a:cxn ang="0">
                  <a:pos x="322" y="37"/>
                </a:cxn>
                <a:cxn ang="0">
                  <a:pos x="380" y="59"/>
                </a:cxn>
                <a:cxn ang="0">
                  <a:pos x="430" y="89"/>
                </a:cxn>
                <a:cxn ang="0">
                  <a:pos x="487" y="122"/>
                </a:cxn>
                <a:cxn ang="0">
                  <a:pos x="547" y="144"/>
                </a:cxn>
                <a:cxn ang="0">
                  <a:pos x="607" y="167"/>
                </a:cxn>
                <a:cxn ang="0">
                  <a:pos x="675" y="177"/>
                </a:cxn>
                <a:cxn ang="0">
                  <a:pos x="747" y="177"/>
                </a:cxn>
                <a:cxn ang="0">
                  <a:pos x="827" y="159"/>
                </a:cxn>
                <a:cxn ang="0">
                  <a:pos x="912" y="122"/>
                </a:cxn>
                <a:cxn ang="0">
                  <a:pos x="810" y="154"/>
                </a:cxn>
                <a:cxn ang="0">
                  <a:pos x="720" y="162"/>
                </a:cxn>
                <a:cxn ang="0">
                  <a:pos x="637" y="159"/>
                </a:cxn>
                <a:cxn ang="0">
                  <a:pos x="557" y="139"/>
                </a:cxn>
                <a:cxn ang="0">
                  <a:pos x="487" y="112"/>
                </a:cxn>
                <a:cxn ang="0">
                  <a:pos x="422" y="79"/>
                </a:cxn>
                <a:cxn ang="0">
                  <a:pos x="360" y="47"/>
                </a:cxn>
                <a:cxn ang="0">
                  <a:pos x="300" y="22"/>
                </a:cxn>
                <a:cxn ang="0">
                  <a:pos x="245" y="4"/>
                </a:cxn>
                <a:cxn ang="0">
                  <a:pos x="182" y="0"/>
                </a:cxn>
                <a:cxn ang="0">
                  <a:pos x="122" y="14"/>
                </a:cxn>
                <a:cxn ang="0">
                  <a:pos x="70" y="42"/>
                </a:cxn>
                <a:cxn ang="0">
                  <a:pos x="35" y="84"/>
                </a:cxn>
                <a:cxn ang="0">
                  <a:pos x="10" y="124"/>
                </a:cxn>
                <a:cxn ang="0">
                  <a:pos x="0" y="172"/>
                </a:cxn>
                <a:cxn ang="0">
                  <a:pos x="4" y="214"/>
                </a:cxn>
                <a:cxn ang="0">
                  <a:pos x="15" y="257"/>
                </a:cxn>
              </a:cxnLst>
              <a:rect l="0" t="0" r="r" b="b"/>
              <a:pathLst>
                <a:path w="913" h="382">
                  <a:moveTo>
                    <a:pt x="15" y="257"/>
                  </a:moveTo>
                  <a:lnTo>
                    <a:pt x="42" y="299"/>
                  </a:lnTo>
                  <a:lnTo>
                    <a:pt x="85" y="337"/>
                  </a:lnTo>
                  <a:lnTo>
                    <a:pt x="62" y="307"/>
                  </a:lnTo>
                  <a:lnTo>
                    <a:pt x="37" y="274"/>
                  </a:lnTo>
                  <a:lnTo>
                    <a:pt x="30" y="242"/>
                  </a:lnTo>
                  <a:lnTo>
                    <a:pt x="25" y="199"/>
                  </a:lnTo>
                  <a:lnTo>
                    <a:pt x="35" y="154"/>
                  </a:lnTo>
                  <a:lnTo>
                    <a:pt x="57" y="107"/>
                  </a:lnTo>
                  <a:lnTo>
                    <a:pt x="90" y="69"/>
                  </a:lnTo>
                  <a:lnTo>
                    <a:pt x="145" y="37"/>
                  </a:lnTo>
                  <a:lnTo>
                    <a:pt x="212" y="22"/>
                  </a:lnTo>
                  <a:lnTo>
                    <a:pt x="267" y="22"/>
                  </a:lnTo>
                  <a:lnTo>
                    <a:pt x="322" y="37"/>
                  </a:lnTo>
                  <a:lnTo>
                    <a:pt x="380" y="59"/>
                  </a:lnTo>
                  <a:lnTo>
                    <a:pt x="430" y="89"/>
                  </a:lnTo>
                  <a:lnTo>
                    <a:pt x="487" y="122"/>
                  </a:lnTo>
                  <a:lnTo>
                    <a:pt x="547" y="144"/>
                  </a:lnTo>
                  <a:lnTo>
                    <a:pt x="607" y="167"/>
                  </a:lnTo>
                  <a:lnTo>
                    <a:pt x="675" y="177"/>
                  </a:lnTo>
                  <a:lnTo>
                    <a:pt x="747" y="177"/>
                  </a:lnTo>
                  <a:lnTo>
                    <a:pt x="827" y="159"/>
                  </a:lnTo>
                  <a:lnTo>
                    <a:pt x="912" y="122"/>
                  </a:lnTo>
                  <a:lnTo>
                    <a:pt x="810" y="154"/>
                  </a:lnTo>
                  <a:lnTo>
                    <a:pt x="720" y="162"/>
                  </a:lnTo>
                  <a:lnTo>
                    <a:pt x="637" y="159"/>
                  </a:lnTo>
                  <a:lnTo>
                    <a:pt x="557" y="139"/>
                  </a:lnTo>
                  <a:lnTo>
                    <a:pt x="487" y="112"/>
                  </a:lnTo>
                  <a:lnTo>
                    <a:pt x="422" y="79"/>
                  </a:lnTo>
                  <a:lnTo>
                    <a:pt x="360" y="47"/>
                  </a:lnTo>
                  <a:lnTo>
                    <a:pt x="300" y="22"/>
                  </a:lnTo>
                  <a:lnTo>
                    <a:pt x="245" y="4"/>
                  </a:lnTo>
                  <a:lnTo>
                    <a:pt x="182" y="0"/>
                  </a:lnTo>
                  <a:lnTo>
                    <a:pt x="122" y="14"/>
                  </a:lnTo>
                  <a:lnTo>
                    <a:pt x="70" y="42"/>
                  </a:lnTo>
                  <a:lnTo>
                    <a:pt x="35" y="84"/>
                  </a:lnTo>
                  <a:lnTo>
                    <a:pt x="10" y="124"/>
                  </a:lnTo>
                  <a:lnTo>
                    <a:pt x="0" y="172"/>
                  </a:lnTo>
                  <a:lnTo>
                    <a:pt x="4" y="214"/>
                  </a:lnTo>
                  <a:lnTo>
                    <a:pt x="15" y="25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80" name="Freeform 188"/>
            <xdr:cNvSpPr>
              <a:spLocks/>
            </xdr:cNvSpPr>
          </xdr:nvSpPr>
          <xdr:spPr bwMode="auto">
            <a:xfrm>
              <a:off x="14173" y="11565"/>
              <a:ext cx="913" cy="382"/>
            </a:xfrm>
            <a:custGeom>
              <a:avLst/>
              <a:gdLst/>
              <a:ahLst/>
              <a:cxnLst>
                <a:cxn ang="0">
                  <a:pos x="310" y="304"/>
                </a:cxn>
                <a:cxn ang="0">
                  <a:pos x="277" y="339"/>
                </a:cxn>
                <a:cxn ang="0">
                  <a:pos x="235" y="364"/>
                </a:cxn>
                <a:cxn ang="0">
                  <a:pos x="182" y="369"/>
                </a:cxn>
                <a:cxn ang="0">
                  <a:pos x="132" y="359"/>
                </a:cxn>
                <a:cxn ang="0">
                  <a:pos x="99" y="343"/>
                </a:cxn>
                <a:cxn ang="0">
                  <a:pos x="127" y="364"/>
                </a:cxn>
                <a:cxn ang="0">
                  <a:pos x="175" y="382"/>
                </a:cxn>
                <a:cxn ang="0">
                  <a:pos x="220" y="382"/>
                </a:cxn>
                <a:cxn ang="0">
                  <a:pos x="272" y="364"/>
                </a:cxn>
                <a:cxn ang="0">
                  <a:pos x="315" y="332"/>
                </a:cxn>
                <a:cxn ang="0">
                  <a:pos x="337" y="284"/>
                </a:cxn>
                <a:cxn ang="0">
                  <a:pos x="342" y="237"/>
                </a:cxn>
                <a:cxn ang="0">
                  <a:pos x="332" y="197"/>
                </a:cxn>
                <a:cxn ang="0">
                  <a:pos x="300" y="159"/>
                </a:cxn>
                <a:cxn ang="0">
                  <a:pos x="252" y="134"/>
                </a:cxn>
                <a:cxn ang="0">
                  <a:pos x="207" y="129"/>
                </a:cxn>
                <a:cxn ang="0">
                  <a:pos x="195" y="134"/>
                </a:cxn>
                <a:cxn ang="0">
                  <a:pos x="230" y="134"/>
                </a:cxn>
                <a:cxn ang="0">
                  <a:pos x="277" y="149"/>
                </a:cxn>
                <a:cxn ang="0">
                  <a:pos x="310" y="182"/>
                </a:cxn>
                <a:cxn ang="0">
                  <a:pos x="327" y="219"/>
                </a:cxn>
                <a:cxn ang="0">
                  <a:pos x="327" y="267"/>
                </a:cxn>
                <a:cxn ang="0">
                  <a:pos x="310" y="304"/>
                </a:cxn>
              </a:cxnLst>
              <a:rect l="0" t="0" r="r" b="b"/>
              <a:pathLst>
                <a:path w="913" h="382">
                  <a:moveTo>
                    <a:pt x="310" y="304"/>
                  </a:moveTo>
                  <a:lnTo>
                    <a:pt x="277" y="339"/>
                  </a:lnTo>
                  <a:lnTo>
                    <a:pt x="235" y="364"/>
                  </a:lnTo>
                  <a:lnTo>
                    <a:pt x="182" y="369"/>
                  </a:lnTo>
                  <a:lnTo>
                    <a:pt x="132" y="359"/>
                  </a:lnTo>
                  <a:lnTo>
                    <a:pt x="99" y="343"/>
                  </a:lnTo>
                  <a:lnTo>
                    <a:pt x="127" y="364"/>
                  </a:lnTo>
                  <a:lnTo>
                    <a:pt x="175" y="382"/>
                  </a:lnTo>
                  <a:lnTo>
                    <a:pt x="220" y="382"/>
                  </a:lnTo>
                  <a:lnTo>
                    <a:pt x="272" y="364"/>
                  </a:lnTo>
                  <a:lnTo>
                    <a:pt x="315" y="332"/>
                  </a:lnTo>
                  <a:lnTo>
                    <a:pt x="337" y="284"/>
                  </a:lnTo>
                  <a:lnTo>
                    <a:pt x="342" y="237"/>
                  </a:lnTo>
                  <a:lnTo>
                    <a:pt x="332" y="197"/>
                  </a:lnTo>
                  <a:lnTo>
                    <a:pt x="300" y="159"/>
                  </a:lnTo>
                  <a:lnTo>
                    <a:pt x="252" y="134"/>
                  </a:lnTo>
                  <a:lnTo>
                    <a:pt x="207" y="129"/>
                  </a:lnTo>
                  <a:lnTo>
                    <a:pt x="195" y="134"/>
                  </a:lnTo>
                  <a:lnTo>
                    <a:pt x="230" y="134"/>
                  </a:lnTo>
                  <a:lnTo>
                    <a:pt x="277" y="149"/>
                  </a:lnTo>
                  <a:lnTo>
                    <a:pt x="310" y="182"/>
                  </a:lnTo>
                  <a:lnTo>
                    <a:pt x="327" y="219"/>
                  </a:lnTo>
                  <a:lnTo>
                    <a:pt x="327" y="267"/>
                  </a:lnTo>
                  <a:lnTo>
                    <a:pt x="310" y="30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79" name="Freeform 187"/>
            <xdr:cNvSpPr>
              <a:spLocks/>
            </xdr:cNvSpPr>
          </xdr:nvSpPr>
          <xdr:spPr bwMode="auto">
            <a:xfrm>
              <a:off x="14173" y="11565"/>
              <a:ext cx="913" cy="382"/>
            </a:xfrm>
            <a:custGeom>
              <a:avLst/>
              <a:gdLst/>
              <a:ahLst/>
              <a:cxnLst>
                <a:cxn ang="0">
                  <a:pos x="142" y="167"/>
                </a:cxn>
                <a:cxn ang="0">
                  <a:pos x="132" y="199"/>
                </a:cxn>
                <a:cxn ang="0">
                  <a:pos x="132" y="229"/>
                </a:cxn>
                <a:cxn ang="0">
                  <a:pos x="145" y="257"/>
                </a:cxn>
                <a:cxn ang="0">
                  <a:pos x="177" y="269"/>
                </a:cxn>
                <a:cxn ang="0">
                  <a:pos x="207" y="269"/>
                </a:cxn>
                <a:cxn ang="0">
                  <a:pos x="230" y="262"/>
                </a:cxn>
                <a:cxn ang="0">
                  <a:pos x="245" y="237"/>
                </a:cxn>
                <a:cxn ang="0">
                  <a:pos x="245" y="214"/>
                </a:cxn>
                <a:cxn ang="0">
                  <a:pos x="235" y="197"/>
                </a:cxn>
                <a:cxn ang="0">
                  <a:pos x="215" y="182"/>
                </a:cxn>
                <a:cxn ang="0">
                  <a:pos x="187" y="177"/>
                </a:cxn>
                <a:cxn ang="0">
                  <a:pos x="177" y="182"/>
                </a:cxn>
                <a:cxn ang="0">
                  <a:pos x="175" y="187"/>
                </a:cxn>
                <a:cxn ang="0">
                  <a:pos x="170" y="197"/>
                </a:cxn>
                <a:cxn ang="0">
                  <a:pos x="175" y="199"/>
                </a:cxn>
                <a:cxn ang="0">
                  <a:pos x="177" y="204"/>
                </a:cxn>
                <a:cxn ang="0">
                  <a:pos x="187" y="204"/>
                </a:cxn>
                <a:cxn ang="0">
                  <a:pos x="197" y="199"/>
                </a:cxn>
                <a:cxn ang="0">
                  <a:pos x="207" y="197"/>
                </a:cxn>
                <a:cxn ang="0">
                  <a:pos x="220" y="197"/>
                </a:cxn>
                <a:cxn ang="0">
                  <a:pos x="225" y="199"/>
                </a:cxn>
                <a:cxn ang="0">
                  <a:pos x="235" y="219"/>
                </a:cxn>
                <a:cxn ang="0">
                  <a:pos x="230" y="232"/>
                </a:cxn>
                <a:cxn ang="0">
                  <a:pos x="225" y="247"/>
                </a:cxn>
                <a:cxn ang="0">
                  <a:pos x="215" y="257"/>
                </a:cxn>
                <a:cxn ang="0">
                  <a:pos x="202" y="262"/>
                </a:cxn>
                <a:cxn ang="0">
                  <a:pos x="187" y="262"/>
                </a:cxn>
                <a:cxn ang="0">
                  <a:pos x="170" y="257"/>
                </a:cxn>
                <a:cxn ang="0">
                  <a:pos x="145" y="232"/>
                </a:cxn>
                <a:cxn ang="0">
                  <a:pos x="137" y="209"/>
                </a:cxn>
                <a:cxn ang="0">
                  <a:pos x="142" y="177"/>
                </a:cxn>
                <a:cxn ang="0">
                  <a:pos x="160" y="154"/>
                </a:cxn>
                <a:cxn ang="0">
                  <a:pos x="188" y="137"/>
                </a:cxn>
                <a:cxn ang="0">
                  <a:pos x="170" y="144"/>
                </a:cxn>
                <a:cxn ang="0">
                  <a:pos x="142" y="167"/>
                </a:cxn>
              </a:cxnLst>
              <a:rect l="0" t="0" r="r" b="b"/>
              <a:pathLst>
                <a:path w="913" h="382">
                  <a:moveTo>
                    <a:pt x="142" y="167"/>
                  </a:moveTo>
                  <a:lnTo>
                    <a:pt x="132" y="199"/>
                  </a:lnTo>
                  <a:lnTo>
                    <a:pt x="132" y="229"/>
                  </a:lnTo>
                  <a:lnTo>
                    <a:pt x="145" y="257"/>
                  </a:lnTo>
                  <a:lnTo>
                    <a:pt x="177" y="269"/>
                  </a:lnTo>
                  <a:lnTo>
                    <a:pt x="207" y="269"/>
                  </a:lnTo>
                  <a:lnTo>
                    <a:pt x="230" y="262"/>
                  </a:lnTo>
                  <a:lnTo>
                    <a:pt x="245" y="237"/>
                  </a:lnTo>
                  <a:lnTo>
                    <a:pt x="245" y="214"/>
                  </a:lnTo>
                  <a:lnTo>
                    <a:pt x="235" y="197"/>
                  </a:lnTo>
                  <a:lnTo>
                    <a:pt x="215" y="182"/>
                  </a:lnTo>
                  <a:lnTo>
                    <a:pt x="187" y="177"/>
                  </a:lnTo>
                  <a:lnTo>
                    <a:pt x="177" y="182"/>
                  </a:lnTo>
                  <a:lnTo>
                    <a:pt x="175" y="187"/>
                  </a:lnTo>
                  <a:lnTo>
                    <a:pt x="170" y="197"/>
                  </a:lnTo>
                  <a:lnTo>
                    <a:pt x="175" y="199"/>
                  </a:lnTo>
                  <a:lnTo>
                    <a:pt x="177" y="204"/>
                  </a:lnTo>
                  <a:lnTo>
                    <a:pt x="187" y="204"/>
                  </a:lnTo>
                  <a:lnTo>
                    <a:pt x="197" y="199"/>
                  </a:lnTo>
                  <a:lnTo>
                    <a:pt x="207" y="197"/>
                  </a:lnTo>
                  <a:lnTo>
                    <a:pt x="220" y="197"/>
                  </a:lnTo>
                  <a:lnTo>
                    <a:pt x="225" y="199"/>
                  </a:lnTo>
                  <a:lnTo>
                    <a:pt x="235" y="219"/>
                  </a:lnTo>
                  <a:lnTo>
                    <a:pt x="230" y="232"/>
                  </a:lnTo>
                  <a:lnTo>
                    <a:pt x="225" y="247"/>
                  </a:lnTo>
                  <a:lnTo>
                    <a:pt x="215" y="257"/>
                  </a:lnTo>
                  <a:lnTo>
                    <a:pt x="202" y="262"/>
                  </a:lnTo>
                  <a:lnTo>
                    <a:pt x="187" y="262"/>
                  </a:lnTo>
                  <a:lnTo>
                    <a:pt x="170" y="257"/>
                  </a:lnTo>
                  <a:lnTo>
                    <a:pt x="145" y="232"/>
                  </a:lnTo>
                  <a:lnTo>
                    <a:pt x="137" y="209"/>
                  </a:lnTo>
                  <a:lnTo>
                    <a:pt x="142" y="177"/>
                  </a:lnTo>
                  <a:lnTo>
                    <a:pt x="160" y="154"/>
                  </a:lnTo>
                  <a:lnTo>
                    <a:pt x="188" y="137"/>
                  </a:lnTo>
                  <a:lnTo>
                    <a:pt x="170" y="144"/>
                  </a:lnTo>
                  <a:lnTo>
                    <a:pt x="142" y="16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78" name="Freeform 186"/>
            <xdr:cNvSpPr>
              <a:spLocks/>
            </xdr:cNvSpPr>
          </xdr:nvSpPr>
          <xdr:spPr bwMode="auto">
            <a:xfrm>
              <a:off x="14173" y="11565"/>
              <a:ext cx="913" cy="382"/>
            </a:xfrm>
            <a:custGeom>
              <a:avLst/>
              <a:gdLst/>
              <a:ahLst/>
              <a:cxnLst>
                <a:cxn ang="0">
                  <a:pos x="99" y="343"/>
                </a:cxn>
                <a:cxn ang="0">
                  <a:pos x="90" y="337"/>
                </a:cxn>
                <a:cxn ang="0">
                  <a:pos x="85" y="337"/>
                </a:cxn>
                <a:cxn ang="0">
                  <a:pos x="99" y="343"/>
                </a:cxn>
              </a:cxnLst>
              <a:rect l="0" t="0" r="r" b="b"/>
              <a:pathLst>
                <a:path w="913" h="382">
                  <a:moveTo>
                    <a:pt x="99" y="343"/>
                  </a:moveTo>
                  <a:lnTo>
                    <a:pt x="90" y="337"/>
                  </a:lnTo>
                  <a:lnTo>
                    <a:pt x="85" y="337"/>
                  </a:lnTo>
                  <a:lnTo>
                    <a:pt x="99" y="343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77" name="Freeform 185"/>
            <xdr:cNvSpPr>
              <a:spLocks/>
            </xdr:cNvSpPr>
          </xdr:nvSpPr>
          <xdr:spPr bwMode="auto">
            <a:xfrm>
              <a:off x="14173" y="11565"/>
              <a:ext cx="913" cy="382"/>
            </a:xfrm>
            <a:custGeom>
              <a:avLst/>
              <a:gdLst/>
              <a:ahLst/>
              <a:cxnLst>
                <a:cxn ang="0">
                  <a:pos x="195" y="134"/>
                </a:cxn>
                <a:cxn ang="0">
                  <a:pos x="192" y="134"/>
                </a:cxn>
                <a:cxn ang="0">
                  <a:pos x="188" y="137"/>
                </a:cxn>
                <a:cxn ang="0">
                  <a:pos x="195" y="134"/>
                </a:cxn>
              </a:cxnLst>
              <a:rect l="0" t="0" r="r" b="b"/>
              <a:pathLst>
                <a:path w="913" h="382">
                  <a:moveTo>
                    <a:pt x="195" y="134"/>
                  </a:moveTo>
                  <a:lnTo>
                    <a:pt x="192" y="134"/>
                  </a:lnTo>
                  <a:lnTo>
                    <a:pt x="188" y="137"/>
                  </a:lnTo>
                  <a:lnTo>
                    <a:pt x="195" y="13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75" name="Freeform 183"/>
          <xdr:cNvSpPr>
            <a:spLocks/>
          </xdr:cNvSpPr>
        </xdr:nvSpPr>
        <xdr:spPr bwMode="auto">
          <a:xfrm>
            <a:off x="1285" y="11875"/>
            <a:ext cx="13242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13242" y="0"/>
              </a:cxn>
            </a:cxnLst>
            <a:rect l="0" t="0" r="r" b="b"/>
            <a:pathLst>
              <a:path w="13242">
                <a:moveTo>
                  <a:pt x="0" y="0"/>
                </a:moveTo>
                <a:lnTo>
                  <a:pt x="13242" y="0"/>
                </a:lnTo>
              </a:path>
            </a:pathLst>
          </a:custGeom>
          <a:noFill/>
          <a:ln w="39370">
            <a:solidFill>
              <a:srgbClr val="322411"/>
            </a:solidFill>
            <a:round/>
            <a:headEnd/>
            <a:tailEnd/>
          </a:ln>
        </xdr:spPr>
      </xdr:sp>
      <xdr:grpSp>
        <xdr:nvGrpSpPr>
          <xdr:cNvPr id="8372" name="Group 180"/>
          <xdr:cNvGrpSpPr>
            <a:grpSpLocks/>
          </xdr:cNvGrpSpPr>
        </xdr:nvGrpSpPr>
        <xdr:grpSpPr bwMode="auto">
          <a:xfrm>
            <a:off x="345" y="9969"/>
            <a:ext cx="753" cy="1230"/>
            <a:chOff x="345" y="9969"/>
            <a:chExt cx="753" cy="1230"/>
          </a:xfrm>
        </xdr:grpSpPr>
        <xdr:sp macro="" textlink="">
          <xdr:nvSpPr>
            <xdr:cNvPr id="8374" name="Freeform 182"/>
            <xdr:cNvSpPr>
              <a:spLocks/>
            </xdr:cNvSpPr>
          </xdr:nvSpPr>
          <xdr:spPr bwMode="auto">
            <a:xfrm>
              <a:off x="345" y="9969"/>
              <a:ext cx="753" cy="1230"/>
            </a:xfrm>
            <a:custGeom>
              <a:avLst/>
              <a:gdLst/>
              <a:ahLst/>
              <a:cxnLst>
                <a:cxn ang="0">
                  <a:pos x="177" y="682"/>
                </a:cxn>
                <a:cxn ang="0">
                  <a:pos x="167" y="669"/>
                </a:cxn>
                <a:cxn ang="0">
                  <a:pos x="172" y="687"/>
                </a:cxn>
                <a:cxn ang="0">
                  <a:pos x="117" y="767"/>
                </a:cxn>
                <a:cxn ang="0">
                  <a:pos x="70" y="859"/>
                </a:cxn>
                <a:cxn ang="0">
                  <a:pos x="32" y="967"/>
                </a:cxn>
                <a:cxn ang="0">
                  <a:pos x="10" y="1089"/>
                </a:cxn>
                <a:cxn ang="0">
                  <a:pos x="0" y="1229"/>
                </a:cxn>
                <a:cxn ang="0">
                  <a:pos x="10" y="1104"/>
                </a:cxn>
                <a:cxn ang="0">
                  <a:pos x="32" y="987"/>
                </a:cxn>
                <a:cxn ang="0">
                  <a:pos x="65" y="889"/>
                </a:cxn>
                <a:cxn ang="0">
                  <a:pos x="107" y="804"/>
                </a:cxn>
                <a:cxn ang="0">
                  <a:pos x="160" y="729"/>
                </a:cxn>
                <a:cxn ang="0">
                  <a:pos x="177" y="707"/>
                </a:cxn>
                <a:cxn ang="0">
                  <a:pos x="182" y="717"/>
                </a:cxn>
                <a:cxn ang="0">
                  <a:pos x="200" y="749"/>
                </a:cxn>
                <a:cxn ang="0">
                  <a:pos x="187" y="717"/>
                </a:cxn>
                <a:cxn ang="0">
                  <a:pos x="182" y="702"/>
                </a:cxn>
                <a:cxn ang="0">
                  <a:pos x="232" y="617"/>
                </a:cxn>
                <a:cxn ang="0">
                  <a:pos x="177" y="682"/>
                </a:cxn>
              </a:cxnLst>
              <a:rect l="0" t="0" r="r" b="b"/>
              <a:pathLst>
                <a:path w="753" h="1230">
                  <a:moveTo>
                    <a:pt x="177" y="682"/>
                  </a:moveTo>
                  <a:lnTo>
                    <a:pt x="167" y="669"/>
                  </a:lnTo>
                  <a:lnTo>
                    <a:pt x="172" y="687"/>
                  </a:lnTo>
                  <a:lnTo>
                    <a:pt x="117" y="767"/>
                  </a:lnTo>
                  <a:lnTo>
                    <a:pt x="70" y="859"/>
                  </a:lnTo>
                  <a:lnTo>
                    <a:pt x="32" y="967"/>
                  </a:lnTo>
                  <a:lnTo>
                    <a:pt x="10" y="1089"/>
                  </a:lnTo>
                  <a:lnTo>
                    <a:pt x="0" y="1229"/>
                  </a:lnTo>
                  <a:lnTo>
                    <a:pt x="10" y="1104"/>
                  </a:lnTo>
                  <a:lnTo>
                    <a:pt x="32" y="987"/>
                  </a:lnTo>
                  <a:lnTo>
                    <a:pt x="65" y="889"/>
                  </a:lnTo>
                  <a:lnTo>
                    <a:pt x="107" y="804"/>
                  </a:lnTo>
                  <a:lnTo>
                    <a:pt x="160" y="729"/>
                  </a:lnTo>
                  <a:lnTo>
                    <a:pt x="177" y="707"/>
                  </a:lnTo>
                  <a:lnTo>
                    <a:pt x="182" y="717"/>
                  </a:lnTo>
                  <a:lnTo>
                    <a:pt x="200" y="749"/>
                  </a:lnTo>
                  <a:lnTo>
                    <a:pt x="187" y="717"/>
                  </a:lnTo>
                  <a:lnTo>
                    <a:pt x="182" y="702"/>
                  </a:lnTo>
                  <a:lnTo>
                    <a:pt x="232" y="617"/>
                  </a:lnTo>
                  <a:lnTo>
                    <a:pt x="177" y="68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73" name="Freeform 181"/>
            <xdr:cNvSpPr>
              <a:spLocks/>
            </xdr:cNvSpPr>
          </xdr:nvSpPr>
          <xdr:spPr bwMode="auto">
            <a:xfrm>
              <a:off x="345" y="9969"/>
              <a:ext cx="753" cy="1230"/>
            </a:xfrm>
            <a:custGeom>
              <a:avLst/>
              <a:gdLst/>
              <a:ahLst/>
              <a:cxnLst>
                <a:cxn ang="0">
                  <a:pos x="597" y="29"/>
                </a:cxn>
                <a:cxn ang="0">
                  <a:pos x="677" y="9"/>
                </a:cxn>
                <a:cxn ang="0">
                  <a:pos x="730" y="62"/>
                </a:cxn>
                <a:cxn ang="0">
                  <a:pos x="743" y="137"/>
                </a:cxn>
                <a:cxn ang="0">
                  <a:pos x="705" y="234"/>
                </a:cxn>
                <a:cxn ang="0">
                  <a:pos x="662" y="267"/>
                </a:cxn>
                <a:cxn ang="0">
                  <a:pos x="607" y="187"/>
                </a:cxn>
                <a:cxn ang="0">
                  <a:pos x="485" y="127"/>
                </a:cxn>
                <a:cxn ang="0">
                  <a:pos x="332" y="132"/>
                </a:cxn>
                <a:cxn ang="0">
                  <a:pos x="192" y="219"/>
                </a:cxn>
                <a:cxn ang="0">
                  <a:pos x="125" y="342"/>
                </a:cxn>
                <a:cxn ang="0">
                  <a:pos x="112" y="482"/>
                </a:cxn>
                <a:cxn ang="0">
                  <a:pos x="140" y="609"/>
                </a:cxn>
                <a:cxn ang="0">
                  <a:pos x="172" y="687"/>
                </a:cxn>
                <a:cxn ang="0">
                  <a:pos x="150" y="612"/>
                </a:cxn>
                <a:cxn ang="0">
                  <a:pos x="130" y="472"/>
                </a:cxn>
                <a:cxn ang="0">
                  <a:pos x="167" y="314"/>
                </a:cxn>
                <a:cxn ang="0">
                  <a:pos x="280" y="197"/>
                </a:cxn>
                <a:cxn ang="0">
                  <a:pos x="420" y="144"/>
                </a:cxn>
                <a:cxn ang="0">
                  <a:pos x="547" y="164"/>
                </a:cxn>
                <a:cxn ang="0">
                  <a:pos x="635" y="239"/>
                </a:cxn>
                <a:cxn ang="0">
                  <a:pos x="597" y="342"/>
                </a:cxn>
                <a:cxn ang="0">
                  <a:pos x="445" y="449"/>
                </a:cxn>
                <a:cxn ang="0">
                  <a:pos x="302" y="557"/>
                </a:cxn>
                <a:cxn ang="0">
                  <a:pos x="182" y="702"/>
                </a:cxn>
                <a:cxn ang="0">
                  <a:pos x="270" y="612"/>
                </a:cxn>
                <a:cxn ang="0">
                  <a:pos x="397" y="514"/>
                </a:cxn>
                <a:cxn ang="0">
                  <a:pos x="527" y="434"/>
                </a:cxn>
                <a:cxn ang="0">
                  <a:pos x="667" y="319"/>
                </a:cxn>
                <a:cxn ang="0">
                  <a:pos x="660" y="412"/>
                </a:cxn>
                <a:cxn ang="0">
                  <a:pos x="590" y="487"/>
                </a:cxn>
                <a:cxn ang="0">
                  <a:pos x="527" y="504"/>
                </a:cxn>
                <a:cxn ang="0">
                  <a:pos x="537" y="509"/>
                </a:cxn>
                <a:cxn ang="0">
                  <a:pos x="630" y="467"/>
                </a:cxn>
                <a:cxn ang="0">
                  <a:pos x="672" y="392"/>
                </a:cxn>
                <a:cxn ang="0">
                  <a:pos x="672" y="309"/>
                </a:cxn>
                <a:cxn ang="0">
                  <a:pos x="732" y="219"/>
                </a:cxn>
                <a:cxn ang="0">
                  <a:pos x="748" y="89"/>
                </a:cxn>
                <a:cxn ang="0">
                  <a:pos x="710" y="24"/>
                </a:cxn>
                <a:cxn ang="0">
                  <a:pos x="635" y="0"/>
                </a:cxn>
                <a:cxn ang="0">
                  <a:pos x="585" y="34"/>
                </a:cxn>
                <a:cxn ang="0">
                  <a:pos x="590" y="34"/>
                </a:cxn>
              </a:cxnLst>
              <a:rect l="0" t="0" r="r" b="b"/>
              <a:pathLst>
                <a:path w="753" h="1230">
                  <a:moveTo>
                    <a:pt x="590" y="34"/>
                  </a:moveTo>
                  <a:lnTo>
                    <a:pt x="597" y="29"/>
                  </a:lnTo>
                  <a:lnTo>
                    <a:pt x="640" y="9"/>
                  </a:lnTo>
                  <a:lnTo>
                    <a:pt x="677" y="9"/>
                  </a:lnTo>
                  <a:lnTo>
                    <a:pt x="710" y="29"/>
                  </a:lnTo>
                  <a:lnTo>
                    <a:pt x="730" y="62"/>
                  </a:lnTo>
                  <a:lnTo>
                    <a:pt x="743" y="94"/>
                  </a:lnTo>
                  <a:lnTo>
                    <a:pt x="743" y="137"/>
                  </a:lnTo>
                  <a:lnTo>
                    <a:pt x="730" y="182"/>
                  </a:lnTo>
                  <a:lnTo>
                    <a:pt x="705" y="234"/>
                  </a:lnTo>
                  <a:lnTo>
                    <a:pt x="662" y="277"/>
                  </a:lnTo>
                  <a:lnTo>
                    <a:pt x="662" y="267"/>
                  </a:lnTo>
                  <a:lnTo>
                    <a:pt x="645" y="229"/>
                  </a:lnTo>
                  <a:lnTo>
                    <a:pt x="607" y="187"/>
                  </a:lnTo>
                  <a:lnTo>
                    <a:pt x="552" y="149"/>
                  </a:lnTo>
                  <a:lnTo>
                    <a:pt x="485" y="127"/>
                  </a:lnTo>
                  <a:lnTo>
                    <a:pt x="410" y="117"/>
                  </a:lnTo>
                  <a:lnTo>
                    <a:pt x="332" y="132"/>
                  </a:lnTo>
                  <a:lnTo>
                    <a:pt x="247" y="174"/>
                  </a:lnTo>
                  <a:lnTo>
                    <a:pt x="192" y="219"/>
                  </a:lnTo>
                  <a:lnTo>
                    <a:pt x="150" y="277"/>
                  </a:lnTo>
                  <a:lnTo>
                    <a:pt x="125" y="342"/>
                  </a:lnTo>
                  <a:lnTo>
                    <a:pt x="112" y="407"/>
                  </a:lnTo>
                  <a:lnTo>
                    <a:pt x="112" y="482"/>
                  </a:lnTo>
                  <a:lnTo>
                    <a:pt x="125" y="552"/>
                  </a:lnTo>
                  <a:lnTo>
                    <a:pt x="140" y="609"/>
                  </a:lnTo>
                  <a:lnTo>
                    <a:pt x="162" y="664"/>
                  </a:lnTo>
                  <a:lnTo>
                    <a:pt x="172" y="687"/>
                  </a:lnTo>
                  <a:lnTo>
                    <a:pt x="167" y="669"/>
                  </a:lnTo>
                  <a:lnTo>
                    <a:pt x="150" y="612"/>
                  </a:lnTo>
                  <a:lnTo>
                    <a:pt x="140" y="562"/>
                  </a:lnTo>
                  <a:lnTo>
                    <a:pt x="130" y="472"/>
                  </a:lnTo>
                  <a:lnTo>
                    <a:pt x="140" y="389"/>
                  </a:lnTo>
                  <a:lnTo>
                    <a:pt x="167" y="314"/>
                  </a:lnTo>
                  <a:lnTo>
                    <a:pt x="215" y="249"/>
                  </a:lnTo>
                  <a:lnTo>
                    <a:pt x="280" y="197"/>
                  </a:lnTo>
                  <a:lnTo>
                    <a:pt x="350" y="164"/>
                  </a:lnTo>
                  <a:lnTo>
                    <a:pt x="420" y="144"/>
                  </a:lnTo>
                  <a:lnTo>
                    <a:pt x="485" y="144"/>
                  </a:lnTo>
                  <a:lnTo>
                    <a:pt x="547" y="164"/>
                  </a:lnTo>
                  <a:lnTo>
                    <a:pt x="597" y="192"/>
                  </a:lnTo>
                  <a:lnTo>
                    <a:pt x="635" y="239"/>
                  </a:lnTo>
                  <a:lnTo>
                    <a:pt x="660" y="284"/>
                  </a:lnTo>
                  <a:lnTo>
                    <a:pt x="597" y="342"/>
                  </a:lnTo>
                  <a:lnTo>
                    <a:pt x="515" y="402"/>
                  </a:lnTo>
                  <a:lnTo>
                    <a:pt x="445" y="449"/>
                  </a:lnTo>
                  <a:lnTo>
                    <a:pt x="370" y="499"/>
                  </a:lnTo>
                  <a:lnTo>
                    <a:pt x="302" y="557"/>
                  </a:lnTo>
                  <a:lnTo>
                    <a:pt x="232" y="617"/>
                  </a:lnTo>
                  <a:lnTo>
                    <a:pt x="182" y="702"/>
                  </a:lnTo>
                  <a:lnTo>
                    <a:pt x="210" y="669"/>
                  </a:lnTo>
                  <a:lnTo>
                    <a:pt x="270" y="612"/>
                  </a:lnTo>
                  <a:lnTo>
                    <a:pt x="332" y="562"/>
                  </a:lnTo>
                  <a:lnTo>
                    <a:pt x="397" y="514"/>
                  </a:lnTo>
                  <a:lnTo>
                    <a:pt x="462" y="472"/>
                  </a:lnTo>
                  <a:lnTo>
                    <a:pt x="527" y="434"/>
                  </a:lnTo>
                  <a:lnTo>
                    <a:pt x="625" y="359"/>
                  </a:lnTo>
                  <a:lnTo>
                    <a:pt x="667" y="319"/>
                  </a:lnTo>
                  <a:lnTo>
                    <a:pt x="672" y="359"/>
                  </a:lnTo>
                  <a:lnTo>
                    <a:pt x="660" y="412"/>
                  </a:lnTo>
                  <a:lnTo>
                    <a:pt x="630" y="459"/>
                  </a:lnTo>
                  <a:lnTo>
                    <a:pt x="590" y="487"/>
                  </a:lnTo>
                  <a:lnTo>
                    <a:pt x="532" y="504"/>
                  </a:lnTo>
                  <a:lnTo>
                    <a:pt x="527" y="504"/>
                  </a:lnTo>
                  <a:lnTo>
                    <a:pt x="527" y="509"/>
                  </a:lnTo>
                  <a:lnTo>
                    <a:pt x="537" y="509"/>
                  </a:lnTo>
                  <a:lnTo>
                    <a:pt x="592" y="497"/>
                  </a:lnTo>
                  <a:lnTo>
                    <a:pt x="630" y="467"/>
                  </a:lnTo>
                  <a:lnTo>
                    <a:pt x="660" y="429"/>
                  </a:lnTo>
                  <a:lnTo>
                    <a:pt x="672" y="392"/>
                  </a:lnTo>
                  <a:lnTo>
                    <a:pt x="677" y="352"/>
                  </a:lnTo>
                  <a:lnTo>
                    <a:pt x="672" y="309"/>
                  </a:lnTo>
                  <a:lnTo>
                    <a:pt x="692" y="289"/>
                  </a:lnTo>
                  <a:lnTo>
                    <a:pt x="732" y="219"/>
                  </a:lnTo>
                  <a:lnTo>
                    <a:pt x="753" y="154"/>
                  </a:lnTo>
                  <a:lnTo>
                    <a:pt x="748" y="89"/>
                  </a:lnTo>
                  <a:lnTo>
                    <a:pt x="732" y="52"/>
                  </a:lnTo>
                  <a:lnTo>
                    <a:pt x="710" y="24"/>
                  </a:lnTo>
                  <a:lnTo>
                    <a:pt x="677" y="4"/>
                  </a:lnTo>
                  <a:lnTo>
                    <a:pt x="635" y="0"/>
                  </a:lnTo>
                  <a:lnTo>
                    <a:pt x="592" y="24"/>
                  </a:lnTo>
                  <a:lnTo>
                    <a:pt x="585" y="34"/>
                  </a:lnTo>
                  <a:lnTo>
                    <a:pt x="585" y="37"/>
                  </a:lnTo>
                  <a:lnTo>
                    <a:pt x="590" y="3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369" name="Group 177"/>
          <xdr:cNvGrpSpPr>
            <a:grpSpLocks/>
          </xdr:cNvGrpSpPr>
        </xdr:nvGrpSpPr>
        <xdr:grpSpPr bwMode="auto">
          <a:xfrm>
            <a:off x="370" y="11134"/>
            <a:ext cx="660" cy="373"/>
            <a:chOff x="370" y="11134"/>
            <a:chExt cx="660" cy="373"/>
          </a:xfrm>
        </xdr:grpSpPr>
        <xdr:sp macro="" textlink="">
          <xdr:nvSpPr>
            <xdr:cNvPr id="8371" name="Freeform 179"/>
            <xdr:cNvSpPr>
              <a:spLocks/>
            </xdr:cNvSpPr>
          </xdr:nvSpPr>
          <xdr:spPr bwMode="auto">
            <a:xfrm>
              <a:off x="370" y="11134"/>
              <a:ext cx="660" cy="373"/>
            </a:xfrm>
            <a:custGeom>
              <a:avLst/>
              <a:gdLst/>
              <a:ahLst/>
              <a:cxnLst>
                <a:cxn ang="0">
                  <a:pos x="635" y="37"/>
                </a:cxn>
                <a:cxn ang="0">
                  <a:pos x="635" y="97"/>
                </a:cxn>
                <a:cxn ang="0">
                  <a:pos x="635" y="79"/>
                </a:cxn>
                <a:cxn ang="0">
                  <a:pos x="640" y="54"/>
                </a:cxn>
                <a:cxn ang="0">
                  <a:pos x="660" y="0"/>
                </a:cxn>
                <a:cxn ang="0">
                  <a:pos x="635" y="37"/>
                </a:cxn>
              </a:cxnLst>
              <a:rect l="0" t="0" r="r" b="b"/>
              <a:pathLst>
                <a:path w="660" h="373">
                  <a:moveTo>
                    <a:pt x="635" y="37"/>
                  </a:moveTo>
                  <a:lnTo>
                    <a:pt x="635" y="97"/>
                  </a:lnTo>
                  <a:lnTo>
                    <a:pt x="635" y="79"/>
                  </a:lnTo>
                  <a:lnTo>
                    <a:pt x="640" y="54"/>
                  </a:lnTo>
                  <a:lnTo>
                    <a:pt x="660" y="0"/>
                  </a:lnTo>
                  <a:lnTo>
                    <a:pt x="635" y="3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70" name="Freeform 178"/>
            <xdr:cNvSpPr>
              <a:spLocks/>
            </xdr:cNvSpPr>
          </xdr:nvSpPr>
          <xdr:spPr bwMode="auto">
            <a:xfrm>
              <a:off x="370" y="11134"/>
              <a:ext cx="660" cy="373"/>
            </a:xfrm>
            <a:custGeom>
              <a:avLst/>
              <a:gdLst/>
              <a:ahLst/>
              <a:cxnLst>
                <a:cxn ang="0">
                  <a:pos x="47" y="42"/>
                </a:cxn>
                <a:cxn ang="0">
                  <a:pos x="102" y="-102"/>
                </a:cxn>
                <a:cxn ang="0">
                  <a:pos x="230" y="-215"/>
                </a:cxn>
                <a:cxn ang="0">
                  <a:pos x="387" y="-262"/>
                </a:cxn>
                <a:cxn ang="0">
                  <a:pos x="547" y="-230"/>
                </a:cxn>
                <a:cxn ang="0">
                  <a:pos x="665" y="-117"/>
                </a:cxn>
                <a:cxn ang="0">
                  <a:pos x="692" y="-27"/>
                </a:cxn>
                <a:cxn ang="0">
                  <a:pos x="660" y="0"/>
                </a:cxn>
                <a:cxn ang="0">
                  <a:pos x="655" y="17"/>
                </a:cxn>
                <a:cxn ang="0">
                  <a:pos x="692" y="-17"/>
                </a:cxn>
                <a:cxn ang="0">
                  <a:pos x="682" y="54"/>
                </a:cxn>
                <a:cxn ang="0">
                  <a:pos x="635" y="97"/>
                </a:cxn>
                <a:cxn ang="0">
                  <a:pos x="622" y="69"/>
                </a:cxn>
                <a:cxn ang="0">
                  <a:pos x="627" y="117"/>
                </a:cxn>
                <a:cxn ang="0">
                  <a:pos x="665" y="112"/>
                </a:cxn>
                <a:cxn ang="0">
                  <a:pos x="705" y="9"/>
                </a:cxn>
                <a:cxn ang="0">
                  <a:pos x="725" y="-37"/>
                </a:cxn>
                <a:cxn ang="0">
                  <a:pos x="730" y="-47"/>
                </a:cxn>
                <a:cxn ang="0">
                  <a:pos x="702" y="-52"/>
                </a:cxn>
                <a:cxn ang="0">
                  <a:pos x="627" y="-182"/>
                </a:cxn>
                <a:cxn ang="0">
                  <a:pos x="477" y="-267"/>
                </a:cxn>
                <a:cxn ang="0">
                  <a:pos x="310" y="-262"/>
                </a:cxn>
                <a:cxn ang="0">
                  <a:pos x="160" y="-182"/>
                </a:cxn>
                <a:cxn ang="0">
                  <a:pos x="47" y="-37"/>
                </a:cxn>
                <a:cxn ang="0">
                  <a:pos x="0" y="162"/>
                </a:cxn>
                <a:cxn ang="0">
                  <a:pos x="47" y="382"/>
                </a:cxn>
                <a:cxn ang="0">
                  <a:pos x="172" y="564"/>
                </a:cxn>
                <a:cxn ang="0">
                  <a:pos x="350" y="677"/>
                </a:cxn>
                <a:cxn ang="0">
                  <a:pos x="565" y="737"/>
                </a:cxn>
                <a:cxn ang="0">
                  <a:pos x="807" y="767"/>
                </a:cxn>
                <a:cxn ang="0">
                  <a:pos x="967" y="769"/>
                </a:cxn>
                <a:cxn ang="0">
                  <a:pos x="1022" y="762"/>
                </a:cxn>
                <a:cxn ang="0">
                  <a:pos x="1057" y="752"/>
                </a:cxn>
                <a:cxn ang="0">
                  <a:pos x="1070" y="737"/>
                </a:cxn>
                <a:cxn ang="0">
                  <a:pos x="1057" y="724"/>
                </a:cxn>
                <a:cxn ang="0">
                  <a:pos x="1022" y="714"/>
                </a:cxn>
                <a:cxn ang="0">
                  <a:pos x="962" y="709"/>
                </a:cxn>
                <a:cxn ang="0">
                  <a:pos x="645" y="697"/>
                </a:cxn>
                <a:cxn ang="0">
                  <a:pos x="382" y="634"/>
                </a:cxn>
                <a:cxn ang="0">
                  <a:pos x="215" y="542"/>
                </a:cxn>
                <a:cxn ang="0">
                  <a:pos x="97" y="397"/>
                </a:cxn>
                <a:cxn ang="0">
                  <a:pos x="42" y="224"/>
                </a:cxn>
              </a:cxnLst>
              <a:rect l="0" t="0" r="r" b="b"/>
              <a:pathLst>
                <a:path w="660" h="373">
                  <a:moveTo>
                    <a:pt x="37" y="129"/>
                  </a:moveTo>
                  <a:lnTo>
                    <a:pt x="47" y="42"/>
                  </a:lnTo>
                  <a:lnTo>
                    <a:pt x="70" y="-37"/>
                  </a:lnTo>
                  <a:lnTo>
                    <a:pt x="102" y="-102"/>
                  </a:lnTo>
                  <a:lnTo>
                    <a:pt x="160" y="-167"/>
                  </a:lnTo>
                  <a:lnTo>
                    <a:pt x="230" y="-215"/>
                  </a:lnTo>
                  <a:lnTo>
                    <a:pt x="310" y="-247"/>
                  </a:lnTo>
                  <a:lnTo>
                    <a:pt x="387" y="-262"/>
                  </a:lnTo>
                  <a:lnTo>
                    <a:pt x="467" y="-257"/>
                  </a:lnTo>
                  <a:lnTo>
                    <a:pt x="547" y="-230"/>
                  </a:lnTo>
                  <a:lnTo>
                    <a:pt x="612" y="-177"/>
                  </a:lnTo>
                  <a:lnTo>
                    <a:pt x="665" y="-117"/>
                  </a:lnTo>
                  <a:lnTo>
                    <a:pt x="687" y="-55"/>
                  </a:lnTo>
                  <a:lnTo>
                    <a:pt x="692" y="-27"/>
                  </a:lnTo>
                  <a:lnTo>
                    <a:pt x="687" y="-27"/>
                  </a:lnTo>
                  <a:lnTo>
                    <a:pt x="660" y="0"/>
                  </a:lnTo>
                  <a:lnTo>
                    <a:pt x="640" y="54"/>
                  </a:lnTo>
                  <a:lnTo>
                    <a:pt x="655" y="17"/>
                  </a:lnTo>
                  <a:lnTo>
                    <a:pt x="682" y="-15"/>
                  </a:lnTo>
                  <a:lnTo>
                    <a:pt x="692" y="-17"/>
                  </a:lnTo>
                  <a:lnTo>
                    <a:pt x="697" y="4"/>
                  </a:lnTo>
                  <a:lnTo>
                    <a:pt x="682" y="54"/>
                  </a:lnTo>
                  <a:lnTo>
                    <a:pt x="650" y="92"/>
                  </a:lnTo>
                  <a:lnTo>
                    <a:pt x="635" y="97"/>
                  </a:lnTo>
                  <a:lnTo>
                    <a:pt x="635" y="37"/>
                  </a:lnTo>
                  <a:lnTo>
                    <a:pt x="622" y="69"/>
                  </a:lnTo>
                  <a:lnTo>
                    <a:pt x="622" y="97"/>
                  </a:lnTo>
                  <a:lnTo>
                    <a:pt x="627" y="117"/>
                  </a:lnTo>
                  <a:lnTo>
                    <a:pt x="640" y="122"/>
                  </a:lnTo>
                  <a:lnTo>
                    <a:pt x="665" y="112"/>
                  </a:lnTo>
                  <a:lnTo>
                    <a:pt x="692" y="69"/>
                  </a:lnTo>
                  <a:lnTo>
                    <a:pt x="705" y="9"/>
                  </a:lnTo>
                  <a:lnTo>
                    <a:pt x="705" y="-27"/>
                  </a:lnTo>
                  <a:lnTo>
                    <a:pt x="725" y="-37"/>
                  </a:lnTo>
                  <a:lnTo>
                    <a:pt x="780" y="-52"/>
                  </a:lnTo>
                  <a:lnTo>
                    <a:pt x="730" y="-47"/>
                  </a:lnTo>
                  <a:lnTo>
                    <a:pt x="705" y="-32"/>
                  </a:lnTo>
                  <a:lnTo>
                    <a:pt x="702" y="-52"/>
                  </a:lnTo>
                  <a:lnTo>
                    <a:pt x="677" y="-122"/>
                  </a:lnTo>
                  <a:lnTo>
                    <a:pt x="627" y="-182"/>
                  </a:lnTo>
                  <a:lnTo>
                    <a:pt x="557" y="-237"/>
                  </a:lnTo>
                  <a:lnTo>
                    <a:pt x="477" y="-267"/>
                  </a:lnTo>
                  <a:lnTo>
                    <a:pt x="392" y="-275"/>
                  </a:lnTo>
                  <a:lnTo>
                    <a:pt x="310" y="-262"/>
                  </a:lnTo>
                  <a:lnTo>
                    <a:pt x="230" y="-230"/>
                  </a:lnTo>
                  <a:lnTo>
                    <a:pt x="160" y="-182"/>
                  </a:lnTo>
                  <a:lnTo>
                    <a:pt x="97" y="-117"/>
                  </a:lnTo>
                  <a:lnTo>
                    <a:pt x="47" y="-37"/>
                  </a:lnTo>
                  <a:lnTo>
                    <a:pt x="15" y="59"/>
                  </a:lnTo>
                  <a:lnTo>
                    <a:pt x="0" y="162"/>
                  </a:lnTo>
                  <a:lnTo>
                    <a:pt x="15" y="274"/>
                  </a:lnTo>
                  <a:lnTo>
                    <a:pt x="47" y="382"/>
                  </a:lnTo>
                  <a:lnTo>
                    <a:pt x="107" y="489"/>
                  </a:lnTo>
                  <a:lnTo>
                    <a:pt x="172" y="564"/>
                  </a:lnTo>
                  <a:lnTo>
                    <a:pt x="257" y="627"/>
                  </a:lnTo>
                  <a:lnTo>
                    <a:pt x="350" y="677"/>
                  </a:lnTo>
                  <a:lnTo>
                    <a:pt x="452" y="714"/>
                  </a:lnTo>
                  <a:lnTo>
                    <a:pt x="565" y="737"/>
                  </a:lnTo>
                  <a:lnTo>
                    <a:pt x="682" y="757"/>
                  </a:lnTo>
                  <a:lnTo>
                    <a:pt x="807" y="767"/>
                  </a:lnTo>
                  <a:lnTo>
                    <a:pt x="935" y="769"/>
                  </a:lnTo>
                  <a:lnTo>
                    <a:pt x="967" y="769"/>
                  </a:lnTo>
                  <a:lnTo>
                    <a:pt x="1000" y="767"/>
                  </a:lnTo>
                  <a:lnTo>
                    <a:pt x="1022" y="762"/>
                  </a:lnTo>
                  <a:lnTo>
                    <a:pt x="1042" y="757"/>
                  </a:lnTo>
                  <a:lnTo>
                    <a:pt x="1057" y="752"/>
                  </a:lnTo>
                  <a:lnTo>
                    <a:pt x="1065" y="747"/>
                  </a:lnTo>
                  <a:lnTo>
                    <a:pt x="1070" y="737"/>
                  </a:lnTo>
                  <a:lnTo>
                    <a:pt x="1065" y="734"/>
                  </a:lnTo>
                  <a:lnTo>
                    <a:pt x="1057" y="724"/>
                  </a:lnTo>
                  <a:lnTo>
                    <a:pt x="1042" y="719"/>
                  </a:lnTo>
                  <a:lnTo>
                    <a:pt x="1022" y="714"/>
                  </a:lnTo>
                  <a:lnTo>
                    <a:pt x="995" y="714"/>
                  </a:lnTo>
                  <a:lnTo>
                    <a:pt x="962" y="709"/>
                  </a:lnTo>
                  <a:lnTo>
                    <a:pt x="807" y="709"/>
                  </a:lnTo>
                  <a:lnTo>
                    <a:pt x="645" y="697"/>
                  </a:lnTo>
                  <a:lnTo>
                    <a:pt x="482" y="667"/>
                  </a:lnTo>
                  <a:lnTo>
                    <a:pt x="382" y="634"/>
                  </a:lnTo>
                  <a:lnTo>
                    <a:pt x="295" y="592"/>
                  </a:lnTo>
                  <a:lnTo>
                    <a:pt x="215" y="542"/>
                  </a:lnTo>
                  <a:lnTo>
                    <a:pt x="150" y="477"/>
                  </a:lnTo>
                  <a:lnTo>
                    <a:pt x="97" y="397"/>
                  </a:lnTo>
                  <a:lnTo>
                    <a:pt x="60" y="312"/>
                  </a:lnTo>
                  <a:lnTo>
                    <a:pt x="42" y="224"/>
                  </a:lnTo>
                  <a:lnTo>
                    <a:pt x="37" y="129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68" name="Freeform 176"/>
          <xdr:cNvSpPr>
            <a:spLocks/>
          </xdr:cNvSpPr>
        </xdr:nvSpPr>
        <xdr:spPr bwMode="auto">
          <a:xfrm>
            <a:off x="398" y="10723"/>
            <a:ext cx="967" cy="875"/>
          </a:xfrm>
          <a:custGeom>
            <a:avLst/>
            <a:gdLst/>
            <a:ahLst/>
            <a:cxnLst>
              <a:cxn ang="0">
                <a:pos x="369" y="810"/>
              </a:cxn>
              <a:cxn ang="0">
                <a:pos x="454" y="860"/>
              </a:cxn>
              <a:cxn ang="0">
                <a:pos x="574" y="875"/>
              </a:cxn>
              <a:cxn ang="0">
                <a:pos x="724" y="837"/>
              </a:cxn>
              <a:cxn ang="0">
                <a:pos x="859" y="740"/>
              </a:cxn>
              <a:cxn ang="0">
                <a:pos x="949" y="585"/>
              </a:cxn>
              <a:cxn ang="0">
                <a:pos x="966" y="380"/>
              </a:cxn>
              <a:cxn ang="0">
                <a:pos x="884" y="197"/>
              </a:cxn>
              <a:cxn ang="0">
                <a:pos x="739" y="62"/>
              </a:cxn>
              <a:cxn ang="0">
                <a:pos x="557" y="0"/>
              </a:cxn>
              <a:cxn ang="0">
                <a:pos x="364" y="15"/>
              </a:cxn>
              <a:cxn ang="0">
                <a:pos x="214" y="80"/>
              </a:cxn>
              <a:cxn ang="0">
                <a:pos x="102" y="180"/>
              </a:cxn>
              <a:cxn ang="0">
                <a:pos x="32" y="282"/>
              </a:cxn>
              <a:cxn ang="0">
                <a:pos x="0" y="370"/>
              </a:cxn>
              <a:cxn ang="0">
                <a:pos x="102" y="212"/>
              </a:cxn>
              <a:cxn ang="0">
                <a:pos x="252" y="100"/>
              </a:cxn>
              <a:cxn ang="0">
                <a:pos x="429" y="52"/>
              </a:cxn>
              <a:cxn ang="0">
                <a:pos x="617" y="75"/>
              </a:cxn>
              <a:cxn ang="0">
                <a:pos x="784" y="180"/>
              </a:cxn>
              <a:cxn ang="0">
                <a:pos x="887" y="337"/>
              </a:cxn>
              <a:cxn ang="0">
                <a:pos x="912" y="510"/>
              </a:cxn>
              <a:cxn ang="0">
                <a:pos x="864" y="670"/>
              </a:cxn>
              <a:cxn ang="0">
                <a:pos x="752" y="795"/>
              </a:cxn>
              <a:cxn ang="0">
                <a:pos x="599" y="860"/>
              </a:cxn>
              <a:cxn ang="0">
                <a:pos x="439" y="847"/>
              </a:cxn>
              <a:cxn ang="0">
                <a:pos x="354" y="777"/>
              </a:cxn>
              <a:cxn ang="0">
                <a:pos x="359" y="687"/>
              </a:cxn>
              <a:cxn ang="0">
                <a:pos x="407" y="660"/>
              </a:cxn>
              <a:cxn ang="0">
                <a:pos x="454" y="670"/>
              </a:cxn>
              <a:cxn ang="0">
                <a:pos x="462" y="712"/>
              </a:cxn>
              <a:cxn ang="0">
                <a:pos x="439" y="717"/>
              </a:cxn>
              <a:cxn ang="0">
                <a:pos x="429" y="735"/>
              </a:cxn>
              <a:cxn ang="0">
                <a:pos x="439" y="750"/>
              </a:cxn>
              <a:cxn ang="0">
                <a:pos x="467" y="752"/>
              </a:cxn>
              <a:cxn ang="0">
                <a:pos x="487" y="735"/>
              </a:cxn>
              <a:cxn ang="0">
                <a:pos x="482" y="670"/>
              </a:cxn>
              <a:cxn ang="0">
                <a:pos x="434" y="637"/>
              </a:cxn>
              <a:cxn ang="0">
                <a:pos x="374" y="655"/>
              </a:cxn>
              <a:cxn ang="0">
                <a:pos x="342" y="717"/>
              </a:cxn>
            </a:cxnLst>
            <a:rect l="0" t="0" r="r" b="b"/>
            <a:pathLst>
              <a:path w="967" h="875">
                <a:moveTo>
                  <a:pt x="347" y="767"/>
                </a:moveTo>
                <a:lnTo>
                  <a:pt x="369" y="810"/>
                </a:lnTo>
                <a:lnTo>
                  <a:pt x="407" y="842"/>
                </a:lnTo>
                <a:lnTo>
                  <a:pt x="454" y="860"/>
                </a:lnTo>
                <a:lnTo>
                  <a:pt x="504" y="875"/>
                </a:lnTo>
                <a:lnTo>
                  <a:pt x="574" y="875"/>
                </a:lnTo>
                <a:lnTo>
                  <a:pt x="654" y="865"/>
                </a:lnTo>
                <a:lnTo>
                  <a:pt x="724" y="837"/>
                </a:lnTo>
                <a:lnTo>
                  <a:pt x="794" y="795"/>
                </a:lnTo>
                <a:lnTo>
                  <a:pt x="859" y="740"/>
                </a:lnTo>
                <a:lnTo>
                  <a:pt x="912" y="670"/>
                </a:lnTo>
                <a:lnTo>
                  <a:pt x="949" y="585"/>
                </a:lnTo>
                <a:lnTo>
                  <a:pt x="966" y="487"/>
                </a:lnTo>
                <a:lnTo>
                  <a:pt x="966" y="380"/>
                </a:lnTo>
                <a:lnTo>
                  <a:pt x="934" y="287"/>
                </a:lnTo>
                <a:lnTo>
                  <a:pt x="884" y="197"/>
                </a:lnTo>
                <a:lnTo>
                  <a:pt x="817" y="122"/>
                </a:lnTo>
                <a:lnTo>
                  <a:pt x="739" y="62"/>
                </a:lnTo>
                <a:lnTo>
                  <a:pt x="649" y="25"/>
                </a:lnTo>
                <a:lnTo>
                  <a:pt x="557" y="0"/>
                </a:lnTo>
                <a:lnTo>
                  <a:pt x="454" y="0"/>
                </a:lnTo>
                <a:lnTo>
                  <a:pt x="364" y="15"/>
                </a:lnTo>
                <a:lnTo>
                  <a:pt x="284" y="42"/>
                </a:lnTo>
                <a:lnTo>
                  <a:pt x="214" y="80"/>
                </a:lnTo>
                <a:lnTo>
                  <a:pt x="154" y="127"/>
                </a:lnTo>
                <a:lnTo>
                  <a:pt x="102" y="180"/>
                </a:lnTo>
                <a:lnTo>
                  <a:pt x="67" y="230"/>
                </a:lnTo>
                <a:lnTo>
                  <a:pt x="32" y="282"/>
                </a:lnTo>
                <a:lnTo>
                  <a:pt x="10" y="327"/>
                </a:lnTo>
                <a:lnTo>
                  <a:pt x="0" y="370"/>
                </a:lnTo>
                <a:lnTo>
                  <a:pt x="42" y="287"/>
                </a:lnTo>
                <a:lnTo>
                  <a:pt x="102" y="212"/>
                </a:lnTo>
                <a:lnTo>
                  <a:pt x="174" y="150"/>
                </a:lnTo>
                <a:lnTo>
                  <a:pt x="252" y="100"/>
                </a:lnTo>
                <a:lnTo>
                  <a:pt x="342" y="67"/>
                </a:lnTo>
                <a:lnTo>
                  <a:pt x="429" y="52"/>
                </a:lnTo>
                <a:lnTo>
                  <a:pt x="524" y="52"/>
                </a:lnTo>
                <a:lnTo>
                  <a:pt x="617" y="75"/>
                </a:lnTo>
                <a:lnTo>
                  <a:pt x="702" y="112"/>
                </a:lnTo>
                <a:lnTo>
                  <a:pt x="784" y="180"/>
                </a:lnTo>
                <a:lnTo>
                  <a:pt x="847" y="252"/>
                </a:lnTo>
                <a:lnTo>
                  <a:pt x="887" y="337"/>
                </a:lnTo>
                <a:lnTo>
                  <a:pt x="912" y="422"/>
                </a:lnTo>
                <a:lnTo>
                  <a:pt x="912" y="510"/>
                </a:lnTo>
                <a:lnTo>
                  <a:pt x="897" y="595"/>
                </a:lnTo>
                <a:lnTo>
                  <a:pt x="864" y="670"/>
                </a:lnTo>
                <a:lnTo>
                  <a:pt x="814" y="740"/>
                </a:lnTo>
                <a:lnTo>
                  <a:pt x="752" y="795"/>
                </a:lnTo>
                <a:lnTo>
                  <a:pt x="682" y="837"/>
                </a:lnTo>
                <a:lnTo>
                  <a:pt x="599" y="860"/>
                </a:lnTo>
                <a:lnTo>
                  <a:pt x="504" y="865"/>
                </a:lnTo>
                <a:lnTo>
                  <a:pt x="439" y="847"/>
                </a:lnTo>
                <a:lnTo>
                  <a:pt x="387" y="820"/>
                </a:lnTo>
                <a:lnTo>
                  <a:pt x="354" y="777"/>
                </a:lnTo>
                <a:lnTo>
                  <a:pt x="352" y="720"/>
                </a:lnTo>
                <a:lnTo>
                  <a:pt x="359" y="687"/>
                </a:lnTo>
                <a:lnTo>
                  <a:pt x="384" y="670"/>
                </a:lnTo>
                <a:lnTo>
                  <a:pt x="407" y="660"/>
                </a:lnTo>
                <a:lnTo>
                  <a:pt x="429" y="660"/>
                </a:lnTo>
                <a:lnTo>
                  <a:pt x="454" y="670"/>
                </a:lnTo>
                <a:lnTo>
                  <a:pt x="462" y="687"/>
                </a:lnTo>
                <a:lnTo>
                  <a:pt x="462" y="712"/>
                </a:lnTo>
                <a:lnTo>
                  <a:pt x="444" y="712"/>
                </a:lnTo>
                <a:lnTo>
                  <a:pt x="439" y="717"/>
                </a:lnTo>
                <a:lnTo>
                  <a:pt x="429" y="725"/>
                </a:lnTo>
                <a:lnTo>
                  <a:pt x="429" y="735"/>
                </a:lnTo>
                <a:lnTo>
                  <a:pt x="434" y="745"/>
                </a:lnTo>
                <a:lnTo>
                  <a:pt x="439" y="750"/>
                </a:lnTo>
                <a:lnTo>
                  <a:pt x="449" y="752"/>
                </a:lnTo>
                <a:lnTo>
                  <a:pt x="467" y="752"/>
                </a:lnTo>
                <a:lnTo>
                  <a:pt x="477" y="745"/>
                </a:lnTo>
                <a:lnTo>
                  <a:pt x="487" y="735"/>
                </a:lnTo>
                <a:lnTo>
                  <a:pt x="492" y="697"/>
                </a:lnTo>
                <a:lnTo>
                  <a:pt x="482" y="670"/>
                </a:lnTo>
                <a:lnTo>
                  <a:pt x="462" y="645"/>
                </a:lnTo>
                <a:lnTo>
                  <a:pt x="434" y="637"/>
                </a:lnTo>
                <a:lnTo>
                  <a:pt x="402" y="637"/>
                </a:lnTo>
                <a:lnTo>
                  <a:pt x="374" y="655"/>
                </a:lnTo>
                <a:lnTo>
                  <a:pt x="352" y="682"/>
                </a:lnTo>
                <a:lnTo>
                  <a:pt x="342" y="717"/>
                </a:lnTo>
                <a:lnTo>
                  <a:pt x="347" y="767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8367" name="Freeform 175"/>
          <xdr:cNvSpPr>
            <a:spLocks/>
          </xdr:cNvSpPr>
        </xdr:nvSpPr>
        <xdr:spPr bwMode="auto">
          <a:xfrm>
            <a:off x="683" y="10963"/>
            <a:ext cx="1365" cy="720"/>
          </a:xfrm>
          <a:custGeom>
            <a:avLst/>
            <a:gdLst/>
            <a:ahLst/>
            <a:cxnLst>
              <a:cxn ang="0">
                <a:pos x="1210" y="232"/>
              </a:cxn>
              <a:cxn ang="0">
                <a:pos x="1197" y="225"/>
              </a:cxn>
              <a:cxn ang="0">
                <a:pos x="1182" y="220"/>
              </a:cxn>
              <a:cxn ang="0">
                <a:pos x="1175" y="247"/>
              </a:cxn>
              <a:cxn ang="0">
                <a:pos x="1192" y="262"/>
              </a:cxn>
              <a:cxn ang="0">
                <a:pos x="1230" y="257"/>
              </a:cxn>
              <a:cxn ang="0">
                <a:pos x="1245" y="232"/>
              </a:cxn>
              <a:cxn ang="0">
                <a:pos x="1235" y="172"/>
              </a:cxn>
              <a:cxn ang="0">
                <a:pos x="1182" y="140"/>
              </a:cxn>
              <a:cxn ang="0">
                <a:pos x="1117" y="157"/>
              </a:cxn>
              <a:cxn ang="0">
                <a:pos x="1080" y="242"/>
              </a:cxn>
              <a:cxn ang="0">
                <a:pos x="1122" y="327"/>
              </a:cxn>
              <a:cxn ang="0">
                <a:pos x="1215" y="365"/>
              </a:cxn>
              <a:cxn ang="0">
                <a:pos x="1317" y="317"/>
              </a:cxn>
              <a:cxn ang="0">
                <a:pos x="1360" y="242"/>
              </a:cxn>
              <a:cxn ang="0">
                <a:pos x="1355" y="145"/>
              </a:cxn>
              <a:cxn ang="0">
                <a:pos x="1295" y="55"/>
              </a:cxn>
              <a:cxn ang="0">
                <a:pos x="1150" y="0"/>
              </a:cxn>
              <a:cxn ang="0">
                <a:pos x="987" y="55"/>
              </a:cxn>
              <a:cxn ang="0">
                <a:pos x="832" y="242"/>
              </a:cxn>
              <a:cxn ang="0">
                <a:pos x="720" y="457"/>
              </a:cxn>
              <a:cxn ang="0">
                <a:pos x="602" y="587"/>
              </a:cxn>
              <a:cxn ang="0">
                <a:pos x="445" y="677"/>
              </a:cxn>
              <a:cxn ang="0">
                <a:pos x="247" y="705"/>
              </a:cxn>
              <a:cxn ang="0">
                <a:pos x="0" y="667"/>
              </a:cxn>
              <a:cxn ang="0">
                <a:pos x="267" y="720"/>
              </a:cxn>
              <a:cxn ang="0">
                <a:pos x="487" y="687"/>
              </a:cxn>
              <a:cxn ang="0">
                <a:pos x="665" y="565"/>
              </a:cxn>
              <a:cxn ang="0">
                <a:pos x="795" y="372"/>
              </a:cxn>
              <a:cxn ang="0">
                <a:pos x="902" y="190"/>
              </a:cxn>
              <a:cxn ang="0">
                <a:pos x="1032" y="65"/>
              </a:cxn>
              <a:cxn ang="0">
                <a:pos x="1175" y="22"/>
              </a:cxn>
              <a:cxn ang="0">
                <a:pos x="1295" y="75"/>
              </a:cxn>
              <a:cxn ang="0">
                <a:pos x="1352" y="172"/>
              </a:cxn>
              <a:cxn ang="0">
                <a:pos x="1342" y="275"/>
              </a:cxn>
              <a:cxn ang="0">
                <a:pos x="1277" y="335"/>
              </a:cxn>
              <a:cxn ang="0">
                <a:pos x="1192" y="335"/>
              </a:cxn>
              <a:cxn ang="0">
                <a:pos x="1132" y="285"/>
              </a:cxn>
              <a:cxn ang="0">
                <a:pos x="1127" y="210"/>
              </a:cxn>
              <a:cxn ang="0">
                <a:pos x="1175" y="167"/>
              </a:cxn>
              <a:cxn ang="0">
                <a:pos x="1225" y="187"/>
              </a:cxn>
              <a:cxn ang="0">
                <a:pos x="1235" y="227"/>
              </a:cxn>
              <a:cxn ang="0">
                <a:pos x="1225" y="237"/>
              </a:cxn>
            </a:cxnLst>
            <a:rect l="0" t="0" r="r" b="b"/>
            <a:pathLst>
              <a:path w="1365" h="720">
                <a:moveTo>
                  <a:pt x="1215" y="237"/>
                </a:moveTo>
                <a:lnTo>
                  <a:pt x="1210" y="232"/>
                </a:lnTo>
                <a:lnTo>
                  <a:pt x="1202" y="227"/>
                </a:lnTo>
                <a:lnTo>
                  <a:pt x="1197" y="225"/>
                </a:lnTo>
                <a:lnTo>
                  <a:pt x="1187" y="225"/>
                </a:lnTo>
                <a:lnTo>
                  <a:pt x="1182" y="220"/>
                </a:lnTo>
                <a:lnTo>
                  <a:pt x="1175" y="220"/>
                </a:lnTo>
                <a:lnTo>
                  <a:pt x="1175" y="247"/>
                </a:lnTo>
                <a:lnTo>
                  <a:pt x="1182" y="257"/>
                </a:lnTo>
                <a:lnTo>
                  <a:pt x="1192" y="262"/>
                </a:lnTo>
                <a:lnTo>
                  <a:pt x="1215" y="262"/>
                </a:lnTo>
                <a:lnTo>
                  <a:pt x="1230" y="257"/>
                </a:lnTo>
                <a:lnTo>
                  <a:pt x="1240" y="247"/>
                </a:lnTo>
                <a:lnTo>
                  <a:pt x="1245" y="232"/>
                </a:lnTo>
                <a:lnTo>
                  <a:pt x="1247" y="200"/>
                </a:lnTo>
                <a:lnTo>
                  <a:pt x="1235" y="172"/>
                </a:lnTo>
                <a:lnTo>
                  <a:pt x="1215" y="150"/>
                </a:lnTo>
                <a:lnTo>
                  <a:pt x="1182" y="140"/>
                </a:lnTo>
                <a:lnTo>
                  <a:pt x="1150" y="140"/>
                </a:lnTo>
                <a:lnTo>
                  <a:pt x="1117" y="157"/>
                </a:lnTo>
                <a:lnTo>
                  <a:pt x="1090" y="195"/>
                </a:lnTo>
                <a:lnTo>
                  <a:pt x="1080" y="242"/>
                </a:lnTo>
                <a:lnTo>
                  <a:pt x="1090" y="290"/>
                </a:lnTo>
                <a:lnTo>
                  <a:pt x="1122" y="327"/>
                </a:lnTo>
                <a:lnTo>
                  <a:pt x="1165" y="355"/>
                </a:lnTo>
                <a:lnTo>
                  <a:pt x="1215" y="365"/>
                </a:lnTo>
                <a:lnTo>
                  <a:pt x="1267" y="350"/>
                </a:lnTo>
                <a:lnTo>
                  <a:pt x="1317" y="317"/>
                </a:lnTo>
                <a:lnTo>
                  <a:pt x="1347" y="285"/>
                </a:lnTo>
                <a:lnTo>
                  <a:pt x="1360" y="242"/>
                </a:lnTo>
                <a:lnTo>
                  <a:pt x="1365" y="190"/>
                </a:lnTo>
                <a:lnTo>
                  <a:pt x="1355" y="145"/>
                </a:lnTo>
                <a:lnTo>
                  <a:pt x="1332" y="97"/>
                </a:lnTo>
                <a:lnTo>
                  <a:pt x="1295" y="55"/>
                </a:lnTo>
                <a:lnTo>
                  <a:pt x="1240" y="22"/>
                </a:lnTo>
                <a:lnTo>
                  <a:pt x="1150" y="0"/>
                </a:lnTo>
                <a:lnTo>
                  <a:pt x="1070" y="12"/>
                </a:lnTo>
                <a:lnTo>
                  <a:pt x="987" y="55"/>
                </a:lnTo>
                <a:lnTo>
                  <a:pt x="907" y="135"/>
                </a:lnTo>
                <a:lnTo>
                  <a:pt x="832" y="242"/>
                </a:lnTo>
                <a:lnTo>
                  <a:pt x="762" y="377"/>
                </a:lnTo>
                <a:lnTo>
                  <a:pt x="720" y="457"/>
                </a:lnTo>
                <a:lnTo>
                  <a:pt x="665" y="527"/>
                </a:lnTo>
                <a:lnTo>
                  <a:pt x="602" y="587"/>
                </a:lnTo>
                <a:lnTo>
                  <a:pt x="530" y="640"/>
                </a:lnTo>
                <a:lnTo>
                  <a:pt x="445" y="677"/>
                </a:lnTo>
                <a:lnTo>
                  <a:pt x="352" y="700"/>
                </a:lnTo>
                <a:lnTo>
                  <a:pt x="247" y="705"/>
                </a:lnTo>
                <a:lnTo>
                  <a:pt x="132" y="695"/>
                </a:lnTo>
                <a:lnTo>
                  <a:pt x="0" y="667"/>
                </a:lnTo>
                <a:lnTo>
                  <a:pt x="140" y="705"/>
                </a:lnTo>
                <a:lnTo>
                  <a:pt x="267" y="720"/>
                </a:lnTo>
                <a:lnTo>
                  <a:pt x="385" y="715"/>
                </a:lnTo>
                <a:lnTo>
                  <a:pt x="487" y="687"/>
                </a:lnTo>
                <a:lnTo>
                  <a:pt x="580" y="635"/>
                </a:lnTo>
                <a:lnTo>
                  <a:pt x="665" y="565"/>
                </a:lnTo>
                <a:lnTo>
                  <a:pt x="735" y="477"/>
                </a:lnTo>
                <a:lnTo>
                  <a:pt x="795" y="372"/>
                </a:lnTo>
                <a:lnTo>
                  <a:pt x="847" y="275"/>
                </a:lnTo>
                <a:lnTo>
                  <a:pt x="902" y="190"/>
                </a:lnTo>
                <a:lnTo>
                  <a:pt x="967" y="117"/>
                </a:lnTo>
                <a:lnTo>
                  <a:pt x="1032" y="65"/>
                </a:lnTo>
                <a:lnTo>
                  <a:pt x="1100" y="32"/>
                </a:lnTo>
                <a:lnTo>
                  <a:pt x="1175" y="22"/>
                </a:lnTo>
                <a:lnTo>
                  <a:pt x="1245" y="37"/>
                </a:lnTo>
                <a:lnTo>
                  <a:pt x="1295" y="75"/>
                </a:lnTo>
                <a:lnTo>
                  <a:pt x="1332" y="120"/>
                </a:lnTo>
                <a:lnTo>
                  <a:pt x="1352" y="172"/>
                </a:lnTo>
                <a:lnTo>
                  <a:pt x="1352" y="225"/>
                </a:lnTo>
                <a:lnTo>
                  <a:pt x="1342" y="275"/>
                </a:lnTo>
                <a:lnTo>
                  <a:pt x="1315" y="312"/>
                </a:lnTo>
                <a:lnTo>
                  <a:pt x="1277" y="335"/>
                </a:lnTo>
                <a:lnTo>
                  <a:pt x="1235" y="345"/>
                </a:lnTo>
                <a:lnTo>
                  <a:pt x="1192" y="335"/>
                </a:lnTo>
                <a:lnTo>
                  <a:pt x="1155" y="317"/>
                </a:lnTo>
                <a:lnTo>
                  <a:pt x="1132" y="285"/>
                </a:lnTo>
                <a:lnTo>
                  <a:pt x="1117" y="247"/>
                </a:lnTo>
                <a:lnTo>
                  <a:pt x="1127" y="210"/>
                </a:lnTo>
                <a:lnTo>
                  <a:pt x="1145" y="177"/>
                </a:lnTo>
                <a:lnTo>
                  <a:pt x="1175" y="167"/>
                </a:lnTo>
                <a:lnTo>
                  <a:pt x="1207" y="172"/>
                </a:lnTo>
                <a:lnTo>
                  <a:pt x="1225" y="187"/>
                </a:lnTo>
                <a:lnTo>
                  <a:pt x="1235" y="215"/>
                </a:lnTo>
                <a:lnTo>
                  <a:pt x="1235" y="227"/>
                </a:lnTo>
                <a:lnTo>
                  <a:pt x="1230" y="232"/>
                </a:lnTo>
                <a:lnTo>
                  <a:pt x="1225" y="237"/>
                </a:lnTo>
                <a:lnTo>
                  <a:pt x="1215" y="237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364" name="Group 172"/>
          <xdr:cNvGrpSpPr>
            <a:grpSpLocks/>
          </xdr:cNvGrpSpPr>
        </xdr:nvGrpSpPr>
        <xdr:grpSpPr bwMode="auto">
          <a:xfrm>
            <a:off x="778" y="11565"/>
            <a:ext cx="827" cy="382"/>
            <a:chOff x="778" y="11565"/>
            <a:chExt cx="827" cy="382"/>
          </a:xfrm>
        </xdr:grpSpPr>
        <xdr:sp macro="" textlink="">
          <xdr:nvSpPr>
            <xdr:cNvPr id="8366" name="Freeform 174"/>
            <xdr:cNvSpPr>
              <a:spLocks/>
            </xdr:cNvSpPr>
          </xdr:nvSpPr>
          <xdr:spPr bwMode="auto">
            <a:xfrm>
              <a:off x="778" y="11565"/>
              <a:ext cx="827" cy="382"/>
            </a:xfrm>
            <a:custGeom>
              <a:avLst/>
              <a:gdLst/>
              <a:ahLst/>
              <a:cxnLst>
                <a:cxn ang="0">
                  <a:pos x="575" y="284"/>
                </a:cxn>
                <a:cxn ang="0">
                  <a:pos x="597" y="332"/>
                </a:cxn>
                <a:cxn ang="0">
                  <a:pos x="640" y="364"/>
                </a:cxn>
                <a:cxn ang="0">
                  <a:pos x="690" y="382"/>
                </a:cxn>
                <a:cxn ang="0">
                  <a:pos x="742" y="382"/>
                </a:cxn>
                <a:cxn ang="0">
                  <a:pos x="785" y="364"/>
                </a:cxn>
                <a:cxn ang="0">
                  <a:pos x="827" y="337"/>
                </a:cxn>
                <a:cxn ang="0">
                  <a:pos x="785" y="359"/>
                </a:cxn>
                <a:cxn ang="0">
                  <a:pos x="732" y="369"/>
                </a:cxn>
                <a:cxn ang="0">
                  <a:pos x="682" y="364"/>
                </a:cxn>
                <a:cxn ang="0">
                  <a:pos x="635" y="339"/>
                </a:cxn>
                <a:cxn ang="0">
                  <a:pos x="602" y="304"/>
                </a:cxn>
                <a:cxn ang="0">
                  <a:pos x="587" y="267"/>
                </a:cxn>
                <a:cxn ang="0">
                  <a:pos x="587" y="219"/>
                </a:cxn>
                <a:cxn ang="0">
                  <a:pos x="602" y="182"/>
                </a:cxn>
                <a:cxn ang="0">
                  <a:pos x="635" y="149"/>
                </a:cxn>
                <a:cxn ang="0">
                  <a:pos x="682" y="134"/>
                </a:cxn>
                <a:cxn ang="0">
                  <a:pos x="722" y="134"/>
                </a:cxn>
                <a:cxn ang="0">
                  <a:pos x="752" y="154"/>
                </a:cxn>
                <a:cxn ang="0">
                  <a:pos x="770" y="177"/>
                </a:cxn>
                <a:cxn ang="0">
                  <a:pos x="780" y="209"/>
                </a:cxn>
                <a:cxn ang="0">
                  <a:pos x="770" y="232"/>
                </a:cxn>
                <a:cxn ang="0">
                  <a:pos x="742" y="257"/>
                </a:cxn>
                <a:cxn ang="0">
                  <a:pos x="727" y="262"/>
                </a:cxn>
                <a:cxn ang="0">
                  <a:pos x="715" y="262"/>
                </a:cxn>
                <a:cxn ang="0">
                  <a:pos x="700" y="257"/>
                </a:cxn>
                <a:cxn ang="0">
                  <a:pos x="687" y="247"/>
                </a:cxn>
                <a:cxn ang="0">
                  <a:pos x="682" y="232"/>
                </a:cxn>
                <a:cxn ang="0">
                  <a:pos x="682" y="219"/>
                </a:cxn>
                <a:cxn ang="0">
                  <a:pos x="687" y="199"/>
                </a:cxn>
                <a:cxn ang="0">
                  <a:pos x="695" y="197"/>
                </a:cxn>
                <a:cxn ang="0">
                  <a:pos x="710" y="197"/>
                </a:cxn>
                <a:cxn ang="0">
                  <a:pos x="715" y="199"/>
                </a:cxn>
                <a:cxn ang="0">
                  <a:pos x="727" y="204"/>
                </a:cxn>
                <a:cxn ang="0">
                  <a:pos x="732" y="204"/>
                </a:cxn>
                <a:cxn ang="0">
                  <a:pos x="742" y="199"/>
                </a:cxn>
                <a:cxn ang="0">
                  <a:pos x="742" y="187"/>
                </a:cxn>
                <a:cxn ang="0">
                  <a:pos x="737" y="182"/>
                </a:cxn>
                <a:cxn ang="0">
                  <a:pos x="727" y="177"/>
                </a:cxn>
                <a:cxn ang="0">
                  <a:pos x="700" y="182"/>
                </a:cxn>
                <a:cxn ang="0">
                  <a:pos x="677" y="197"/>
                </a:cxn>
                <a:cxn ang="0">
                  <a:pos x="672" y="214"/>
                </a:cxn>
                <a:cxn ang="0">
                  <a:pos x="672" y="237"/>
                </a:cxn>
                <a:cxn ang="0">
                  <a:pos x="682" y="262"/>
                </a:cxn>
                <a:cxn ang="0">
                  <a:pos x="705" y="269"/>
                </a:cxn>
                <a:cxn ang="0">
                  <a:pos x="737" y="269"/>
                </a:cxn>
                <a:cxn ang="0">
                  <a:pos x="765" y="257"/>
                </a:cxn>
                <a:cxn ang="0">
                  <a:pos x="785" y="229"/>
                </a:cxn>
                <a:cxn ang="0">
                  <a:pos x="785" y="199"/>
                </a:cxn>
                <a:cxn ang="0">
                  <a:pos x="770" y="167"/>
                </a:cxn>
                <a:cxn ang="0">
                  <a:pos x="747" y="144"/>
                </a:cxn>
                <a:cxn ang="0">
                  <a:pos x="710" y="129"/>
                </a:cxn>
                <a:cxn ang="0">
                  <a:pos x="657" y="134"/>
                </a:cxn>
                <a:cxn ang="0">
                  <a:pos x="612" y="159"/>
                </a:cxn>
                <a:cxn ang="0">
                  <a:pos x="582" y="197"/>
                </a:cxn>
                <a:cxn ang="0">
                  <a:pos x="570" y="237"/>
                </a:cxn>
                <a:cxn ang="0">
                  <a:pos x="575" y="284"/>
                </a:cxn>
              </a:cxnLst>
              <a:rect l="0" t="0" r="r" b="b"/>
              <a:pathLst>
                <a:path w="827" h="382">
                  <a:moveTo>
                    <a:pt x="575" y="284"/>
                  </a:moveTo>
                  <a:lnTo>
                    <a:pt x="597" y="332"/>
                  </a:lnTo>
                  <a:lnTo>
                    <a:pt x="640" y="364"/>
                  </a:lnTo>
                  <a:lnTo>
                    <a:pt x="690" y="382"/>
                  </a:lnTo>
                  <a:lnTo>
                    <a:pt x="742" y="382"/>
                  </a:lnTo>
                  <a:lnTo>
                    <a:pt x="785" y="364"/>
                  </a:lnTo>
                  <a:lnTo>
                    <a:pt x="827" y="337"/>
                  </a:lnTo>
                  <a:lnTo>
                    <a:pt x="785" y="359"/>
                  </a:lnTo>
                  <a:lnTo>
                    <a:pt x="732" y="369"/>
                  </a:lnTo>
                  <a:lnTo>
                    <a:pt x="682" y="364"/>
                  </a:lnTo>
                  <a:lnTo>
                    <a:pt x="635" y="339"/>
                  </a:lnTo>
                  <a:lnTo>
                    <a:pt x="602" y="304"/>
                  </a:lnTo>
                  <a:lnTo>
                    <a:pt x="587" y="267"/>
                  </a:lnTo>
                  <a:lnTo>
                    <a:pt x="587" y="219"/>
                  </a:lnTo>
                  <a:lnTo>
                    <a:pt x="602" y="182"/>
                  </a:lnTo>
                  <a:lnTo>
                    <a:pt x="635" y="149"/>
                  </a:lnTo>
                  <a:lnTo>
                    <a:pt x="682" y="134"/>
                  </a:lnTo>
                  <a:lnTo>
                    <a:pt x="722" y="134"/>
                  </a:lnTo>
                  <a:lnTo>
                    <a:pt x="752" y="154"/>
                  </a:lnTo>
                  <a:lnTo>
                    <a:pt x="770" y="177"/>
                  </a:lnTo>
                  <a:lnTo>
                    <a:pt x="780" y="209"/>
                  </a:lnTo>
                  <a:lnTo>
                    <a:pt x="770" y="232"/>
                  </a:lnTo>
                  <a:lnTo>
                    <a:pt x="742" y="257"/>
                  </a:lnTo>
                  <a:lnTo>
                    <a:pt x="727" y="262"/>
                  </a:lnTo>
                  <a:lnTo>
                    <a:pt x="715" y="262"/>
                  </a:lnTo>
                  <a:lnTo>
                    <a:pt x="700" y="257"/>
                  </a:lnTo>
                  <a:lnTo>
                    <a:pt x="687" y="247"/>
                  </a:lnTo>
                  <a:lnTo>
                    <a:pt x="682" y="232"/>
                  </a:lnTo>
                  <a:lnTo>
                    <a:pt x="682" y="219"/>
                  </a:lnTo>
                  <a:lnTo>
                    <a:pt x="687" y="199"/>
                  </a:lnTo>
                  <a:lnTo>
                    <a:pt x="695" y="197"/>
                  </a:lnTo>
                  <a:lnTo>
                    <a:pt x="710" y="197"/>
                  </a:lnTo>
                  <a:lnTo>
                    <a:pt x="715" y="199"/>
                  </a:lnTo>
                  <a:lnTo>
                    <a:pt x="727" y="204"/>
                  </a:lnTo>
                  <a:lnTo>
                    <a:pt x="732" y="204"/>
                  </a:lnTo>
                  <a:lnTo>
                    <a:pt x="742" y="199"/>
                  </a:lnTo>
                  <a:lnTo>
                    <a:pt x="742" y="187"/>
                  </a:lnTo>
                  <a:lnTo>
                    <a:pt x="737" y="182"/>
                  </a:lnTo>
                  <a:lnTo>
                    <a:pt x="727" y="177"/>
                  </a:lnTo>
                  <a:lnTo>
                    <a:pt x="700" y="182"/>
                  </a:lnTo>
                  <a:lnTo>
                    <a:pt x="677" y="197"/>
                  </a:lnTo>
                  <a:lnTo>
                    <a:pt x="672" y="214"/>
                  </a:lnTo>
                  <a:lnTo>
                    <a:pt x="672" y="237"/>
                  </a:lnTo>
                  <a:lnTo>
                    <a:pt x="682" y="262"/>
                  </a:lnTo>
                  <a:lnTo>
                    <a:pt x="705" y="269"/>
                  </a:lnTo>
                  <a:lnTo>
                    <a:pt x="737" y="269"/>
                  </a:lnTo>
                  <a:lnTo>
                    <a:pt x="765" y="257"/>
                  </a:lnTo>
                  <a:lnTo>
                    <a:pt x="785" y="229"/>
                  </a:lnTo>
                  <a:lnTo>
                    <a:pt x="785" y="199"/>
                  </a:lnTo>
                  <a:lnTo>
                    <a:pt x="770" y="167"/>
                  </a:lnTo>
                  <a:lnTo>
                    <a:pt x="747" y="144"/>
                  </a:lnTo>
                  <a:lnTo>
                    <a:pt x="710" y="129"/>
                  </a:lnTo>
                  <a:lnTo>
                    <a:pt x="657" y="134"/>
                  </a:lnTo>
                  <a:lnTo>
                    <a:pt x="612" y="159"/>
                  </a:lnTo>
                  <a:lnTo>
                    <a:pt x="582" y="197"/>
                  </a:lnTo>
                  <a:lnTo>
                    <a:pt x="570" y="237"/>
                  </a:lnTo>
                  <a:lnTo>
                    <a:pt x="575" y="28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65" name="Freeform 173"/>
            <xdr:cNvSpPr>
              <a:spLocks/>
            </xdr:cNvSpPr>
          </xdr:nvSpPr>
          <xdr:spPr bwMode="auto">
            <a:xfrm>
              <a:off x="778" y="11565"/>
              <a:ext cx="827" cy="382"/>
            </a:xfrm>
            <a:custGeom>
              <a:avLst/>
              <a:gdLst/>
              <a:ahLst/>
              <a:cxnLst>
                <a:cxn ang="0">
                  <a:pos x="0" y="122"/>
                </a:cxn>
                <a:cxn ang="0">
                  <a:pos x="87" y="159"/>
                </a:cxn>
                <a:cxn ang="0">
                  <a:pos x="167" y="177"/>
                </a:cxn>
                <a:cxn ang="0">
                  <a:pos x="237" y="177"/>
                </a:cxn>
                <a:cxn ang="0">
                  <a:pos x="307" y="167"/>
                </a:cxn>
                <a:cxn ang="0">
                  <a:pos x="367" y="144"/>
                </a:cxn>
                <a:cxn ang="0">
                  <a:pos x="425" y="122"/>
                </a:cxn>
                <a:cxn ang="0">
                  <a:pos x="480" y="89"/>
                </a:cxn>
                <a:cxn ang="0">
                  <a:pos x="537" y="59"/>
                </a:cxn>
                <a:cxn ang="0">
                  <a:pos x="592" y="37"/>
                </a:cxn>
                <a:cxn ang="0">
                  <a:pos x="650" y="22"/>
                </a:cxn>
                <a:cxn ang="0">
                  <a:pos x="705" y="22"/>
                </a:cxn>
                <a:cxn ang="0">
                  <a:pos x="765" y="37"/>
                </a:cxn>
                <a:cxn ang="0">
                  <a:pos x="822" y="69"/>
                </a:cxn>
                <a:cxn ang="0">
                  <a:pos x="860" y="107"/>
                </a:cxn>
                <a:cxn ang="0">
                  <a:pos x="877" y="154"/>
                </a:cxn>
                <a:cxn ang="0">
                  <a:pos x="887" y="199"/>
                </a:cxn>
                <a:cxn ang="0">
                  <a:pos x="882" y="242"/>
                </a:cxn>
                <a:cxn ang="0">
                  <a:pos x="872" y="274"/>
                </a:cxn>
                <a:cxn ang="0">
                  <a:pos x="855" y="307"/>
                </a:cxn>
                <a:cxn ang="0">
                  <a:pos x="827" y="337"/>
                </a:cxn>
                <a:cxn ang="0">
                  <a:pos x="830" y="337"/>
                </a:cxn>
                <a:cxn ang="0">
                  <a:pos x="867" y="299"/>
                </a:cxn>
                <a:cxn ang="0">
                  <a:pos x="897" y="257"/>
                </a:cxn>
                <a:cxn ang="0">
                  <a:pos x="910" y="214"/>
                </a:cxn>
                <a:cxn ang="0">
                  <a:pos x="910" y="172"/>
                </a:cxn>
                <a:cxn ang="0">
                  <a:pos x="900" y="124"/>
                </a:cxn>
                <a:cxn ang="0">
                  <a:pos x="882" y="84"/>
                </a:cxn>
                <a:cxn ang="0">
                  <a:pos x="845" y="42"/>
                </a:cxn>
                <a:cxn ang="0">
                  <a:pos x="795" y="14"/>
                </a:cxn>
                <a:cxn ang="0">
                  <a:pos x="732" y="0"/>
                </a:cxn>
                <a:cxn ang="0">
                  <a:pos x="672" y="4"/>
                </a:cxn>
                <a:cxn ang="0">
                  <a:pos x="612" y="22"/>
                </a:cxn>
                <a:cxn ang="0">
                  <a:pos x="555" y="47"/>
                </a:cxn>
                <a:cxn ang="0">
                  <a:pos x="490" y="79"/>
                </a:cxn>
                <a:cxn ang="0">
                  <a:pos x="425" y="112"/>
                </a:cxn>
                <a:cxn ang="0">
                  <a:pos x="355" y="139"/>
                </a:cxn>
                <a:cxn ang="0">
                  <a:pos x="280" y="159"/>
                </a:cxn>
                <a:cxn ang="0">
                  <a:pos x="195" y="162"/>
                </a:cxn>
                <a:cxn ang="0">
                  <a:pos x="102" y="154"/>
                </a:cxn>
                <a:cxn ang="0">
                  <a:pos x="0" y="122"/>
                </a:cxn>
              </a:cxnLst>
              <a:rect l="0" t="0" r="r" b="b"/>
              <a:pathLst>
                <a:path w="827" h="382">
                  <a:moveTo>
                    <a:pt x="0" y="122"/>
                  </a:moveTo>
                  <a:lnTo>
                    <a:pt x="87" y="159"/>
                  </a:lnTo>
                  <a:lnTo>
                    <a:pt x="167" y="177"/>
                  </a:lnTo>
                  <a:lnTo>
                    <a:pt x="237" y="177"/>
                  </a:lnTo>
                  <a:lnTo>
                    <a:pt x="307" y="167"/>
                  </a:lnTo>
                  <a:lnTo>
                    <a:pt x="367" y="144"/>
                  </a:lnTo>
                  <a:lnTo>
                    <a:pt x="425" y="122"/>
                  </a:lnTo>
                  <a:lnTo>
                    <a:pt x="480" y="89"/>
                  </a:lnTo>
                  <a:lnTo>
                    <a:pt x="537" y="59"/>
                  </a:lnTo>
                  <a:lnTo>
                    <a:pt x="592" y="37"/>
                  </a:lnTo>
                  <a:lnTo>
                    <a:pt x="650" y="22"/>
                  </a:lnTo>
                  <a:lnTo>
                    <a:pt x="705" y="22"/>
                  </a:lnTo>
                  <a:lnTo>
                    <a:pt x="765" y="37"/>
                  </a:lnTo>
                  <a:lnTo>
                    <a:pt x="822" y="69"/>
                  </a:lnTo>
                  <a:lnTo>
                    <a:pt x="860" y="107"/>
                  </a:lnTo>
                  <a:lnTo>
                    <a:pt x="877" y="154"/>
                  </a:lnTo>
                  <a:lnTo>
                    <a:pt x="887" y="199"/>
                  </a:lnTo>
                  <a:lnTo>
                    <a:pt x="882" y="242"/>
                  </a:lnTo>
                  <a:lnTo>
                    <a:pt x="872" y="274"/>
                  </a:lnTo>
                  <a:lnTo>
                    <a:pt x="855" y="307"/>
                  </a:lnTo>
                  <a:lnTo>
                    <a:pt x="827" y="337"/>
                  </a:lnTo>
                  <a:lnTo>
                    <a:pt x="830" y="337"/>
                  </a:lnTo>
                  <a:lnTo>
                    <a:pt x="867" y="299"/>
                  </a:lnTo>
                  <a:lnTo>
                    <a:pt x="897" y="257"/>
                  </a:lnTo>
                  <a:lnTo>
                    <a:pt x="910" y="214"/>
                  </a:lnTo>
                  <a:lnTo>
                    <a:pt x="910" y="172"/>
                  </a:lnTo>
                  <a:lnTo>
                    <a:pt x="900" y="124"/>
                  </a:lnTo>
                  <a:lnTo>
                    <a:pt x="882" y="84"/>
                  </a:lnTo>
                  <a:lnTo>
                    <a:pt x="845" y="42"/>
                  </a:lnTo>
                  <a:lnTo>
                    <a:pt x="795" y="14"/>
                  </a:lnTo>
                  <a:lnTo>
                    <a:pt x="732" y="0"/>
                  </a:lnTo>
                  <a:lnTo>
                    <a:pt x="672" y="4"/>
                  </a:lnTo>
                  <a:lnTo>
                    <a:pt x="612" y="22"/>
                  </a:lnTo>
                  <a:lnTo>
                    <a:pt x="555" y="47"/>
                  </a:lnTo>
                  <a:lnTo>
                    <a:pt x="490" y="79"/>
                  </a:lnTo>
                  <a:lnTo>
                    <a:pt x="425" y="112"/>
                  </a:lnTo>
                  <a:lnTo>
                    <a:pt x="355" y="139"/>
                  </a:lnTo>
                  <a:lnTo>
                    <a:pt x="280" y="159"/>
                  </a:lnTo>
                  <a:lnTo>
                    <a:pt x="195" y="162"/>
                  </a:lnTo>
                  <a:lnTo>
                    <a:pt x="102" y="154"/>
                  </a:lnTo>
                  <a:lnTo>
                    <a:pt x="0" y="12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361" name="Group 169"/>
          <xdr:cNvGrpSpPr>
            <a:grpSpLocks/>
          </xdr:cNvGrpSpPr>
        </xdr:nvGrpSpPr>
        <xdr:grpSpPr bwMode="auto">
          <a:xfrm>
            <a:off x="403" y="1127"/>
            <a:ext cx="747" cy="1230"/>
            <a:chOff x="403" y="1127"/>
            <a:chExt cx="747" cy="1230"/>
          </a:xfrm>
        </xdr:grpSpPr>
        <xdr:sp macro="" textlink="">
          <xdr:nvSpPr>
            <xdr:cNvPr id="8363" name="Freeform 171"/>
            <xdr:cNvSpPr>
              <a:spLocks/>
            </xdr:cNvSpPr>
          </xdr:nvSpPr>
          <xdr:spPr bwMode="auto">
            <a:xfrm>
              <a:off x="403" y="1127"/>
              <a:ext cx="747" cy="1230"/>
            </a:xfrm>
            <a:custGeom>
              <a:avLst/>
              <a:gdLst/>
              <a:ahLst/>
              <a:cxnLst>
                <a:cxn ang="0">
                  <a:pos x="584" y="1192"/>
                </a:cxn>
                <a:cxn ang="0">
                  <a:pos x="579" y="1192"/>
                </a:cxn>
                <a:cxn ang="0">
                  <a:pos x="584" y="1197"/>
                </a:cxn>
                <a:cxn ang="0">
                  <a:pos x="594" y="1205"/>
                </a:cxn>
                <a:cxn ang="0">
                  <a:pos x="634" y="1230"/>
                </a:cxn>
                <a:cxn ang="0">
                  <a:pos x="672" y="1225"/>
                </a:cxn>
                <a:cxn ang="0">
                  <a:pos x="709" y="1205"/>
                </a:cxn>
                <a:cxn ang="0">
                  <a:pos x="734" y="1177"/>
                </a:cxn>
                <a:cxn ang="0">
                  <a:pos x="747" y="1140"/>
                </a:cxn>
                <a:cxn ang="0">
                  <a:pos x="747" y="1075"/>
                </a:cxn>
                <a:cxn ang="0">
                  <a:pos x="729" y="1010"/>
                </a:cxn>
                <a:cxn ang="0">
                  <a:pos x="692" y="940"/>
                </a:cxn>
                <a:cxn ang="0">
                  <a:pos x="672" y="920"/>
                </a:cxn>
                <a:cxn ang="0">
                  <a:pos x="677" y="880"/>
                </a:cxn>
                <a:cxn ang="0">
                  <a:pos x="672" y="837"/>
                </a:cxn>
                <a:cxn ang="0">
                  <a:pos x="659" y="800"/>
                </a:cxn>
                <a:cxn ang="0">
                  <a:pos x="632" y="762"/>
                </a:cxn>
                <a:cxn ang="0">
                  <a:pos x="589" y="735"/>
                </a:cxn>
                <a:cxn ang="0">
                  <a:pos x="532" y="720"/>
                </a:cxn>
                <a:cxn ang="0">
                  <a:pos x="527" y="720"/>
                </a:cxn>
                <a:cxn ang="0">
                  <a:pos x="527" y="725"/>
                </a:cxn>
                <a:cxn ang="0">
                  <a:pos x="532" y="725"/>
                </a:cxn>
                <a:cxn ang="0">
                  <a:pos x="589" y="742"/>
                </a:cxn>
                <a:cxn ang="0">
                  <a:pos x="632" y="772"/>
                </a:cxn>
                <a:cxn ang="0">
                  <a:pos x="659" y="817"/>
                </a:cxn>
                <a:cxn ang="0">
                  <a:pos x="672" y="870"/>
                </a:cxn>
                <a:cxn ang="0">
                  <a:pos x="664" y="912"/>
                </a:cxn>
                <a:cxn ang="0">
                  <a:pos x="654" y="945"/>
                </a:cxn>
                <a:cxn ang="0">
                  <a:pos x="634" y="990"/>
                </a:cxn>
                <a:cxn ang="0">
                  <a:pos x="597" y="1037"/>
                </a:cxn>
                <a:cxn ang="0">
                  <a:pos x="547" y="1065"/>
                </a:cxn>
                <a:cxn ang="0">
                  <a:pos x="552" y="1080"/>
                </a:cxn>
                <a:cxn ang="0">
                  <a:pos x="602" y="1042"/>
                </a:cxn>
                <a:cxn ang="0">
                  <a:pos x="644" y="1000"/>
                </a:cxn>
                <a:cxn ang="0">
                  <a:pos x="659" y="962"/>
                </a:cxn>
                <a:cxn ang="0">
                  <a:pos x="664" y="955"/>
                </a:cxn>
                <a:cxn ang="0">
                  <a:pos x="702" y="995"/>
                </a:cxn>
                <a:cxn ang="0">
                  <a:pos x="729" y="1047"/>
                </a:cxn>
                <a:cxn ang="0">
                  <a:pos x="742" y="1095"/>
                </a:cxn>
                <a:cxn ang="0">
                  <a:pos x="739" y="1135"/>
                </a:cxn>
                <a:cxn ang="0">
                  <a:pos x="729" y="1170"/>
                </a:cxn>
                <a:cxn ang="0">
                  <a:pos x="704" y="1202"/>
                </a:cxn>
                <a:cxn ang="0">
                  <a:pos x="677" y="1220"/>
                </a:cxn>
                <a:cxn ang="0">
                  <a:pos x="639" y="1220"/>
                </a:cxn>
                <a:cxn ang="0">
                  <a:pos x="597" y="1202"/>
                </a:cxn>
                <a:cxn ang="0">
                  <a:pos x="589" y="1197"/>
                </a:cxn>
                <a:cxn ang="0">
                  <a:pos x="584" y="1192"/>
                </a:cxn>
              </a:cxnLst>
              <a:rect l="0" t="0" r="r" b="b"/>
              <a:pathLst>
                <a:path w="747" h="1230">
                  <a:moveTo>
                    <a:pt x="584" y="1192"/>
                  </a:moveTo>
                  <a:lnTo>
                    <a:pt x="579" y="1192"/>
                  </a:lnTo>
                  <a:lnTo>
                    <a:pt x="584" y="1197"/>
                  </a:lnTo>
                  <a:lnTo>
                    <a:pt x="594" y="1205"/>
                  </a:lnTo>
                  <a:lnTo>
                    <a:pt x="634" y="1230"/>
                  </a:lnTo>
                  <a:lnTo>
                    <a:pt x="672" y="1225"/>
                  </a:lnTo>
                  <a:lnTo>
                    <a:pt x="709" y="1205"/>
                  </a:lnTo>
                  <a:lnTo>
                    <a:pt x="734" y="1177"/>
                  </a:lnTo>
                  <a:lnTo>
                    <a:pt x="747" y="1140"/>
                  </a:lnTo>
                  <a:lnTo>
                    <a:pt x="747" y="1075"/>
                  </a:lnTo>
                  <a:lnTo>
                    <a:pt x="729" y="1010"/>
                  </a:lnTo>
                  <a:lnTo>
                    <a:pt x="692" y="940"/>
                  </a:lnTo>
                  <a:lnTo>
                    <a:pt x="672" y="920"/>
                  </a:lnTo>
                  <a:lnTo>
                    <a:pt x="677" y="880"/>
                  </a:lnTo>
                  <a:lnTo>
                    <a:pt x="672" y="837"/>
                  </a:lnTo>
                  <a:lnTo>
                    <a:pt x="659" y="800"/>
                  </a:lnTo>
                  <a:lnTo>
                    <a:pt x="632" y="762"/>
                  </a:lnTo>
                  <a:lnTo>
                    <a:pt x="589" y="735"/>
                  </a:lnTo>
                  <a:lnTo>
                    <a:pt x="532" y="720"/>
                  </a:lnTo>
                  <a:lnTo>
                    <a:pt x="527" y="720"/>
                  </a:lnTo>
                  <a:lnTo>
                    <a:pt x="527" y="725"/>
                  </a:lnTo>
                  <a:lnTo>
                    <a:pt x="532" y="725"/>
                  </a:lnTo>
                  <a:lnTo>
                    <a:pt x="589" y="742"/>
                  </a:lnTo>
                  <a:lnTo>
                    <a:pt x="632" y="772"/>
                  </a:lnTo>
                  <a:lnTo>
                    <a:pt x="659" y="817"/>
                  </a:lnTo>
                  <a:lnTo>
                    <a:pt x="672" y="870"/>
                  </a:lnTo>
                  <a:lnTo>
                    <a:pt x="664" y="912"/>
                  </a:lnTo>
                  <a:lnTo>
                    <a:pt x="654" y="945"/>
                  </a:lnTo>
                  <a:lnTo>
                    <a:pt x="634" y="990"/>
                  </a:lnTo>
                  <a:lnTo>
                    <a:pt x="597" y="1037"/>
                  </a:lnTo>
                  <a:lnTo>
                    <a:pt x="547" y="1065"/>
                  </a:lnTo>
                  <a:lnTo>
                    <a:pt x="552" y="1080"/>
                  </a:lnTo>
                  <a:lnTo>
                    <a:pt x="602" y="1042"/>
                  </a:lnTo>
                  <a:lnTo>
                    <a:pt x="644" y="1000"/>
                  </a:lnTo>
                  <a:lnTo>
                    <a:pt x="659" y="962"/>
                  </a:lnTo>
                  <a:lnTo>
                    <a:pt x="664" y="955"/>
                  </a:lnTo>
                  <a:lnTo>
                    <a:pt x="702" y="995"/>
                  </a:lnTo>
                  <a:lnTo>
                    <a:pt x="729" y="1047"/>
                  </a:lnTo>
                  <a:lnTo>
                    <a:pt x="742" y="1095"/>
                  </a:lnTo>
                  <a:lnTo>
                    <a:pt x="739" y="1135"/>
                  </a:lnTo>
                  <a:lnTo>
                    <a:pt x="729" y="1170"/>
                  </a:lnTo>
                  <a:lnTo>
                    <a:pt x="704" y="1202"/>
                  </a:lnTo>
                  <a:lnTo>
                    <a:pt x="677" y="1220"/>
                  </a:lnTo>
                  <a:lnTo>
                    <a:pt x="639" y="1220"/>
                  </a:lnTo>
                  <a:lnTo>
                    <a:pt x="597" y="1202"/>
                  </a:lnTo>
                  <a:lnTo>
                    <a:pt x="589" y="1197"/>
                  </a:lnTo>
                  <a:lnTo>
                    <a:pt x="584" y="119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62" name="Freeform 170"/>
            <xdr:cNvSpPr>
              <a:spLocks/>
            </xdr:cNvSpPr>
          </xdr:nvSpPr>
          <xdr:spPr bwMode="auto">
            <a:xfrm>
              <a:off x="403" y="1127"/>
              <a:ext cx="747" cy="1230"/>
            </a:xfrm>
            <a:custGeom>
              <a:avLst/>
              <a:gdLst/>
              <a:ahLst/>
              <a:cxnLst>
                <a:cxn ang="0">
                  <a:pos x="487" y="1085"/>
                </a:cxn>
                <a:cxn ang="0">
                  <a:pos x="417" y="1085"/>
                </a:cxn>
                <a:cxn ang="0">
                  <a:pos x="347" y="1065"/>
                </a:cxn>
                <a:cxn ang="0">
                  <a:pos x="277" y="1032"/>
                </a:cxn>
                <a:cxn ang="0">
                  <a:pos x="214" y="982"/>
                </a:cxn>
                <a:cxn ang="0">
                  <a:pos x="169" y="917"/>
                </a:cxn>
                <a:cxn ang="0">
                  <a:pos x="134" y="842"/>
                </a:cxn>
                <a:cxn ang="0">
                  <a:pos x="127" y="757"/>
                </a:cxn>
                <a:cxn ang="0">
                  <a:pos x="134" y="667"/>
                </a:cxn>
                <a:cxn ang="0">
                  <a:pos x="149" y="617"/>
                </a:cxn>
                <a:cxn ang="0">
                  <a:pos x="169" y="560"/>
                </a:cxn>
                <a:cxn ang="0">
                  <a:pos x="172" y="547"/>
                </a:cxn>
                <a:cxn ang="0">
                  <a:pos x="234" y="612"/>
                </a:cxn>
                <a:cxn ang="0">
                  <a:pos x="299" y="672"/>
                </a:cxn>
                <a:cxn ang="0">
                  <a:pos x="369" y="730"/>
                </a:cxn>
                <a:cxn ang="0">
                  <a:pos x="439" y="780"/>
                </a:cxn>
                <a:cxn ang="0">
                  <a:pos x="509" y="827"/>
                </a:cxn>
                <a:cxn ang="0">
                  <a:pos x="594" y="887"/>
                </a:cxn>
                <a:cxn ang="0">
                  <a:pos x="654" y="945"/>
                </a:cxn>
                <a:cxn ang="0">
                  <a:pos x="664" y="912"/>
                </a:cxn>
                <a:cxn ang="0">
                  <a:pos x="622" y="870"/>
                </a:cxn>
                <a:cxn ang="0">
                  <a:pos x="527" y="795"/>
                </a:cxn>
                <a:cxn ang="0">
                  <a:pos x="462" y="757"/>
                </a:cxn>
                <a:cxn ang="0">
                  <a:pos x="397" y="715"/>
                </a:cxn>
                <a:cxn ang="0">
                  <a:pos x="332" y="667"/>
                </a:cxn>
                <a:cxn ang="0">
                  <a:pos x="272" y="617"/>
                </a:cxn>
                <a:cxn ang="0">
                  <a:pos x="209" y="560"/>
                </a:cxn>
                <a:cxn ang="0">
                  <a:pos x="182" y="527"/>
                </a:cxn>
                <a:cxn ang="0">
                  <a:pos x="187" y="515"/>
                </a:cxn>
                <a:cxn ang="0">
                  <a:pos x="202" y="482"/>
                </a:cxn>
                <a:cxn ang="0">
                  <a:pos x="182" y="515"/>
                </a:cxn>
                <a:cxn ang="0">
                  <a:pos x="177" y="522"/>
                </a:cxn>
                <a:cxn ang="0">
                  <a:pos x="154" y="500"/>
                </a:cxn>
                <a:cxn ang="0">
                  <a:pos x="107" y="425"/>
                </a:cxn>
                <a:cxn ang="0">
                  <a:pos x="64" y="342"/>
                </a:cxn>
                <a:cxn ang="0">
                  <a:pos x="32" y="242"/>
                </a:cxn>
                <a:cxn ang="0">
                  <a:pos x="9" y="127"/>
                </a:cxn>
                <a:cxn ang="0">
                  <a:pos x="0" y="0"/>
                </a:cxn>
                <a:cxn ang="0">
                  <a:pos x="9" y="140"/>
                </a:cxn>
                <a:cxn ang="0">
                  <a:pos x="32" y="262"/>
                </a:cxn>
                <a:cxn ang="0">
                  <a:pos x="69" y="370"/>
                </a:cxn>
                <a:cxn ang="0">
                  <a:pos x="117" y="462"/>
                </a:cxn>
                <a:cxn ang="0">
                  <a:pos x="172" y="542"/>
                </a:cxn>
                <a:cxn ang="0">
                  <a:pos x="159" y="565"/>
                </a:cxn>
                <a:cxn ang="0">
                  <a:pos x="139" y="622"/>
                </a:cxn>
                <a:cxn ang="0">
                  <a:pos x="127" y="677"/>
                </a:cxn>
                <a:cxn ang="0">
                  <a:pos x="112" y="747"/>
                </a:cxn>
                <a:cxn ang="0">
                  <a:pos x="112" y="822"/>
                </a:cxn>
                <a:cxn ang="0">
                  <a:pos x="122" y="887"/>
                </a:cxn>
                <a:cxn ang="0">
                  <a:pos x="149" y="955"/>
                </a:cxn>
                <a:cxn ang="0">
                  <a:pos x="187" y="1010"/>
                </a:cxn>
                <a:cxn ang="0">
                  <a:pos x="242" y="1057"/>
                </a:cxn>
                <a:cxn ang="0">
                  <a:pos x="327" y="1097"/>
                </a:cxn>
                <a:cxn ang="0">
                  <a:pos x="412" y="1112"/>
                </a:cxn>
                <a:cxn ang="0">
                  <a:pos x="487" y="1102"/>
                </a:cxn>
                <a:cxn ang="0">
                  <a:pos x="552" y="1080"/>
                </a:cxn>
                <a:cxn ang="0">
                  <a:pos x="547" y="1065"/>
                </a:cxn>
                <a:cxn ang="0">
                  <a:pos x="487" y="1085"/>
                </a:cxn>
              </a:cxnLst>
              <a:rect l="0" t="0" r="r" b="b"/>
              <a:pathLst>
                <a:path w="747" h="1230">
                  <a:moveTo>
                    <a:pt x="487" y="1085"/>
                  </a:moveTo>
                  <a:lnTo>
                    <a:pt x="417" y="1085"/>
                  </a:lnTo>
                  <a:lnTo>
                    <a:pt x="347" y="1065"/>
                  </a:lnTo>
                  <a:lnTo>
                    <a:pt x="277" y="1032"/>
                  </a:lnTo>
                  <a:lnTo>
                    <a:pt x="214" y="982"/>
                  </a:lnTo>
                  <a:lnTo>
                    <a:pt x="169" y="917"/>
                  </a:lnTo>
                  <a:lnTo>
                    <a:pt x="134" y="842"/>
                  </a:lnTo>
                  <a:lnTo>
                    <a:pt x="127" y="757"/>
                  </a:lnTo>
                  <a:lnTo>
                    <a:pt x="134" y="667"/>
                  </a:lnTo>
                  <a:lnTo>
                    <a:pt x="149" y="617"/>
                  </a:lnTo>
                  <a:lnTo>
                    <a:pt x="169" y="560"/>
                  </a:lnTo>
                  <a:lnTo>
                    <a:pt x="172" y="547"/>
                  </a:lnTo>
                  <a:lnTo>
                    <a:pt x="234" y="612"/>
                  </a:lnTo>
                  <a:lnTo>
                    <a:pt x="299" y="672"/>
                  </a:lnTo>
                  <a:lnTo>
                    <a:pt x="369" y="730"/>
                  </a:lnTo>
                  <a:lnTo>
                    <a:pt x="439" y="780"/>
                  </a:lnTo>
                  <a:lnTo>
                    <a:pt x="509" y="827"/>
                  </a:lnTo>
                  <a:lnTo>
                    <a:pt x="594" y="887"/>
                  </a:lnTo>
                  <a:lnTo>
                    <a:pt x="654" y="945"/>
                  </a:lnTo>
                  <a:lnTo>
                    <a:pt x="664" y="912"/>
                  </a:lnTo>
                  <a:lnTo>
                    <a:pt x="622" y="870"/>
                  </a:lnTo>
                  <a:lnTo>
                    <a:pt x="527" y="795"/>
                  </a:lnTo>
                  <a:lnTo>
                    <a:pt x="462" y="757"/>
                  </a:lnTo>
                  <a:lnTo>
                    <a:pt x="397" y="715"/>
                  </a:lnTo>
                  <a:lnTo>
                    <a:pt x="332" y="667"/>
                  </a:lnTo>
                  <a:lnTo>
                    <a:pt x="272" y="617"/>
                  </a:lnTo>
                  <a:lnTo>
                    <a:pt x="209" y="560"/>
                  </a:lnTo>
                  <a:lnTo>
                    <a:pt x="182" y="527"/>
                  </a:lnTo>
                  <a:lnTo>
                    <a:pt x="187" y="515"/>
                  </a:lnTo>
                  <a:lnTo>
                    <a:pt x="202" y="482"/>
                  </a:lnTo>
                  <a:lnTo>
                    <a:pt x="182" y="515"/>
                  </a:lnTo>
                  <a:lnTo>
                    <a:pt x="177" y="522"/>
                  </a:lnTo>
                  <a:lnTo>
                    <a:pt x="154" y="500"/>
                  </a:lnTo>
                  <a:lnTo>
                    <a:pt x="107" y="425"/>
                  </a:lnTo>
                  <a:lnTo>
                    <a:pt x="64" y="342"/>
                  </a:lnTo>
                  <a:lnTo>
                    <a:pt x="32" y="242"/>
                  </a:lnTo>
                  <a:lnTo>
                    <a:pt x="9" y="127"/>
                  </a:lnTo>
                  <a:lnTo>
                    <a:pt x="0" y="0"/>
                  </a:lnTo>
                  <a:lnTo>
                    <a:pt x="9" y="140"/>
                  </a:lnTo>
                  <a:lnTo>
                    <a:pt x="32" y="262"/>
                  </a:lnTo>
                  <a:lnTo>
                    <a:pt x="69" y="370"/>
                  </a:lnTo>
                  <a:lnTo>
                    <a:pt x="117" y="462"/>
                  </a:lnTo>
                  <a:lnTo>
                    <a:pt x="172" y="542"/>
                  </a:lnTo>
                  <a:lnTo>
                    <a:pt x="159" y="565"/>
                  </a:lnTo>
                  <a:lnTo>
                    <a:pt x="139" y="622"/>
                  </a:lnTo>
                  <a:lnTo>
                    <a:pt x="127" y="677"/>
                  </a:lnTo>
                  <a:lnTo>
                    <a:pt x="112" y="747"/>
                  </a:lnTo>
                  <a:lnTo>
                    <a:pt x="112" y="822"/>
                  </a:lnTo>
                  <a:lnTo>
                    <a:pt x="122" y="887"/>
                  </a:lnTo>
                  <a:lnTo>
                    <a:pt x="149" y="955"/>
                  </a:lnTo>
                  <a:lnTo>
                    <a:pt x="187" y="1010"/>
                  </a:lnTo>
                  <a:lnTo>
                    <a:pt x="242" y="1057"/>
                  </a:lnTo>
                  <a:lnTo>
                    <a:pt x="327" y="1097"/>
                  </a:lnTo>
                  <a:lnTo>
                    <a:pt x="412" y="1112"/>
                  </a:lnTo>
                  <a:lnTo>
                    <a:pt x="487" y="1102"/>
                  </a:lnTo>
                  <a:lnTo>
                    <a:pt x="552" y="1080"/>
                  </a:lnTo>
                  <a:lnTo>
                    <a:pt x="547" y="1065"/>
                  </a:lnTo>
                  <a:lnTo>
                    <a:pt x="487" y="108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358" name="Group 166"/>
          <xdr:cNvGrpSpPr>
            <a:grpSpLocks/>
          </xdr:cNvGrpSpPr>
        </xdr:nvGrpSpPr>
        <xdr:grpSpPr bwMode="auto">
          <a:xfrm>
            <a:off x="370" y="949"/>
            <a:ext cx="705" cy="772"/>
            <a:chOff x="370" y="949"/>
            <a:chExt cx="705" cy="772"/>
          </a:xfrm>
        </xdr:grpSpPr>
        <xdr:sp macro="" textlink="">
          <xdr:nvSpPr>
            <xdr:cNvPr id="8360" name="Freeform 168"/>
            <xdr:cNvSpPr>
              <a:spLocks/>
            </xdr:cNvSpPr>
          </xdr:nvSpPr>
          <xdr:spPr bwMode="auto">
            <a:xfrm>
              <a:off x="370" y="949"/>
              <a:ext cx="705" cy="772"/>
            </a:xfrm>
            <a:custGeom>
              <a:avLst/>
              <a:gdLst/>
              <a:ahLst/>
              <a:cxnLst>
                <a:cxn ang="0">
                  <a:pos x="627" y="4"/>
                </a:cxn>
                <a:cxn ang="0">
                  <a:pos x="635" y="22"/>
                </a:cxn>
                <a:cxn ang="0">
                  <a:pos x="650" y="27"/>
                </a:cxn>
                <a:cxn ang="0">
                  <a:pos x="682" y="69"/>
                </a:cxn>
                <a:cxn ang="0">
                  <a:pos x="697" y="122"/>
                </a:cxn>
                <a:cxn ang="0">
                  <a:pos x="705" y="112"/>
                </a:cxn>
                <a:cxn ang="0">
                  <a:pos x="692" y="54"/>
                </a:cxn>
                <a:cxn ang="0">
                  <a:pos x="665" y="14"/>
                </a:cxn>
                <a:cxn ang="0">
                  <a:pos x="640" y="0"/>
                </a:cxn>
                <a:cxn ang="0">
                  <a:pos x="627" y="4"/>
                </a:cxn>
              </a:cxnLst>
              <a:rect l="0" t="0" r="r" b="b"/>
              <a:pathLst>
                <a:path w="705" h="772">
                  <a:moveTo>
                    <a:pt x="627" y="4"/>
                  </a:moveTo>
                  <a:lnTo>
                    <a:pt x="635" y="22"/>
                  </a:lnTo>
                  <a:lnTo>
                    <a:pt x="650" y="27"/>
                  </a:lnTo>
                  <a:lnTo>
                    <a:pt x="682" y="69"/>
                  </a:lnTo>
                  <a:lnTo>
                    <a:pt x="697" y="122"/>
                  </a:lnTo>
                  <a:lnTo>
                    <a:pt x="705" y="112"/>
                  </a:lnTo>
                  <a:lnTo>
                    <a:pt x="692" y="54"/>
                  </a:lnTo>
                  <a:lnTo>
                    <a:pt x="665" y="14"/>
                  </a:lnTo>
                  <a:lnTo>
                    <a:pt x="640" y="0"/>
                  </a:lnTo>
                  <a:lnTo>
                    <a:pt x="627" y="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59" name="Freeform 167"/>
            <xdr:cNvSpPr>
              <a:spLocks/>
            </xdr:cNvSpPr>
          </xdr:nvSpPr>
          <xdr:spPr bwMode="auto">
            <a:xfrm>
              <a:off x="370" y="949"/>
              <a:ext cx="705" cy="772"/>
            </a:xfrm>
            <a:custGeom>
              <a:avLst/>
              <a:gdLst/>
              <a:ahLst/>
              <a:cxnLst>
                <a:cxn ang="0">
                  <a:pos x="42" y="-97"/>
                </a:cxn>
                <a:cxn ang="0">
                  <a:pos x="97" y="-274"/>
                </a:cxn>
                <a:cxn ang="0">
                  <a:pos x="215" y="-414"/>
                </a:cxn>
                <a:cxn ang="0">
                  <a:pos x="382" y="-514"/>
                </a:cxn>
                <a:cxn ang="0">
                  <a:pos x="645" y="-569"/>
                </a:cxn>
                <a:cxn ang="0">
                  <a:pos x="962" y="-589"/>
                </a:cxn>
                <a:cxn ang="0">
                  <a:pos x="1022" y="-592"/>
                </a:cxn>
                <a:cxn ang="0">
                  <a:pos x="1057" y="-602"/>
                </a:cxn>
                <a:cxn ang="0">
                  <a:pos x="1070" y="-617"/>
                </a:cxn>
                <a:cxn ang="0">
                  <a:pos x="1057" y="-629"/>
                </a:cxn>
                <a:cxn ang="0">
                  <a:pos x="1022" y="-639"/>
                </a:cxn>
                <a:cxn ang="0">
                  <a:pos x="967" y="-644"/>
                </a:cxn>
                <a:cxn ang="0">
                  <a:pos x="807" y="-644"/>
                </a:cxn>
                <a:cxn ang="0">
                  <a:pos x="565" y="-617"/>
                </a:cxn>
                <a:cxn ang="0">
                  <a:pos x="350" y="-552"/>
                </a:cxn>
                <a:cxn ang="0">
                  <a:pos x="172" y="-444"/>
                </a:cxn>
                <a:cxn ang="0">
                  <a:pos x="47" y="-262"/>
                </a:cxn>
                <a:cxn ang="0">
                  <a:pos x="0" y="-42"/>
                </a:cxn>
                <a:cxn ang="0">
                  <a:pos x="47" y="159"/>
                </a:cxn>
                <a:cxn ang="0">
                  <a:pos x="160" y="304"/>
                </a:cxn>
                <a:cxn ang="0">
                  <a:pos x="310" y="387"/>
                </a:cxn>
                <a:cxn ang="0">
                  <a:pos x="477" y="392"/>
                </a:cxn>
                <a:cxn ang="0">
                  <a:pos x="627" y="307"/>
                </a:cxn>
                <a:cxn ang="0">
                  <a:pos x="702" y="177"/>
                </a:cxn>
                <a:cxn ang="0">
                  <a:pos x="730" y="167"/>
                </a:cxn>
                <a:cxn ang="0">
                  <a:pos x="725" y="162"/>
                </a:cxn>
                <a:cxn ang="0">
                  <a:pos x="705" y="112"/>
                </a:cxn>
                <a:cxn ang="0">
                  <a:pos x="692" y="139"/>
                </a:cxn>
                <a:cxn ang="0">
                  <a:pos x="655" y="102"/>
                </a:cxn>
                <a:cxn ang="0">
                  <a:pos x="635" y="42"/>
                </a:cxn>
                <a:cxn ang="0">
                  <a:pos x="627" y="4"/>
                </a:cxn>
                <a:cxn ang="0">
                  <a:pos x="622" y="54"/>
                </a:cxn>
                <a:cxn ang="0">
                  <a:pos x="660" y="122"/>
                </a:cxn>
                <a:cxn ang="0">
                  <a:pos x="692" y="149"/>
                </a:cxn>
                <a:cxn ang="0">
                  <a:pos x="665" y="242"/>
                </a:cxn>
                <a:cxn ang="0">
                  <a:pos x="547" y="349"/>
                </a:cxn>
                <a:cxn ang="0">
                  <a:pos x="387" y="382"/>
                </a:cxn>
                <a:cxn ang="0">
                  <a:pos x="230" y="342"/>
                </a:cxn>
                <a:cxn ang="0">
                  <a:pos x="102" y="229"/>
                </a:cxn>
                <a:cxn ang="0">
                  <a:pos x="47" y="79"/>
                </a:cxn>
              </a:cxnLst>
              <a:rect l="0" t="0" r="r" b="b"/>
              <a:pathLst>
                <a:path w="705" h="772">
                  <a:moveTo>
                    <a:pt x="37" y="-9"/>
                  </a:moveTo>
                  <a:lnTo>
                    <a:pt x="42" y="-97"/>
                  </a:lnTo>
                  <a:lnTo>
                    <a:pt x="60" y="-192"/>
                  </a:lnTo>
                  <a:lnTo>
                    <a:pt x="97" y="-274"/>
                  </a:lnTo>
                  <a:lnTo>
                    <a:pt x="150" y="-349"/>
                  </a:lnTo>
                  <a:lnTo>
                    <a:pt x="215" y="-414"/>
                  </a:lnTo>
                  <a:lnTo>
                    <a:pt x="295" y="-472"/>
                  </a:lnTo>
                  <a:lnTo>
                    <a:pt x="382" y="-514"/>
                  </a:lnTo>
                  <a:lnTo>
                    <a:pt x="482" y="-542"/>
                  </a:lnTo>
                  <a:lnTo>
                    <a:pt x="645" y="-569"/>
                  </a:lnTo>
                  <a:lnTo>
                    <a:pt x="807" y="-584"/>
                  </a:lnTo>
                  <a:lnTo>
                    <a:pt x="962" y="-589"/>
                  </a:lnTo>
                  <a:lnTo>
                    <a:pt x="995" y="-589"/>
                  </a:lnTo>
                  <a:lnTo>
                    <a:pt x="1022" y="-592"/>
                  </a:lnTo>
                  <a:lnTo>
                    <a:pt x="1042" y="-597"/>
                  </a:lnTo>
                  <a:lnTo>
                    <a:pt x="1057" y="-602"/>
                  </a:lnTo>
                  <a:lnTo>
                    <a:pt x="1065" y="-607"/>
                  </a:lnTo>
                  <a:lnTo>
                    <a:pt x="1070" y="-617"/>
                  </a:lnTo>
                  <a:lnTo>
                    <a:pt x="1065" y="-622"/>
                  </a:lnTo>
                  <a:lnTo>
                    <a:pt x="1057" y="-629"/>
                  </a:lnTo>
                  <a:lnTo>
                    <a:pt x="1042" y="-634"/>
                  </a:lnTo>
                  <a:lnTo>
                    <a:pt x="1022" y="-639"/>
                  </a:lnTo>
                  <a:lnTo>
                    <a:pt x="1000" y="-644"/>
                  </a:lnTo>
                  <a:lnTo>
                    <a:pt x="967" y="-644"/>
                  </a:lnTo>
                  <a:lnTo>
                    <a:pt x="935" y="-649"/>
                  </a:lnTo>
                  <a:lnTo>
                    <a:pt x="807" y="-644"/>
                  </a:lnTo>
                  <a:lnTo>
                    <a:pt x="682" y="-634"/>
                  </a:lnTo>
                  <a:lnTo>
                    <a:pt x="565" y="-617"/>
                  </a:lnTo>
                  <a:lnTo>
                    <a:pt x="452" y="-589"/>
                  </a:lnTo>
                  <a:lnTo>
                    <a:pt x="350" y="-552"/>
                  </a:lnTo>
                  <a:lnTo>
                    <a:pt x="257" y="-504"/>
                  </a:lnTo>
                  <a:lnTo>
                    <a:pt x="172" y="-444"/>
                  </a:lnTo>
                  <a:lnTo>
                    <a:pt x="107" y="-364"/>
                  </a:lnTo>
                  <a:lnTo>
                    <a:pt x="47" y="-262"/>
                  </a:lnTo>
                  <a:lnTo>
                    <a:pt x="15" y="-149"/>
                  </a:lnTo>
                  <a:lnTo>
                    <a:pt x="0" y="-42"/>
                  </a:lnTo>
                  <a:lnTo>
                    <a:pt x="15" y="59"/>
                  </a:lnTo>
                  <a:lnTo>
                    <a:pt x="47" y="159"/>
                  </a:lnTo>
                  <a:lnTo>
                    <a:pt x="97" y="242"/>
                  </a:lnTo>
                  <a:lnTo>
                    <a:pt x="160" y="304"/>
                  </a:lnTo>
                  <a:lnTo>
                    <a:pt x="230" y="354"/>
                  </a:lnTo>
                  <a:lnTo>
                    <a:pt x="310" y="387"/>
                  </a:lnTo>
                  <a:lnTo>
                    <a:pt x="392" y="397"/>
                  </a:lnTo>
                  <a:lnTo>
                    <a:pt x="477" y="392"/>
                  </a:lnTo>
                  <a:lnTo>
                    <a:pt x="557" y="359"/>
                  </a:lnTo>
                  <a:lnTo>
                    <a:pt x="627" y="307"/>
                  </a:lnTo>
                  <a:lnTo>
                    <a:pt x="677" y="242"/>
                  </a:lnTo>
                  <a:lnTo>
                    <a:pt x="702" y="177"/>
                  </a:lnTo>
                  <a:lnTo>
                    <a:pt x="705" y="159"/>
                  </a:lnTo>
                  <a:lnTo>
                    <a:pt x="730" y="167"/>
                  </a:lnTo>
                  <a:lnTo>
                    <a:pt x="780" y="172"/>
                  </a:lnTo>
                  <a:lnTo>
                    <a:pt x="725" y="162"/>
                  </a:lnTo>
                  <a:lnTo>
                    <a:pt x="705" y="149"/>
                  </a:lnTo>
                  <a:lnTo>
                    <a:pt x="705" y="112"/>
                  </a:lnTo>
                  <a:lnTo>
                    <a:pt x="697" y="122"/>
                  </a:lnTo>
                  <a:lnTo>
                    <a:pt x="692" y="139"/>
                  </a:lnTo>
                  <a:lnTo>
                    <a:pt x="682" y="134"/>
                  </a:lnTo>
                  <a:lnTo>
                    <a:pt x="655" y="102"/>
                  </a:lnTo>
                  <a:lnTo>
                    <a:pt x="640" y="69"/>
                  </a:lnTo>
                  <a:lnTo>
                    <a:pt x="635" y="42"/>
                  </a:lnTo>
                  <a:lnTo>
                    <a:pt x="635" y="22"/>
                  </a:lnTo>
                  <a:lnTo>
                    <a:pt x="627" y="4"/>
                  </a:lnTo>
                  <a:lnTo>
                    <a:pt x="622" y="27"/>
                  </a:lnTo>
                  <a:lnTo>
                    <a:pt x="622" y="54"/>
                  </a:lnTo>
                  <a:lnTo>
                    <a:pt x="635" y="89"/>
                  </a:lnTo>
                  <a:lnTo>
                    <a:pt x="660" y="122"/>
                  </a:lnTo>
                  <a:lnTo>
                    <a:pt x="687" y="149"/>
                  </a:lnTo>
                  <a:lnTo>
                    <a:pt x="692" y="149"/>
                  </a:lnTo>
                  <a:lnTo>
                    <a:pt x="687" y="182"/>
                  </a:lnTo>
                  <a:lnTo>
                    <a:pt x="665" y="242"/>
                  </a:lnTo>
                  <a:lnTo>
                    <a:pt x="612" y="304"/>
                  </a:lnTo>
                  <a:lnTo>
                    <a:pt x="547" y="349"/>
                  </a:lnTo>
                  <a:lnTo>
                    <a:pt x="467" y="377"/>
                  </a:lnTo>
                  <a:lnTo>
                    <a:pt x="387" y="382"/>
                  </a:lnTo>
                  <a:lnTo>
                    <a:pt x="310" y="369"/>
                  </a:lnTo>
                  <a:lnTo>
                    <a:pt x="230" y="342"/>
                  </a:lnTo>
                  <a:lnTo>
                    <a:pt x="160" y="289"/>
                  </a:lnTo>
                  <a:lnTo>
                    <a:pt x="102" y="229"/>
                  </a:lnTo>
                  <a:lnTo>
                    <a:pt x="70" y="159"/>
                  </a:lnTo>
                  <a:lnTo>
                    <a:pt x="47" y="79"/>
                  </a:lnTo>
                  <a:lnTo>
                    <a:pt x="37" y="-9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57" name="Freeform 165"/>
          <xdr:cNvSpPr>
            <a:spLocks/>
          </xdr:cNvSpPr>
        </xdr:nvSpPr>
        <xdr:spPr bwMode="auto">
          <a:xfrm>
            <a:off x="398" y="610"/>
            <a:ext cx="967" cy="877"/>
          </a:xfrm>
          <a:custGeom>
            <a:avLst/>
            <a:gdLst/>
            <a:ahLst/>
            <a:cxnLst>
              <a:cxn ang="0">
                <a:pos x="374" y="217"/>
              </a:cxn>
              <a:cxn ang="0">
                <a:pos x="434" y="237"/>
              </a:cxn>
              <a:cxn ang="0">
                <a:pos x="482" y="209"/>
              </a:cxn>
              <a:cxn ang="0">
                <a:pos x="487" y="139"/>
              </a:cxn>
              <a:cxn ang="0">
                <a:pos x="467" y="124"/>
              </a:cxn>
              <a:cxn ang="0">
                <a:pos x="449" y="124"/>
              </a:cxn>
              <a:cxn ang="0">
                <a:pos x="434" y="134"/>
              </a:cxn>
              <a:cxn ang="0">
                <a:pos x="429" y="152"/>
              </a:cxn>
              <a:cxn ang="0">
                <a:pos x="444" y="162"/>
              </a:cxn>
              <a:cxn ang="0">
                <a:pos x="462" y="162"/>
              </a:cxn>
              <a:cxn ang="0">
                <a:pos x="454" y="204"/>
              </a:cxn>
              <a:cxn ang="0">
                <a:pos x="407" y="217"/>
              </a:cxn>
              <a:cxn ang="0">
                <a:pos x="359" y="184"/>
              </a:cxn>
              <a:cxn ang="0">
                <a:pos x="354" y="102"/>
              </a:cxn>
              <a:cxn ang="0">
                <a:pos x="439" y="27"/>
              </a:cxn>
              <a:cxn ang="0">
                <a:pos x="599" y="12"/>
              </a:cxn>
              <a:cxn ang="0">
                <a:pos x="752" y="77"/>
              </a:cxn>
              <a:cxn ang="0">
                <a:pos x="864" y="204"/>
              </a:cxn>
              <a:cxn ang="0">
                <a:pos x="912" y="367"/>
              </a:cxn>
              <a:cxn ang="0">
                <a:pos x="887" y="539"/>
              </a:cxn>
              <a:cxn ang="0">
                <a:pos x="784" y="699"/>
              </a:cxn>
              <a:cxn ang="0">
                <a:pos x="617" y="802"/>
              </a:cxn>
              <a:cxn ang="0">
                <a:pos x="429" y="824"/>
              </a:cxn>
              <a:cxn ang="0">
                <a:pos x="252" y="774"/>
              </a:cxn>
              <a:cxn ang="0">
                <a:pos x="102" y="667"/>
              </a:cxn>
              <a:cxn ang="0">
                <a:pos x="0" y="502"/>
              </a:cxn>
              <a:cxn ang="0">
                <a:pos x="32" y="592"/>
              </a:cxn>
              <a:cxn ang="0">
                <a:pos x="102" y="694"/>
              </a:cxn>
              <a:cxn ang="0">
                <a:pos x="214" y="792"/>
              </a:cxn>
              <a:cxn ang="0">
                <a:pos x="364" y="862"/>
              </a:cxn>
              <a:cxn ang="0">
                <a:pos x="557" y="872"/>
              </a:cxn>
              <a:cxn ang="0">
                <a:pos x="739" y="812"/>
              </a:cxn>
              <a:cxn ang="0">
                <a:pos x="884" y="677"/>
              </a:cxn>
              <a:cxn ang="0">
                <a:pos x="966" y="494"/>
              </a:cxn>
              <a:cxn ang="0">
                <a:pos x="949" y="292"/>
              </a:cxn>
              <a:cxn ang="0">
                <a:pos x="859" y="134"/>
              </a:cxn>
              <a:cxn ang="0">
                <a:pos x="724" y="39"/>
              </a:cxn>
              <a:cxn ang="0">
                <a:pos x="574" y="0"/>
              </a:cxn>
              <a:cxn ang="0">
                <a:pos x="454" y="12"/>
              </a:cxn>
              <a:cxn ang="0">
                <a:pos x="369" y="64"/>
              </a:cxn>
              <a:cxn ang="0">
                <a:pos x="342" y="157"/>
              </a:cxn>
            </a:cxnLst>
            <a:rect l="0" t="0" r="r" b="b"/>
            <a:pathLst>
              <a:path w="967" h="877">
                <a:moveTo>
                  <a:pt x="352" y="194"/>
                </a:moveTo>
                <a:lnTo>
                  <a:pt x="374" y="217"/>
                </a:lnTo>
                <a:lnTo>
                  <a:pt x="402" y="237"/>
                </a:lnTo>
                <a:lnTo>
                  <a:pt x="434" y="237"/>
                </a:lnTo>
                <a:lnTo>
                  <a:pt x="462" y="227"/>
                </a:lnTo>
                <a:lnTo>
                  <a:pt x="482" y="209"/>
                </a:lnTo>
                <a:lnTo>
                  <a:pt x="492" y="177"/>
                </a:lnTo>
                <a:lnTo>
                  <a:pt x="487" y="139"/>
                </a:lnTo>
                <a:lnTo>
                  <a:pt x="477" y="129"/>
                </a:lnTo>
                <a:lnTo>
                  <a:pt x="467" y="124"/>
                </a:lnTo>
                <a:lnTo>
                  <a:pt x="459" y="119"/>
                </a:lnTo>
                <a:lnTo>
                  <a:pt x="449" y="124"/>
                </a:lnTo>
                <a:lnTo>
                  <a:pt x="439" y="124"/>
                </a:lnTo>
                <a:lnTo>
                  <a:pt x="434" y="134"/>
                </a:lnTo>
                <a:lnTo>
                  <a:pt x="429" y="139"/>
                </a:lnTo>
                <a:lnTo>
                  <a:pt x="429" y="152"/>
                </a:lnTo>
                <a:lnTo>
                  <a:pt x="439" y="157"/>
                </a:lnTo>
                <a:lnTo>
                  <a:pt x="444" y="162"/>
                </a:lnTo>
                <a:lnTo>
                  <a:pt x="454" y="167"/>
                </a:lnTo>
                <a:lnTo>
                  <a:pt x="462" y="162"/>
                </a:lnTo>
                <a:lnTo>
                  <a:pt x="462" y="184"/>
                </a:lnTo>
                <a:lnTo>
                  <a:pt x="454" y="204"/>
                </a:lnTo>
                <a:lnTo>
                  <a:pt x="429" y="214"/>
                </a:lnTo>
                <a:lnTo>
                  <a:pt x="407" y="217"/>
                </a:lnTo>
                <a:lnTo>
                  <a:pt x="384" y="209"/>
                </a:lnTo>
                <a:lnTo>
                  <a:pt x="359" y="184"/>
                </a:lnTo>
                <a:lnTo>
                  <a:pt x="352" y="152"/>
                </a:lnTo>
                <a:lnTo>
                  <a:pt x="354" y="102"/>
                </a:lnTo>
                <a:lnTo>
                  <a:pt x="387" y="59"/>
                </a:lnTo>
                <a:lnTo>
                  <a:pt x="439" y="27"/>
                </a:lnTo>
                <a:lnTo>
                  <a:pt x="504" y="12"/>
                </a:lnTo>
                <a:lnTo>
                  <a:pt x="599" y="12"/>
                </a:lnTo>
                <a:lnTo>
                  <a:pt x="682" y="37"/>
                </a:lnTo>
                <a:lnTo>
                  <a:pt x="752" y="77"/>
                </a:lnTo>
                <a:lnTo>
                  <a:pt x="814" y="134"/>
                </a:lnTo>
                <a:lnTo>
                  <a:pt x="864" y="204"/>
                </a:lnTo>
                <a:lnTo>
                  <a:pt x="897" y="284"/>
                </a:lnTo>
                <a:lnTo>
                  <a:pt x="912" y="367"/>
                </a:lnTo>
                <a:lnTo>
                  <a:pt x="912" y="452"/>
                </a:lnTo>
                <a:lnTo>
                  <a:pt x="887" y="539"/>
                </a:lnTo>
                <a:lnTo>
                  <a:pt x="847" y="619"/>
                </a:lnTo>
                <a:lnTo>
                  <a:pt x="784" y="699"/>
                </a:lnTo>
                <a:lnTo>
                  <a:pt x="702" y="759"/>
                </a:lnTo>
                <a:lnTo>
                  <a:pt x="617" y="802"/>
                </a:lnTo>
                <a:lnTo>
                  <a:pt x="524" y="822"/>
                </a:lnTo>
                <a:lnTo>
                  <a:pt x="429" y="824"/>
                </a:lnTo>
                <a:lnTo>
                  <a:pt x="342" y="807"/>
                </a:lnTo>
                <a:lnTo>
                  <a:pt x="252" y="774"/>
                </a:lnTo>
                <a:lnTo>
                  <a:pt x="174" y="727"/>
                </a:lnTo>
                <a:lnTo>
                  <a:pt x="102" y="667"/>
                </a:lnTo>
                <a:lnTo>
                  <a:pt x="42" y="592"/>
                </a:lnTo>
                <a:lnTo>
                  <a:pt x="0" y="502"/>
                </a:lnTo>
                <a:lnTo>
                  <a:pt x="10" y="544"/>
                </a:lnTo>
                <a:lnTo>
                  <a:pt x="32" y="592"/>
                </a:lnTo>
                <a:lnTo>
                  <a:pt x="67" y="644"/>
                </a:lnTo>
                <a:lnTo>
                  <a:pt x="102" y="694"/>
                </a:lnTo>
                <a:lnTo>
                  <a:pt x="154" y="747"/>
                </a:lnTo>
                <a:lnTo>
                  <a:pt x="214" y="792"/>
                </a:lnTo>
                <a:lnTo>
                  <a:pt x="284" y="834"/>
                </a:lnTo>
                <a:lnTo>
                  <a:pt x="364" y="862"/>
                </a:lnTo>
                <a:lnTo>
                  <a:pt x="454" y="877"/>
                </a:lnTo>
                <a:lnTo>
                  <a:pt x="557" y="872"/>
                </a:lnTo>
                <a:lnTo>
                  <a:pt x="649" y="854"/>
                </a:lnTo>
                <a:lnTo>
                  <a:pt x="739" y="812"/>
                </a:lnTo>
                <a:lnTo>
                  <a:pt x="817" y="752"/>
                </a:lnTo>
                <a:lnTo>
                  <a:pt x="884" y="677"/>
                </a:lnTo>
                <a:lnTo>
                  <a:pt x="934" y="592"/>
                </a:lnTo>
                <a:lnTo>
                  <a:pt x="966" y="494"/>
                </a:lnTo>
                <a:lnTo>
                  <a:pt x="966" y="392"/>
                </a:lnTo>
                <a:lnTo>
                  <a:pt x="949" y="292"/>
                </a:lnTo>
                <a:lnTo>
                  <a:pt x="912" y="204"/>
                </a:lnTo>
                <a:lnTo>
                  <a:pt x="859" y="134"/>
                </a:lnTo>
                <a:lnTo>
                  <a:pt x="794" y="77"/>
                </a:lnTo>
                <a:lnTo>
                  <a:pt x="724" y="39"/>
                </a:lnTo>
                <a:lnTo>
                  <a:pt x="654" y="12"/>
                </a:lnTo>
                <a:lnTo>
                  <a:pt x="574" y="0"/>
                </a:lnTo>
                <a:lnTo>
                  <a:pt x="504" y="2"/>
                </a:lnTo>
                <a:lnTo>
                  <a:pt x="454" y="12"/>
                </a:lnTo>
                <a:lnTo>
                  <a:pt x="407" y="37"/>
                </a:lnTo>
                <a:lnTo>
                  <a:pt x="369" y="64"/>
                </a:lnTo>
                <a:lnTo>
                  <a:pt x="347" y="107"/>
                </a:lnTo>
                <a:lnTo>
                  <a:pt x="342" y="157"/>
                </a:lnTo>
                <a:lnTo>
                  <a:pt x="352" y="194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8356" name="Freeform 164"/>
          <xdr:cNvSpPr>
            <a:spLocks/>
          </xdr:cNvSpPr>
        </xdr:nvSpPr>
        <xdr:spPr bwMode="auto">
          <a:xfrm>
            <a:off x="683" y="525"/>
            <a:ext cx="1365" cy="720"/>
          </a:xfrm>
          <a:custGeom>
            <a:avLst/>
            <a:gdLst/>
            <a:ahLst/>
            <a:cxnLst>
              <a:cxn ang="0">
                <a:pos x="1182" y="500"/>
              </a:cxn>
              <a:cxn ang="0">
                <a:pos x="1197" y="495"/>
              </a:cxn>
              <a:cxn ang="0">
                <a:pos x="1210" y="485"/>
              </a:cxn>
              <a:cxn ang="0">
                <a:pos x="1225" y="480"/>
              </a:cxn>
              <a:cxn ang="0">
                <a:pos x="1235" y="495"/>
              </a:cxn>
              <a:cxn ang="0">
                <a:pos x="1225" y="532"/>
              </a:cxn>
              <a:cxn ang="0">
                <a:pos x="1175" y="552"/>
              </a:cxn>
              <a:cxn ang="0">
                <a:pos x="1127" y="515"/>
              </a:cxn>
              <a:cxn ang="0">
                <a:pos x="1132" y="435"/>
              </a:cxn>
              <a:cxn ang="0">
                <a:pos x="1192" y="382"/>
              </a:cxn>
              <a:cxn ang="0">
                <a:pos x="1277" y="382"/>
              </a:cxn>
              <a:cxn ang="0">
                <a:pos x="1342" y="447"/>
              </a:cxn>
              <a:cxn ang="0">
                <a:pos x="1352" y="547"/>
              </a:cxn>
              <a:cxn ang="0">
                <a:pos x="1295" y="645"/>
              </a:cxn>
              <a:cxn ang="0">
                <a:pos x="1175" y="700"/>
              </a:cxn>
              <a:cxn ang="0">
                <a:pos x="1032" y="660"/>
              </a:cxn>
              <a:cxn ang="0">
                <a:pos x="902" y="532"/>
              </a:cxn>
              <a:cxn ang="0">
                <a:pos x="795" y="350"/>
              </a:cxn>
              <a:cxn ang="0">
                <a:pos x="665" y="155"/>
              </a:cxn>
              <a:cxn ang="0">
                <a:pos x="487" y="37"/>
              </a:cxn>
              <a:cxn ang="0">
                <a:pos x="267" y="0"/>
              </a:cxn>
              <a:cxn ang="0">
                <a:pos x="0" y="55"/>
              </a:cxn>
              <a:cxn ang="0">
                <a:pos x="247" y="15"/>
              </a:cxn>
              <a:cxn ang="0">
                <a:pos x="445" y="47"/>
              </a:cxn>
              <a:cxn ang="0">
                <a:pos x="602" y="130"/>
              </a:cxn>
              <a:cxn ang="0">
                <a:pos x="720" y="265"/>
              </a:cxn>
              <a:cxn ang="0">
                <a:pos x="832" y="480"/>
              </a:cxn>
              <a:cxn ang="0">
                <a:pos x="987" y="662"/>
              </a:cxn>
              <a:cxn ang="0">
                <a:pos x="1150" y="720"/>
              </a:cxn>
              <a:cxn ang="0">
                <a:pos x="1295" y="662"/>
              </a:cxn>
              <a:cxn ang="0">
                <a:pos x="1355" y="575"/>
              </a:cxn>
              <a:cxn ang="0">
                <a:pos x="1360" y="480"/>
              </a:cxn>
              <a:cxn ang="0">
                <a:pos x="1317" y="402"/>
              </a:cxn>
              <a:cxn ang="0">
                <a:pos x="1215" y="360"/>
              </a:cxn>
              <a:cxn ang="0">
                <a:pos x="1122" y="392"/>
              </a:cxn>
              <a:cxn ang="0">
                <a:pos x="1080" y="477"/>
              </a:cxn>
              <a:cxn ang="0">
                <a:pos x="1117" y="560"/>
              </a:cxn>
              <a:cxn ang="0">
                <a:pos x="1182" y="580"/>
              </a:cxn>
              <a:cxn ang="0">
                <a:pos x="1235" y="552"/>
              </a:cxn>
              <a:cxn ang="0">
                <a:pos x="1245" y="485"/>
              </a:cxn>
              <a:cxn ang="0">
                <a:pos x="1230" y="467"/>
              </a:cxn>
              <a:cxn ang="0">
                <a:pos x="1202" y="457"/>
              </a:cxn>
              <a:cxn ang="0">
                <a:pos x="1182" y="467"/>
              </a:cxn>
              <a:cxn ang="0">
                <a:pos x="1175" y="500"/>
              </a:cxn>
            </a:cxnLst>
            <a:rect l="0" t="0" r="r" b="b"/>
            <a:pathLst>
              <a:path w="1365" h="720">
                <a:moveTo>
                  <a:pt x="1177" y="505"/>
                </a:moveTo>
                <a:lnTo>
                  <a:pt x="1182" y="500"/>
                </a:lnTo>
                <a:lnTo>
                  <a:pt x="1187" y="500"/>
                </a:lnTo>
                <a:lnTo>
                  <a:pt x="1197" y="495"/>
                </a:lnTo>
                <a:lnTo>
                  <a:pt x="1202" y="490"/>
                </a:lnTo>
                <a:lnTo>
                  <a:pt x="1210" y="485"/>
                </a:lnTo>
                <a:lnTo>
                  <a:pt x="1215" y="480"/>
                </a:lnTo>
                <a:lnTo>
                  <a:pt x="1225" y="480"/>
                </a:lnTo>
                <a:lnTo>
                  <a:pt x="1230" y="485"/>
                </a:lnTo>
                <a:lnTo>
                  <a:pt x="1235" y="495"/>
                </a:lnTo>
                <a:lnTo>
                  <a:pt x="1235" y="505"/>
                </a:lnTo>
                <a:lnTo>
                  <a:pt x="1225" y="532"/>
                </a:lnTo>
                <a:lnTo>
                  <a:pt x="1207" y="552"/>
                </a:lnTo>
                <a:lnTo>
                  <a:pt x="1175" y="552"/>
                </a:lnTo>
                <a:lnTo>
                  <a:pt x="1145" y="542"/>
                </a:lnTo>
                <a:lnTo>
                  <a:pt x="1127" y="515"/>
                </a:lnTo>
                <a:lnTo>
                  <a:pt x="1117" y="472"/>
                </a:lnTo>
                <a:lnTo>
                  <a:pt x="1132" y="435"/>
                </a:lnTo>
                <a:lnTo>
                  <a:pt x="1155" y="407"/>
                </a:lnTo>
                <a:lnTo>
                  <a:pt x="1192" y="382"/>
                </a:lnTo>
                <a:lnTo>
                  <a:pt x="1235" y="377"/>
                </a:lnTo>
                <a:lnTo>
                  <a:pt x="1277" y="382"/>
                </a:lnTo>
                <a:lnTo>
                  <a:pt x="1315" y="407"/>
                </a:lnTo>
                <a:lnTo>
                  <a:pt x="1342" y="447"/>
                </a:lnTo>
                <a:lnTo>
                  <a:pt x="1352" y="495"/>
                </a:lnTo>
                <a:lnTo>
                  <a:pt x="1352" y="547"/>
                </a:lnTo>
                <a:lnTo>
                  <a:pt x="1332" y="602"/>
                </a:lnTo>
                <a:lnTo>
                  <a:pt x="1295" y="645"/>
                </a:lnTo>
                <a:lnTo>
                  <a:pt x="1245" y="682"/>
                </a:lnTo>
                <a:lnTo>
                  <a:pt x="1175" y="700"/>
                </a:lnTo>
                <a:lnTo>
                  <a:pt x="1100" y="692"/>
                </a:lnTo>
                <a:lnTo>
                  <a:pt x="1032" y="660"/>
                </a:lnTo>
                <a:lnTo>
                  <a:pt x="967" y="602"/>
                </a:lnTo>
                <a:lnTo>
                  <a:pt x="902" y="532"/>
                </a:lnTo>
                <a:lnTo>
                  <a:pt x="847" y="445"/>
                </a:lnTo>
                <a:lnTo>
                  <a:pt x="795" y="350"/>
                </a:lnTo>
                <a:lnTo>
                  <a:pt x="735" y="242"/>
                </a:lnTo>
                <a:lnTo>
                  <a:pt x="665" y="155"/>
                </a:lnTo>
                <a:lnTo>
                  <a:pt x="580" y="85"/>
                </a:lnTo>
                <a:lnTo>
                  <a:pt x="487" y="37"/>
                </a:lnTo>
                <a:lnTo>
                  <a:pt x="385" y="5"/>
                </a:lnTo>
                <a:lnTo>
                  <a:pt x="267" y="0"/>
                </a:lnTo>
                <a:lnTo>
                  <a:pt x="140" y="15"/>
                </a:lnTo>
                <a:lnTo>
                  <a:pt x="0" y="55"/>
                </a:lnTo>
                <a:lnTo>
                  <a:pt x="132" y="22"/>
                </a:lnTo>
                <a:lnTo>
                  <a:pt x="247" y="15"/>
                </a:lnTo>
                <a:lnTo>
                  <a:pt x="352" y="22"/>
                </a:lnTo>
                <a:lnTo>
                  <a:pt x="445" y="47"/>
                </a:lnTo>
                <a:lnTo>
                  <a:pt x="530" y="85"/>
                </a:lnTo>
                <a:lnTo>
                  <a:pt x="602" y="130"/>
                </a:lnTo>
                <a:lnTo>
                  <a:pt x="665" y="195"/>
                </a:lnTo>
                <a:lnTo>
                  <a:pt x="720" y="265"/>
                </a:lnTo>
                <a:lnTo>
                  <a:pt x="762" y="345"/>
                </a:lnTo>
                <a:lnTo>
                  <a:pt x="832" y="480"/>
                </a:lnTo>
                <a:lnTo>
                  <a:pt x="907" y="587"/>
                </a:lnTo>
                <a:lnTo>
                  <a:pt x="987" y="662"/>
                </a:lnTo>
                <a:lnTo>
                  <a:pt x="1070" y="710"/>
                </a:lnTo>
                <a:lnTo>
                  <a:pt x="1150" y="720"/>
                </a:lnTo>
                <a:lnTo>
                  <a:pt x="1240" y="700"/>
                </a:lnTo>
                <a:lnTo>
                  <a:pt x="1295" y="662"/>
                </a:lnTo>
                <a:lnTo>
                  <a:pt x="1332" y="622"/>
                </a:lnTo>
                <a:lnTo>
                  <a:pt x="1355" y="575"/>
                </a:lnTo>
                <a:lnTo>
                  <a:pt x="1365" y="527"/>
                </a:lnTo>
                <a:lnTo>
                  <a:pt x="1360" y="480"/>
                </a:lnTo>
                <a:lnTo>
                  <a:pt x="1347" y="440"/>
                </a:lnTo>
                <a:lnTo>
                  <a:pt x="1317" y="402"/>
                </a:lnTo>
                <a:lnTo>
                  <a:pt x="1267" y="370"/>
                </a:lnTo>
                <a:lnTo>
                  <a:pt x="1215" y="360"/>
                </a:lnTo>
                <a:lnTo>
                  <a:pt x="1165" y="370"/>
                </a:lnTo>
                <a:lnTo>
                  <a:pt x="1122" y="392"/>
                </a:lnTo>
                <a:lnTo>
                  <a:pt x="1090" y="430"/>
                </a:lnTo>
                <a:lnTo>
                  <a:pt x="1080" y="477"/>
                </a:lnTo>
                <a:lnTo>
                  <a:pt x="1090" y="527"/>
                </a:lnTo>
                <a:lnTo>
                  <a:pt x="1117" y="560"/>
                </a:lnTo>
                <a:lnTo>
                  <a:pt x="1150" y="580"/>
                </a:lnTo>
                <a:lnTo>
                  <a:pt x="1182" y="580"/>
                </a:lnTo>
                <a:lnTo>
                  <a:pt x="1215" y="570"/>
                </a:lnTo>
                <a:lnTo>
                  <a:pt x="1235" y="552"/>
                </a:lnTo>
                <a:lnTo>
                  <a:pt x="1247" y="517"/>
                </a:lnTo>
                <a:lnTo>
                  <a:pt x="1245" y="485"/>
                </a:lnTo>
                <a:lnTo>
                  <a:pt x="1240" y="472"/>
                </a:lnTo>
                <a:lnTo>
                  <a:pt x="1230" y="467"/>
                </a:lnTo>
                <a:lnTo>
                  <a:pt x="1215" y="462"/>
                </a:lnTo>
                <a:lnTo>
                  <a:pt x="1202" y="457"/>
                </a:lnTo>
                <a:lnTo>
                  <a:pt x="1192" y="462"/>
                </a:lnTo>
                <a:lnTo>
                  <a:pt x="1182" y="467"/>
                </a:lnTo>
                <a:lnTo>
                  <a:pt x="1175" y="477"/>
                </a:lnTo>
                <a:lnTo>
                  <a:pt x="1175" y="500"/>
                </a:lnTo>
                <a:lnTo>
                  <a:pt x="1177" y="505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350" name="Group 158"/>
          <xdr:cNvGrpSpPr>
            <a:grpSpLocks/>
          </xdr:cNvGrpSpPr>
        </xdr:nvGrpSpPr>
        <xdr:grpSpPr bwMode="auto">
          <a:xfrm>
            <a:off x="778" y="257"/>
            <a:ext cx="836" cy="385"/>
            <a:chOff x="778" y="257"/>
            <a:chExt cx="836" cy="385"/>
          </a:xfrm>
        </xdr:grpSpPr>
        <xdr:sp macro="" textlink="">
          <xdr:nvSpPr>
            <xdr:cNvPr id="8355" name="Freeform 163"/>
            <xdr:cNvSpPr>
              <a:spLocks/>
            </xdr:cNvSpPr>
          </xdr:nvSpPr>
          <xdr:spPr bwMode="auto">
            <a:xfrm>
              <a:off x="778" y="257"/>
              <a:ext cx="836" cy="385"/>
            </a:xfrm>
            <a:custGeom>
              <a:avLst/>
              <a:gdLst/>
              <a:ahLst/>
              <a:cxnLst>
                <a:cxn ang="0">
                  <a:pos x="657" y="247"/>
                </a:cxn>
                <a:cxn ang="0">
                  <a:pos x="672" y="248"/>
                </a:cxn>
                <a:cxn ang="0">
                  <a:pos x="635" y="235"/>
                </a:cxn>
                <a:cxn ang="0">
                  <a:pos x="602" y="207"/>
                </a:cxn>
                <a:cxn ang="0">
                  <a:pos x="587" y="165"/>
                </a:cxn>
                <a:cxn ang="0">
                  <a:pos x="587" y="122"/>
                </a:cxn>
                <a:cxn ang="0">
                  <a:pos x="602" y="80"/>
                </a:cxn>
                <a:cxn ang="0">
                  <a:pos x="635" y="42"/>
                </a:cxn>
                <a:cxn ang="0">
                  <a:pos x="682" y="20"/>
                </a:cxn>
                <a:cxn ang="0">
                  <a:pos x="732" y="15"/>
                </a:cxn>
                <a:cxn ang="0">
                  <a:pos x="785" y="30"/>
                </a:cxn>
                <a:cxn ang="0">
                  <a:pos x="827" y="47"/>
                </a:cxn>
                <a:cxn ang="0">
                  <a:pos x="785" y="20"/>
                </a:cxn>
                <a:cxn ang="0">
                  <a:pos x="742" y="5"/>
                </a:cxn>
                <a:cxn ang="0">
                  <a:pos x="690" y="0"/>
                </a:cxn>
                <a:cxn ang="0">
                  <a:pos x="640" y="20"/>
                </a:cxn>
                <a:cxn ang="0">
                  <a:pos x="597" y="57"/>
                </a:cxn>
                <a:cxn ang="0">
                  <a:pos x="575" y="100"/>
                </a:cxn>
                <a:cxn ang="0">
                  <a:pos x="570" y="145"/>
                </a:cxn>
                <a:cxn ang="0">
                  <a:pos x="582" y="192"/>
                </a:cxn>
                <a:cxn ang="0">
                  <a:pos x="612" y="225"/>
                </a:cxn>
                <a:cxn ang="0">
                  <a:pos x="657" y="247"/>
                </a:cxn>
              </a:cxnLst>
              <a:rect l="0" t="0" r="r" b="b"/>
              <a:pathLst>
                <a:path w="836" h="385">
                  <a:moveTo>
                    <a:pt x="657" y="247"/>
                  </a:moveTo>
                  <a:lnTo>
                    <a:pt x="672" y="248"/>
                  </a:lnTo>
                  <a:lnTo>
                    <a:pt x="635" y="235"/>
                  </a:lnTo>
                  <a:lnTo>
                    <a:pt x="602" y="207"/>
                  </a:lnTo>
                  <a:lnTo>
                    <a:pt x="587" y="165"/>
                  </a:lnTo>
                  <a:lnTo>
                    <a:pt x="587" y="122"/>
                  </a:lnTo>
                  <a:lnTo>
                    <a:pt x="602" y="80"/>
                  </a:lnTo>
                  <a:lnTo>
                    <a:pt x="635" y="42"/>
                  </a:lnTo>
                  <a:lnTo>
                    <a:pt x="682" y="20"/>
                  </a:lnTo>
                  <a:lnTo>
                    <a:pt x="732" y="15"/>
                  </a:lnTo>
                  <a:lnTo>
                    <a:pt x="785" y="30"/>
                  </a:lnTo>
                  <a:lnTo>
                    <a:pt x="827" y="47"/>
                  </a:lnTo>
                  <a:lnTo>
                    <a:pt x="785" y="20"/>
                  </a:lnTo>
                  <a:lnTo>
                    <a:pt x="742" y="5"/>
                  </a:lnTo>
                  <a:lnTo>
                    <a:pt x="690" y="0"/>
                  </a:lnTo>
                  <a:lnTo>
                    <a:pt x="640" y="20"/>
                  </a:lnTo>
                  <a:lnTo>
                    <a:pt x="597" y="57"/>
                  </a:lnTo>
                  <a:lnTo>
                    <a:pt x="575" y="100"/>
                  </a:lnTo>
                  <a:lnTo>
                    <a:pt x="570" y="145"/>
                  </a:lnTo>
                  <a:lnTo>
                    <a:pt x="582" y="192"/>
                  </a:lnTo>
                  <a:lnTo>
                    <a:pt x="612" y="225"/>
                  </a:lnTo>
                  <a:lnTo>
                    <a:pt x="657" y="24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54" name="Freeform 162"/>
            <xdr:cNvSpPr>
              <a:spLocks/>
            </xdr:cNvSpPr>
          </xdr:nvSpPr>
          <xdr:spPr bwMode="auto">
            <a:xfrm>
              <a:off x="778" y="257"/>
              <a:ext cx="836" cy="385"/>
            </a:xfrm>
            <a:custGeom>
              <a:avLst/>
              <a:gdLst/>
              <a:ahLst/>
              <a:cxnLst>
                <a:cxn ang="0">
                  <a:pos x="700" y="192"/>
                </a:cxn>
                <a:cxn ang="0">
                  <a:pos x="695" y="187"/>
                </a:cxn>
                <a:cxn ang="0">
                  <a:pos x="687" y="182"/>
                </a:cxn>
                <a:cxn ang="0">
                  <a:pos x="682" y="170"/>
                </a:cxn>
                <a:cxn ang="0">
                  <a:pos x="682" y="150"/>
                </a:cxn>
                <a:cxn ang="0">
                  <a:pos x="687" y="140"/>
                </a:cxn>
                <a:cxn ang="0">
                  <a:pos x="700" y="132"/>
                </a:cxn>
                <a:cxn ang="0">
                  <a:pos x="715" y="127"/>
                </a:cxn>
                <a:cxn ang="0">
                  <a:pos x="727" y="122"/>
                </a:cxn>
                <a:cxn ang="0">
                  <a:pos x="742" y="127"/>
                </a:cxn>
                <a:cxn ang="0">
                  <a:pos x="770" y="150"/>
                </a:cxn>
                <a:cxn ang="0">
                  <a:pos x="780" y="177"/>
                </a:cxn>
                <a:cxn ang="0">
                  <a:pos x="770" y="207"/>
                </a:cxn>
                <a:cxn ang="0">
                  <a:pos x="752" y="235"/>
                </a:cxn>
                <a:cxn ang="0">
                  <a:pos x="722" y="247"/>
                </a:cxn>
                <a:cxn ang="0">
                  <a:pos x="694" y="251"/>
                </a:cxn>
                <a:cxn ang="0">
                  <a:pos x="710" y="252"/>
                </a:cxn>
                <a:cxn ang="0">
                  <a:pos x="747" y="245"/>
                </a:cxn>
                <a:cxn ang="0">
                  <a:pos x="770" y="215"/>
                </a:cxn>
                <a:cxn ang="0">
                  <a:pos x="785" y="187"/>
                </a:cxn>
                <a:cxn ang="0">
                  <a:pos x="785" y="155"/>
                </a:cxn>
                <a:cxn ang="0">
                  <a:pos x="765" y="127"/>
                </a:cxn>
                <a:cxn ang="0">
                  <a:pos x="737" y="112"/>
                </a:cxn>
                <a:cxn ang="0">
                  <a:pos x="705" y="112"/>
                </a:cxn>
                <a:cxn ang="0">
                  <a:pos x="682" y="127"/>
                </a:cxn>
                <a:cxn ang="0">
                  <a:pos x="672" y="145"/>
                </a:cxn>
                <a:cxn ang="0">
                  <a:pos x="672" y="170"/>
                </a:cxn>
                <a:cxn ang="0">
                  <a:pos x="677" y="187"/>
                </a:cxn>
                <a:cxn ang="0">
                  <a:pos x="700" y="202"/>
                </a:cxn>
                <a:cxn ang="0">
                  <a:pos x="727" y="207"/>
                </a:cxn>
                <a:cxn ang="0">
                  <a:pos x="737" y="202"/>
                </a:cxn>
                <a:cxn ang="0">
                  <a:pos x="742" y="197"/>
                </a:cxn>
                <a:cxn ang="0">
                  <a:pos x="742" y="182"/>
                </a:cxn>
                <a:cxn ang="0">
                  <a:pos x="732" y="177"/>
                </a:cxn>
                <a:cxn ang="0">
                  <a:pos x="727" y="177"/>
                </a:cxn>
                <a:cxn ang="0">
                  <a:pos x="715" y="182"/>
                </a:cxn>
                <a:cxn ang="0">
                  <a:pos x="710" y="187"/>
                </a:cxn>
                <a:cxn ang="0">
                  <a:pos x="700" y="192"/>
                </a:cxn>
              </a:cxnLst>
              <a:rect l="0" t="0" r="r" b="b"/>
              <a:pathLst>
                <a:path w="836" h="385">
                  <a:moveTo>
                    <a:pt x="700" y="192"/>
                  </a:moveTo>
                  <a:lnTo>
                    <a:pt x="695" y="187"/>
                  </a:lnTo>
                  <a:lnTo>
                    <a:pt x="687" y="182"/>
                  </a:lnTo>
                  <a:lnTo>
                    <a:pt x="682" y="170"/>
                  </a:lnTo>
                  <a:lnTo>
                    <a:pt x="682" y="150"/>
                  </a:lnTo>
                  <a:lnTo>
                    <a:pt x="687" y="140"/>
                  </a:lnTo>
                  <a:lnTo>
                    <a:pt x="700" y="132"/>
                  </a:lnTo>
                  <a:lnTo>
                    <a:pt x="715" y="127"/>
                  </a:lnTo>
                  <a:lnTo>
                    <a:pt x="727" y="122"/>
                  </a:lnTo>
                  <a:lnTo>
                    <a:pt x="742" y="127"/>
                  </a:lnTo>
                  <a:lnTo>
                    <a:pt x="770" y="150"/>
                  </a:lnTo>
                  <a:lnTo>
                    <a:pt x="780" y="177"/>
                  </a:lnTo>
                  <a:lnTo>
                    <a:pt x="770" y="207"/>
                  </a:lnTo>
                  <a:lnTo>
                    <a:pt x="752" y="235"/>
                  </a:lnTo>
                  <a:lnTo>
                    <a:pt x="722" y="247"/>
                  </a:lnTo>
                  <a:lnTo>
                    <a:pt x="694" y="251"/>
                  </a:lnTo>
                  <a:lnTo>
                    <a:pt x="710" y="252"/>
                  </a:lnTo>
                  <a:lnTo>
                    <a:pt x="747" y="245"/>
                  </a:lnTo>
                  <a:lnTo>
                    <a:pt x="770" y="215"/>
                  </a:lnTo>
                  <a:lnTo>
                    <a:pt x="785" y="187"/>
                  </a:lnTo>
                  <a:lnTo>
                    <a:pt x="785" y="155"/>
                  </a:lnTo>
                  <a:lnTo>
                    <a:pt x="765" y="127"/>
                  </a:lnTo>
                  <a:lnTo>
                    <a:pt x="737" y="112"/>
                  </a:lnTo>
                  <a:lnTo>
                    <a:pt x="705" y="112"/>
                  </a:lnTo>
                  <a:lnTo>
                    <a:pt x="682" y="127"/>
                  </a:lnTo>
                  <a:lnTo>
                    <a:pt x="672" y="145"/>
                  </a:lnTo>
                  <a:lnTo>
                    <a:pt x="672" y="170"/>
                  </a:lnTo>
                  <a:lnTo>
                    <a:pt x="677" y="187"/>
                  </a:lnTo>
                  <a:lnTo>
                    <a:pt x="700" y="202"/>
                  </a:lnTo>
                  <a:lnTo>
                    <a:pt x="727" y="207"/>
                  </a:lnTo>
                  <a:lnTo>
                    <a:pt x="737" y="202"/>
                  </a:lnTo>
                  <a:lnTo>
                    <a:pt x="742" y="197"/>
                  </a:lnTo>
                  <a:lnTo>
                    <a:pt x="742" y="182"/>
                  </a:lnTo>
                  <a:lnTo>
                    <a:pt x="732" y="177"/>
                  </a:lnTo>
                  <a:lnTo>
                    <a:pt x="727" y="177"/>
                  </a:lnTo>
                  <a:lnTo>
                    <a:pt x="715" y="182"/>
                  </a:lnTo>
                  <a:lnTo>
                    <a:pt x="710" y="187"/>
                  </a:lnTo>
                  <a:lnTo>
                    <a:pt x="700" y="19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53" name="Freeform 161"/>
            <xdr:cNvSpPr>
              <a:spLocks/>
            </xdr:cNvSpPr>
          </xdr:nvSpPr>
          <xdr:spPr bwMode="auto">
            <a:xfrm>
              <a:off x="778" y="257"/>
              <a:ext cx="836" cy="385"/>
            </a:xfrm>
            <a:custGeom>
              <a:avLst/>
              <a:gdLst/>
              <a:ahLst/>
              <a:cxnLst>
                <a:cxn ang="0">
                  <a:pos x="694" y="251"/>
                </a:cxn>
                <a:cxn ang="0">
                  <a:pos x="672" y="248"/>
                </a:cxn>
                <a:cxn ang="0">
                  <a:pos x="682" y="252"/>
                </a:cxn>
                <a:cxn ang="0">
                  <a:pos x="694" y="251"/>
                </a:cxn>
              </a:cxnLst>
              <a:rect l="0" t="0" r="r" b="b"/>
              <a:pathLst>
                <a:path w="836" h="385">
                  <a:moveTo>
                    <a:pt x="694" y="251"/>
                  </a:moveTo>
                  <a:lnTo>
                    <a:pt x="672" y="248"/>
                  </a:lnTo>
                  <a:lnTo>
                    <a:pt x="682" y="252"/>
                  </a:lnTo>
                  <a:lnTo>
                    <a:pt x="694" y="251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52" name="Freeform 160"/>
            <xdr:cNvSpPr>
              <a:spLocks/>
            </xdr:cNvSpPr>
          </xdr:nvSpPr>
          <xdr:spPr bwMode="auto">
            <a:xfrm>
              <a:off x="778" y="257"/>
              <a:ext cx="836" cy="385"/>
            </a:xfrm>
            <a:custGeom>
              <a:avLst/>
              <a:gdLst/>
              <a:ahLst/>
              <a:cxnLst>
                <a:cxn ang="0">
                  <a:pos x="836" y="58"/>
                </a:cxn>
                <a:cxn ang="0">
                  <a:pos x="827" y="47"/>
                </a:cxn>
                <a:cxn ang="0">
                  <a:pos x="830" y="52"/>
                </a:cxn>
                <a:cxn ang="0">
                  <a:pos x="836" y="58"/>
                </a:cxn>
              </a:cxnLst>
              <a:rect l="0" t="0" r="r" b="b"/>
              <a:pathLst>
                <a:path w="836" h="385">
                  <a:moveTo>
                    <a:pt x="836" y="58"/>
                  </a:moveTo>
                  <a:lnTo>
                    <a:pt x="827" y="47"/>
                  </a:lnTo>
                  <a:lnTo>
                    <a:pt x="830" y="52"/>
                  </a:lnTo>
                  <a:lnTo>
                    <a:pt x="836" y="58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51" name="Freeform 159"/>
            <xdr:cNvSpPr>
              <a:spLocks/>
            </xdr:cNvSpPr>
          </xdr:nvSpPr>
          <xdr:spPr bwMode="auto">
            <a:xfrm>
              <a:off x="778" y="257"/>
              <a:ext cx="836" cy="385"/>
            </a:xfrm>
            <a:custGeom>
              <a:avLst/>
              <a:gdLst/>
              <a:ahLst/>
              <a:cxnLst>
                <a:cxn ang="0">
                  <a:pos x="102" y="235"/>
                </a:cxn>
                <a:cxn ang="0">
                  <a:pos x="195" y="220"/>
                </a:cxn>
                <a:cxn ang="0">
                  <a:pos x="280" y="230"/>
                </a:cxn>
                <a:cxn ang="0">
                  <a:pos x="355" y="247"/>
                </a:cxn>
                <a:cxn ang="0">
                  <a:pos x="425" y="277"/>
                </a:cxn>
                <a:cxn ang="0">
                  <a:pos x="490" y="305"/>
                </a:cxn>
                <a:cxn ang="0">
                  <a:pos x="555" y="337"/>
                </a:cxn>
                <a:cxn ang="0">
                  <a:pos x="612" y="365"/>
                </a:cxn>
                <a:cxn ang="0">
                  <a:pos x="672" y="380"/>
                </a:cxn>
                <a:cxn ang="0">
                  <a:pos x="732" y="385"/>
                </a:cxn>
                <a:cxn ang="0">
                  <a:pos x="795" y="370"/>
                </a:cxn>
                <a:cxn ang="0">
                  <a:pos x="845" y="342"/>
                </a:cxn>
                <a:cxn ang="0">
                  <a:pos x="882" y="305"/>
                </a:cxn>
                <a:cxn ang="0">
                  <a:pos x="900" y="257"/>
                </a:cxn>
                <a:cxn ang="0">
                  <a:pos x="910" y="210"/>
                </a:cxn>
                <a:cxn ang="0">
                  <a:pos x="910" y="170"/>
                </a:cxn>
                <a:cxn ang="0">
                  <a:pos x="897" y="127"/>
                </a:cxn>
                <a:cxn ang="0">
                  <a:pos x="867" y="85"/>
                </a:cxn>
                <a:cxn ang="0">
                  <a:pos x="836" y="58"/>
                </a:cxn>
                <a:cxn ang="0">
                  <a:pos x="855" y="80"/>
                </a:cxn>
                <a:cxn ang="0">
                  <a:pos x="872" y="107"/>
                </a:cxn>
                <a:cxn ang="0">
                  <a:pos x="882" y="140"/>
                </a:cxn>
                <a:cxn ang="0">
                  <a:pos x="887" y="187"/>
                </a:cxn>
                <a:cxn ang="0">
                  <a:pos x="877" y="235"/>
                </a:cxn>
                <a:cxn ang="0">
                  <a:pos x="860" y="277"/>
                </a:cxn>
                <a:cxn ang="0">
                  <a:pos x="822" y="317"/>
                </a:cxn>
                <a:cxn ang="0">
                  <a:pos x="765" y="347"/>
                </a:cxn>
                <a:cxn ang="0">
                  <a:pos x="705" y="360"/>
                </a:cxn>
                <a:cxn ang="0">
                  <a:pos x="650" y="360"/>
                </a:cxn>
                <a:cxn ang="0">
                  <a:pos x="592" y="347"/>
                </a:cxn>
                <a:cxn ang="0">
                  <a:pos x="537" y="322"/>
                </a:cxn>
                <a:cxn ang="0">
                  <a:pos x="480" y="295"/>
                </a:cxn>
                <a:cxn ang="0">
                  <a:pos x="425" y="267"/>
                </a:cxn>
                <a:cxn ang="0">
                  <a:pos x="367" y="240"/>
                </a:cxn>
                <a:cxn ang="0">
                  <a:pos x="307" y="215"/>
                </a:cxn>
                <a:cxn ang="0">
                  <a:pos x="237" y="207"/>
                </a:cxn>
                <a:cxn ang="0">
                  <a:pos x="167" y="207"/>
                </a:cxn>
                <a:cxn ang="0">
                  <a:pos x="87" y="225"/>
                </a:cxn>
                <a:cxn ang="0">
                  <a:pos x="0" y="267"/>
                </a:cxn>
                <a:cxn ang="0">
                  <a:pos x="102" y="235"/>
                </a:cxn>
              </a:cxnLst>
              <a:rect l="0" t="0" r="r" b="b"/>
              <a:pathLst>
                <a:path w="836" h="385">
                  <a:moveTo>
                    <a:pt x="102" y="235"/>
                  </a:moveTo>
                  <a:lnTo>
                    <a:pt x="195" y="220"/>
                  </a:lnTo>
                  <a:lnTo>
                    <a:pt x="280" y="230"/>
                  </a:lnTo>
                  <a:lnTo>
                    <a:pt x="355" y="247"/>
                  </a:lnTo>
                  <a:lnTo>
                    <a:pt x="425" y="277"/>
                  </a:lnTo>
                  <a:lnTo>
                    <a:pt x="490" y="305"/>
                  </a:lnTo>
                  <a:lnTo>
                    <a:pt x="555" y="337"/>
                  </a:lnTo>
                  <a:lnTo>
                    <a:pt x="612" y="365"/>
                  </a:lnTo>
                  <a:lnTo>
                    <a:pt x="672" y="380"/>
                  </a:lnTo>
                  <a:lnTo>
                    <a:pt x="732" y="385"/>
                  </a:lnTo>
                  <a:lnTo>
                    <a:pt x="795" y="370"/>
                  </a:lnTo>
                  <a:lnTo>
                    <a:pt x="845" y="342"/>
                  </a:lnTo>
                  <a:lnTo>
                    <a:pt x="882" y="305"/>
                  </a:lnTo>
                  <a:lnTo>
                    <a:pt x="900" y="257"/>
                  </a:lnTo>
                  <a:lnTo>
                    <a:pt x="910" y="210"/>
                  </a:lnTo>
                  <a:lnTo>
                    <a:pt x="910" y="170"/>
                  </a:lnTo>
                  <a:lnTo>
                    <a:pt x="897" y="127"/>
                  </a:lnTo>
                  <a:lnTo>
                    <a:pt x="867" y="85"/>
                  </a:lnTo>
                  <a:lnTo>
                    <a:pt x="836" y="58"/>
                  </a:lnTo>
                  <a:lnTo>
                    <a:pt x="855" y="80"/>
                  </a:lnTo>
                  <a:lnTo>
                    <a:pt x="872" y="107"/>
                  </a:lnTo>
                  <a:lnTo>
                    <a:pt x="882" y="140"/>
                  </a:lnTo>
                  <a:lnTo>
                    <a:pt x="887" y="187"/>
                  </a:lnTo>
                  <a:lnTo>
                    <a:pt x="877" y="235"/>
                  </a:lnTo>
                  <a:lnTo>
                    <a:pt x="860" y="277"/>
                  </a:lnTo>
                  <a:lnTo>
                    <a:pt x="822" y="317"/>
                  </a:lnTo>
                  <a:lnTo>
                    <a:pt x="765" y="347"/>
                  </a:lnTo>
                  <a:lnTo>
                    <a:pt x="705" y="360"/>
                  </a:lnTo>
                  <a:lnTo>
                    <a:pt x="650" y="360"/>
                  </a:lnTo>
                  <a:lnTo>
                    <a:pt x="592" y="347"/>
                  </a:lnTo>
                  <a:lnTo>
                    <a:pt x="537" y="322"/>
                  </a:lnTo>
                  <a:lnTo>
                    <a:pt x="480" y="295"/>
                  </a:lnTo>
                  <a:lnTo>
                    <a:pt x="425" y="267"/>
                  </a:lnTo>
                  <a:lnTo>
                    <a:pt x="367" y="240"/>
                  </a:lnTo>
                  <a:lnTo>
                    <a:pt x="307" y="215"/>
                  </a:lnTo>
                  <a:lnTo>
                    <a:pt x="237" y="207"/>
                  </a:lnTo>
                  <a:lnTo>
                    <a:pt x="167" y="207"/>
                  </a:lnTo>
                  <a:lnTo>
                    <a:pt x="87" y="225"/>
                  </a:lnTo>
                  <a:lnTo>
                    <a:pt x="0" y="267"/>
                  </a:lnTo>
                  <a:lnTo>
                    <a:pt x="102" y="23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49" name="Freeform 157"/>
          <xdr:cNvSpPr>
            <a:spLocks/>
          </xdr:cNvSpPr>
        </xdr:nvSpPr>
        <xdr:spPr bwMode="auto">
          <a:xfrm>
            <a:off x="358" y="1412"/>
            <a:ext cx="60" cy="9383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0" y="9383"/>
              </a:cxn>
              <a:cxn ang="0">
                <a:pos x="2" y="9353"/>
              </a:cxn>
              <a:cxn ang="0">
                <a:pos x="7" y="9311"/>
              </a:cxn>
              <a:cxn ang="0">
                <a:pos x="17" y="9270"/>
              </a:cxn>
              <a:cxn ang="0">
                <a:pos x="27" y="9228"/>
              </a:cxn>
              <a:cxn ang="0">
                <a:pos x="35" y="9180"/>
              </a:cxn>
              <a:cxn ang="0">
                <a:pos x="50" y="9143"/>
              </a:cxn>
              <a:cxn ang="0">
                <a:pos x="55" y="9120"/>
              </a:cxn>
              <a:cxn ang="0">
                <a:pos x="60" y="9110"/>
              </a:cxn>
              <a:cxn ang="0">
                <a:pos x="60" y="272"/>
              </a:cxn>
              <a:cxn ang="0">
                <a:pos x="55" y="262"/>
              </a:cxn>
              <a:cxn ang="0">
                <a:pos x="50" y="237"/>
              </a:cxn>
              <a:cxn ang="0">
                <a:pos x="35" y="205"/>
              </a:cxn>
              <a:cxn ang="0">
                <a:pos x="27" y="160"/>
              </a:cxn>
              <a:cxn ang="0">
                <a:pos x="17" y="117"/>
              </a:cxn>
              <a:cxn ang="0">
                <a:pos x="7" y="70"/>
              </a:cxn>
              <a:cxn ang="0">
                <a:pos x="2" y="32"/>
              </a:cxn>
              <a:cxn ang="0">
                <a:pos x="0" y="0"/>
              </a:cxn>
            </a:cxnLst>
            <a:rect l="0" t="0" r="r" b="b"/>
            <a:pathLst>
              <a:path w="60" h="9383">
                <a:moveTo>
                  <a:pt x="0" y="0"/>
                </a:moveTo>
                <a:lnTo>
                  <a:pt x="0" y="9383"/>
                </a:lnTo>
                <a:lnTo>
                  <a:pt x="2" y="9353"/>
                </a:lnTo>
                <a:lnTo>
                  <a:pt x="7" y="9311"/>
                </a:lnTo>
                <a:lnTo>
                  <a:pt x="17" y="9270"/>
                </a:lnTo>
                <a:lnTo>
                  <a:pt x="27" y="9228"/>
                </a:lnTo>
                <a:lnTo>
                  <a:pt x="35" y="9180"/>
                </a:lnTo>
                <a:lnTo>
                  <a:pt x="50" y="9143"/>
                </a:lnTo>
                <a:lnTo>
                  <a:pt x="55" y="9120"/>
                </a:lnTo>
                <a:lnTo>
                  <a:pt x="60" y="9110"/>
                </a:lnTo>
                <a:lnTo>
                  <a:pt x="60" y="272"/>
                </a:lnTo>
                <a:lnTo>
                  <a:pt x="55" y="262"/>
                </a:lnTo>
                <a:lnTo>
                  <a:pt x="50" y="237"/>
                </a:lnTo>
                <a:lnTo>
                  <a:pt x="35" y="205"/>
                </a:lnTo>
                <a:lnTo>
                  <a:pt x="27" y="160"/>
                </a:lnTo>
                <a:lnTo>
                  <a:pt x="17" y="117"/>
                </a:lnTo>
                <a:lnTo>
                  <a:pt x="7" y="70"/>
                </a:lnTo>
                <a:lnTo>
                  <a:pt x="2" y="32"/>
                </a:lnTo>
                <a:lnTo>
                  <a:pt x="0" y="0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8348" name="Freeform 156"/>
          <xdr:cNvSpPr>
            <a:spLocks/>
          </xdr:cNvSpPr>
        </xdr:nvSpPr>
        <xdr:spPr bwMode="auto">
          <a:xfrm flipV="1">
            <a:off x="819" y="270"/>
            <a:ext cx="13235" cy="76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13236" y="0"/>
              </a:cxn>
            </a:cxnLst>
            <a:rect l="0" t="0" r="r" b="b"/>
            <a:pathLst>
              <a:path w="13235">
                <a:moveTo>
                  <a:pt x="0" y="0"/>
                </a:moveTo>
                <a:lnTo>
                  <a:pt x="13236" y="0"/>
                </a:lnTo>
              </a:path>
            </a:pathLst>
          </a:custGeom>
          <a:noFill/>
          <a:ln w="39370">
            <a:solidFill>
              <a:srgbClr val="322411"/>
            </a:solidFill>
            <a:round/>
            <a:headEnd/>
            <a:tailEnd/>
          </a:ln>
        </xdr:spPr>
      </xdr:sp>
      <xdr:grpSp>
        <xdr:nvGrpSpPr>
          <xdr:cNvPr id="8343" name="Group 151"/>
          <xdr:cNvGrpSpPr>
            <a:grpSpLocks/>
          </xdr:cNvGrpSpPr>
        </xdr:nvGrpSpPr>
        <xdr:grpSpPr bwMode="auto">
          <a:xfrm>
            <a:off x="14711" y="1127"/>
            <a:ext cx="752" cy="1230"/>
            <a:chOff x="14711" y="1127"/>
            <a:chExt cx="752" cy="1230"/>
          </a:xfrm>
        </xdr:grpSpPr>
        <xdr:sp macro="" textlink="">
          <xdr:nvSpPr>
            <xdr:cNvPr id="8347" name="Freeform 155"/>
            <xdr:cNvSpPr>
              <a:spLocks/>
            </xdr:cNvSpPr>
          </xdr:nvSpPr>
          <xdr:spPr bwMode="auto">
            <a:xfrm>
              <a:off x="14711" y="1127"/>
              <a:ext cx="752" cy="1230"/>
            </a:xfrm>
            <a:custGeom>
              <a:avLst/>
              <a:gdLst/>
              <a:ahLst/>
              <a:cxnLst>
                <a:cxn ang="0">
                  <a:pos x="739" y="127"/>
                </a:cxn>
                <a:cxn ang="0">
                  <a:pos x="719" y="241"/>
                </a:cxn>
                <a:cxn ang="0">
                  <a:pos x="744" y="140"/>
                </a:cxn>
                <a:cxn ang="0">
                  <a:pos x="751" y="0"/>
                </a:cxn>
                <a:cxn ang="0">
                  <a:pos x="739" y="127"/>
                </a:cxn>
              </a:cxnLst>
              <a:rect l="0" t="0" r="r" b="b"/>
              <a:pathLst>
                <a:path w="752" h="1230">
                  <a:moveTo>
                    <a:pt x="739" y="127"/>
                  </a:moveTo>
                  <a:lnTo>
                    <a:pt x="719" y="241"/>
                  </a:lnTo>
                  <a:lnTo>
                    <a:pt x="744" y="140"/>
                  </a:lnTo>
                  <a:lnTo>
                    <a:pt x="751" y="0"/>
                  </a:lnTo>
                  <a:lnTo>
                    <a:pt x="739" y="12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46" name="Freeform 154"/>
            <xdr:cNvSpPr>
              <a:spLocks/>
            </xdr:cNvSpPr>
          </xdr:nvSpPr>
          <xdr:spPr bwMode="auto">
            <a:xfrm>
              <a:off x="14711" y="1127"/>
              <a:ext cx="752" cy="1230"/>
            </a:xfrm>
            <a:custGeom>
              <a:avLst/>
              <a:gdLst/>
              <a:ahLst/>
              <a:cxnLst>
                <a:cxn ang="0">
                  <a:pos x="719" y="241"/>
                </a:cxn>
                <a:cxn ang="0">
                  <a:pos x="719" y="243"/>
                </a:cxn>
                <a:cxn ang="0">
                  <a:pos x="719" y="242"/>
                </a:cxn>
                <a:cxn ang="0">
                  <a:pos x="719" y="241"/>
                </a:cxn>
              </a:cxnLst>
              <a:rect l="0" t="0" r="r" b="b"/>
              <a:pathLst>
                <a:path w="752" h="1230">
                  <a:moveTo>
                    <a:pt x="719" y="241"/>
                  </a:moveTo>
                  <a:lnTo>
                    <a:pt x="719" y="243"/>
                  </a:lnTo>
                  <a:lnTo>
                    <a:pt x="719" y="242"/>
                  </a:lnTo>
                  <a:lnTo>
                    <a:pt x="719" y="241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45" name="Freeform 153"/>
            <xdr:cNvSpPr>
              <a:spLocks/>
            </xdr:cNvSpPr>
          </xdr:nvSpPr>
          <xdr:spPr bwMode="auto">
            <a:xfrm>
              <a:off x="14711" y="1127"/>
              <a:ext cx="752" cy="1230"/>
            </a:xfrm>
            <a:custGeom>
              <a:avLst/>
              <a:gdLst/>
              <a:ahLst/>
              <a:cxnLst>
                <a:cxn ang="0">
                  <a:pos x="94" y="945"/>
                </a:cxn>
                <a:cxn ang="0">
                  <a:pos x="107" y="1000"/>
                </a:cxn>
                <a:cxn ang="0">
                  <a:pos x="144" y="1042"/>
                </a:cxn>
                <a:cxn ang="0">
                  <a:pos x="202" y="1080"/>
                </a:cxn>
                <a:cxn ang="0">
                  <a:pos x="267" y="1102"/>
                </a:cxn>
                <a:cxn ang="0">
                  <a:pos x="342" y="1112"/>
                </a:cxn>
                <a:cxn ang="0">
                  <a:pos x="332" y="1085"/>
                </a:cxn>
                <a:cxn ang="0">
                  <a:pos x="267" y="1085"/>
                </a:cxn>
                <a:cxn ang="0">
                  <a:pos x="207" y="1065"/>
                </a:cxn>
                <a:cxn ang="0">
                  <a:pos x="154" y="1037"/>
                </a:cxn>
                <a:cxn ang="0">
                  <a:pos x="112" y="990"/>
                </a:cxn>
                <a:cxn ang="0">
                  <a:pos x="94" y="945"/>
                </a:cxn>
              </a:cxnLst>
              <a:rect l="0" t="0" r="r" b="b"/>
              <a:pathLst>
                <a:path w="752" h="1230">
                  <a:moveTo>
                    <a:pt x="94" y="945"/>
                  </a:moveTo>
                  <a:lnTo>
                    <a:pt x="107" y="1000"/>
                  </a:lnTo>
                  <a:lnTo>
                    <a:pt x="144" y="1042"/>
                  </a:lnTo>
                  <a:lnTo>
                    <a:pt x="202" y="1080"/>
                  </a:lnTo>
                  <a:lnTo>
                    <a:pt x="267" y="1102"/>
                  </a:lnTo>
                  <a:lnTo>
                    <a:pt x="342" y="1112"/>
                  </a:lnTo>
                  <a:lnTo>
                    <a:pt x="332" y="1085"/>
                  </a:lnTo>
                  <a:lnTo>
                    <a:pt x="267" y="1085"/>
                  </a:lnTo>
                  <a:lnTo>
                    <a:pt x="207" y="1065"/>
                  </a:lnTo>
                  <a:lnTo>
                    <a:pt x="154" y="1037"/>
                  </a:lnTo>
                  <a:lnTo>
                    <a:pt x="112" y="990"/>
                  </a:lnTo>
                  <a:lnTo>
                    <a:pt x="94" y="94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44" name="Freeform 152"/>
            <xdr:cNvSpPr>
              <a:spLocks/>
            </xdr:cNvSpPr>
          </xdr:nvSpPr>
          <xdr:spPr bwMode="auto">
            <a:xfrm>
              <a:off x="14711" y="1127"/>
              <a:ext cx="752" cy="1230"/>
            </a:xfrm>
            <a:custGeom>
              <a:avLst/>
              <a:gdLst/>
              <a:ahLst/>
              <a:cxnLst>
                <a:cxn ang="0">
                  <a:pos x="214" y="720"/>
                </a:cxn>
                <a:cxn ang="0">
                  <a:pos x="122" y="762"/>
                </a:cxn>
                <a:cxn ang="0">
                  <a:pos x="74" y="837"/>
                </a:cxn>
                <a:cxn ang="0">
                  <a:pos x="74" y="920"/>
                </a:cxn>
                <a:cxn ang="0">
                  <a:pos x="19" y="1010"/>
                </a:cxn>
                <a:cxn ang="0">
                  <a:pos x="4" y="1140"/>
                </a:cxn>
                <a:cxn ang="0">
                  <a:pos x="42" y="1205"/>
                </a:cxn>
                <a:cxn ang="0">
                  <a:pos x="117" y="1230"/>
                </a:cxn>
                <a:cxn ang="0">
                  <a:pos x="164" y="1197"/>
                </a:cxn>
                <a:cxn ang="0">
                  <a:pos x="112" y="1220"/>
                </a:cxn>
                <a:cxn ang="0">
                  <a:pos x="42" y="1202"/>
                </a:cxn>
                <a:cxn ang="0">
                  <a:pos x="9" y="1135"/>
                </a:cxn>
                <a:cxn ang="0">
                  <a:pos x="19" y="1047"/>
                </a:cxn>
                <a:cxn ang="0">
                  <a:pos x="84" y="955"/>
                </a:cxn>
                <a:cxn ang="0">
                  <a:pos x="107" y="1000"/>
                </a:cxn>
                <a:cxn ang="0">
                  <a:pos x="154" y="887"/>
                </a:cxn>
                <a:cxn ang="0">
                  <a:pos x="309" y="780"/>
                </a:cxn>
                <a:cxn ang="0">
                  <a:pos x="449" y="672"/>
                </a:cxn>
                <a:cxn ang="0">
                  <a:pos x="574" y="547"/>
                </a:cxn>
                <a:cxn ang="0">
                  <a:pos x="599" y="617"/>
                </a:cxn>
                <a:cxn ang="0">
                  <a:pos x="622" y="757"/>
                </a:cxn>
                <a:cxn ang="0">
                  <a:pos x="584" y="917"/>
                </a:cxn>
                <a:cxn ang="0">
                  <a:pos x="472" y="1032"/>
                </a:cxn>
                <a:cxn ang="0">
                  <a:pos x="332" y="1085"/>
                </a:cxn>
                <a:cxn ang="0">
                  <a:pos x="422" y="1097"/>
                </a:cxn>
                <a:cxn ang="0">
                  <a:pos x="562" y="1010"/>
                </a:cxn>
                <a:cxn ang="0">
                  <a:pos x="627" y="887"/>
                </a:cxn>
                <a:cxn ang="0">
                  <a:pos x="639" y="747"/>
                </a:cxn>
                <a:cxn ang="0">
                  <a:pos x="607" y="622"/>
                </a:cxn>
                <a:cxn ang="0">
                  <a:pos x="579" y="542"/>
                </a:cxn>
                <a:cxn ang="0">
                  <a:pos x="682" y="370"/>
                </a:cxn>
                <a:cxn ang="0">
                  <a:pos x="719" y="243"/>
                </a:cxn>
                <a:cxn ang="0">
                  <a:pos x="644" y="425"/>
                </a:cxn>
                <a:cxn ang="0">
                  <a:pos x="574" y="522"/>
                </a:cxn>
                <a:cxn ang="0">
                  <a:pos x="552" y="482"/>
                </a:cxn>
                <a:cxn ang="0">
                  <a:pos x="569" y="527"/>
                </a:cxn>
                <a:cxn ang="0">
                  <a:pos x="482" y="617"/>
                </a:cxn>
                <a:cxn ang="0">
                  <a:pos x="354" y="715"/>
                </a:cxn>
                <a:cxn ang="0">
                  <a:pos x="224" y="795"/>
                </a:cxn>
                <a:cxn ang="0">
                  <a:pos x="84" y="912"/>
                </a:cxn>
                <a:cxn ang="0">
                  <a:pos x="89" y="817"/>
                </a:cxn>
                <a:cxn ang="0">
                  <a:pos x="164" y="742"/>
                </a:cxn>
                <a:cxn ang="0">
                  <a:pos x="224" y="725"/>
                </a:cxn>
                <a:cxn ang="0">
                  <a:pos x="219" y="720"/>
                </a:cxn>
              </a:cxnLst>
              <a:rect l="0" t="0" r="r" b="b"/>
              <a:pathLst>
                <a:path w="752" h="1230">
                  <a:moveTo>
                    <a:pt x="219" y="720"/>
                  </a:moveTo>
                  <a:lnTo>
                    <a:pt x="214" y="720"/>
                  </a:lnTo>
                  <a:lnTo>
                    <a:pt x="159" y="735"/>
                  </a:lnTo>
                  <a:lnTo>
                    <a:pt x="122" y="762"/>
                  </a:lnTo>
                  <a:lnTo>
                    <a:pt x="94" y="800"/>
                  </a:lnTo>
                  <a:lnTo>
                    <a:pt x="74" y="837"/>
                  </a:lnTo>
                  <a:lnTo>
                    <a:pt x="69" y="880"/>
                  </a:lnTo>
                  <a:lnTo>
                    <a:pt x="74" y="920"/>
                  </a:lnTo>
                  <a:lnTo>
                    <a:pt x="62" y="940"/>
                  </a:lnTo>
                  <a:lnTo>
                    <a:pt x="19" y="1010"/>
                  </a:lnTo>
                  <a:lnTo>
                    <a:pt x="0" y="1075"/>
                  </a:lnTo>
                  <a:lnTo>
                    <a:pt x="4" y="1140"/>
                  </a:lnTo>
                  <a:lnTo>
                    <a:pt x="19" y="1177"/>
                  </a:lnTo>
                  <a:lnTo>
                    <a:pt x="42" y="1205"/>
                  </a:lnTo>
                  <a:lnTo>
                    <a:pt x="74" y="1225"/>
                  </a:lnTo>
                  <a:lnTo>
                    <a:pt x="117" y="1230"/>
                  </a:lnTo>
                  <a:lnTo>
                    <a:pt x="159" y="1205"/>
                  </a:lnTo>
                  <a:lnTo>
                    <a:pt x="164" y="1197"/>
                  </a:lnTo>
                  <a:lnTo>
                    <a:pt x="154" y="1202"/>
                  </a:lnTo>
                  <a:lnTo>
                    <a:pt x="112" y="1220"/>
                  </a:lnTo>
                  <a:lnTo>
                    <a:pt x="74" y="1220"/>
                  </a:lnTo>
                  <a:lnTo>
                    <a:pt x="42" y="1202"/>
                  </a:lnTo>
                  <a:lnTo>
                    <a:pt x="24" y="1170"/>
                  </a:lnTo>
                  <a:lnTo>
                    <a:pt x="9" y="1135"/>
                  </a:lnTo>
                  <a:lnTo>
                    <a:pt x="9" y="1095"/>
                  </a:lnTo>
                  <a:lnTo>
                    <a:pt x="19" y="1047"/>
                  </a:lnTo>
                  <a:lnTo>
                    <a:pt x="47" y="995"/>
                  </a:lnTo>
                  <a:lnTo>
                    <a:pt x="84" y="955"/>
                  </a:lnTo>
                  <a:lnTo>
                    <a:pt x="89" y="962"/>
                  </a:lnTo>
                  <a:lnTo>
                    <a:pt x="107" y="1000"/>
                  </a:lnTo>
                  <a:lnTo>
                    <a:pt x="94" y="945"/>
                  </a:lnTo>
                  <a:lnTo>
                    <a:pt x="154" y="887"/>
                  </a:lnTo>
                  <a:lnTo>
                    <a:pt x="239" y="827"/>
                  </a:lnTo>
                  <a:lnTo>
                    <a:pt x="309" y="780"/>
                  </a:lnTo>
                  <a:lnTo>
                    <a:pt x="379" y="730"/>
                  </a:lnTo>
                  <a:lnTo>
                    <a:pt x="449" y="672"/>
                  </a:lnTo>
                  <a:lnTo>
                    <a:pt x="519" y="612"/>
                  </a:lnTo>
                  <a:lnTo>
                    <a:pt x="574" y="547"/>
                  </a:lnTo>
                  <a:lnTo>
                    <a:pt x="584" y="560"/>
                  </a:lnTo>
                  <a:lnTo>
                    <a:pt x="599" y="617"/>
                  </a:lnTo>
                  <a:lnTo>
                    <a:pt x="612" y="667"/>
                  </a:lnTo>
                  <a:lnTo>
                    <a:pt x="622" y="757"/>
                  </a:lnTo>
                  <a:lnTo>
                    <a:pt x="612" y="842"/>
                  </a:lnTo>
                  <a:lnTo>
                    <a:pt x="584" y="917"/>
                  </a:lnTo>
                  <a:lnTo>
                    <a:pt x="537" y="982"/>
                  </a:lnTo>
                  <a:lnTo>
                    <a:pt x="472" y="1032"/>
                  </a:lnTo>
                  <a:lnTo>
                    <a:pt x="402" y="1065"/>
                  </a:lnTo>
                  <a:lnTo>
                    <a:pt x="332" y="1085"/>
                  </a:lnTo>
                  <a:lnTo>
                    <a:pt x="342" y="1112"/>
                  </a:lnTo>
                  <a:lnTo>
                    <a:pt x="422" y="1097"/>
                  </a:lnTo>
                  <a:lnTo>
                    <a:pt x="504" y="1057"/>
                  </a:lnTo>
                  <a:lnTo>
                    <a:pt x="562" y="1010"/>
                  </a:lnTo>
                  <a:lnTo>
                    <a:pt x="602" y="955"/>
                  </a:lnTo>
                  <a:lnTo>
                    <a:pt x="627" y="887"/>
                  </a:lnTo>
                  <a:lnTo>
                    <a:pt x="639" y="822"/>
                  </a:lnTo>
                  <a:lnTo>
                    <a:pt x="639" y="747"/>
                  </a:lnTo>
                  <a:lnTo>
                    <a:pt x="627" y="677"/>
                  </a:lnTo>
                  <a:lnTo>
                    <a:pt x="607" y="622"/>
                  </a:lnTo>
                  <a:lnTo>
                    <a:pt x="589" y="565"/>
                  </a:lnTo>
                  <a:lnTo>
                    <a:pt x="579" y="542"/>
                  </a:lnTo>
                  <a:lnTo>
                    <a:pt x="637" y="462"/>
                  </a:lnTo>
                  <a:lnTo>
                    <a:pt x="682" y="370"/>
                  </a:lnTo>
                  <a:lnTo>
                    <a:pt x="714" y="262"/>
                  </a:lnTo>
                  <a:lnTo>
                    <a:pt x="719" y="243"/>
                  </a:lnTo>
                  <a:lnTo>
                    <a:pt x="687" y="342"/>
                  </a:lnTo>
                  <a:lnTo>
                    <a:pt x="644" y="425"/>
                  </a:lnTo>
                  <a:lnTo>
                    <a:pt x="594" y="500"/>
                  </a:lnTo>
                  <a:lnTo>
                    <a:pt x="574" y="522"/>
                  </a:lnTo>
                  <a:lnTo>
                    <a:pt x="569" y="515"/>
                  </a:lnTo>
                  <a:lnTo>
                    <a:pt x="552" y="482"/>
                  </a:lnTo>
                  <a:lnTo>
                    <a:pt x="567" y="515"/>
                  </a:lnTo>
                  <a:lnTo>
                    <a:pt x="569" y="527"/>
                  </a:lnTo>
                  <a:lnTo>
                    <a:pt x="542" y="560"/>
                  </a:lnTo>
                  <a:lnTo>
                    <a:pt x="482" y="617"/>
                  </a:lnTo>
                  <a:lnTo>
                    <a:pt x="422" y="667"/>
                  </a:lnTo>
                  <a:lnTo>
                    <a:pt x="354" y="715"/>
                  </a:lnTo>
                  <a:lnTo>
                    <a:pt x="289" y="757"/>
                  </a:lnTo>
                  <a:lnTo>
                    <a:pt x="224" y="795"/>
                  </a:lnTo>
                  <a:lnTo>
                    <a:pt x="127" y="870"/>
                  </a:lnTo>
                  <a:lnTo>
                    <a:pt x="84" y="912"/>
                  </a:lnTo>
                  <a:lnTo>
                    <a:pt x="79" y="870"/>
                  </a:lnTo>
                  <a:lnTo>
                    <a:pt x="89" y="817"/>
                  </a:lnTo>
                  <a:lnTo>
                    <a:pt x="122" y="772"/>
                  </a:lnTo>
                  <a:lnTo>
                    <a:pt x="164" y="742"/>
                  </a:lnTo>
                  <a:lnTo>
                    <a:pt x="219" y="725"/>
                  </a:lnTo>
                  <a:lnTo>
                    <a:pt x="224" y="725"/>
                  </a:lnTo>
                  <a:lnTo>
                    <a:pt x="224" y="720"/>
                  </a:lnTo>
                  <a:lnTo>
                    <a:pt x="219" y="72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340" name="Group 148"/>
          <xdr:cNvGrpSpPr>
            <a:grpSpLocks/>
          </xdr:cNvGrpSpPr>
        </xdr:nvGrpSpPr>
        <xdr:grpSpPr bwMode="auto">
          <a:xfrm>
            <a:off x="14426" y="949"/>
            <a:ext cx="430" cy="790"/>
            <a:chOff x="14426" y="949"/>
            <a:chExt cx="430" cy="790"/>
          </a:xfrm>
        </xdr:grpSpPr>
        <xdr:sp macro="" textlink="">
          <xdr:nvSpPr>
            <xdr:cNvPr id="8342" name="Freeform 150"/>
            <xdr:cNvSpPr>
              <a:spLocks/>
            </xdr:cNvSpPr>
          </xdr:nvSpPr>
          <xdr:spPr bwMode="auto">
            <a:xfrm>
              <a:off x="14426" y="949"/>
              <a:ext cx="430" cy="790"/>
            </a:xfrm>
            <a:custGeom>
              <a:avLst/>
              <a:gdLst/>
              <a:ahLst/>
              <a:cxnLst>
                <a:cxn ang="0">
                  <a:pos x="375" y="139"/>
                </a:cxn>
                <a:cxn ang="0">
                  <a:pos x="375" y="122"/>
                </a:cxn>
                <a:cxn ang="0">
                  <a:pos x="390" y="69"/>
                </a:cxn>
                <a:cxn ang="0">
                  <a:pos x="417" y="27"/>
                </a:cxn>
                <a:cxn ang="0">
                  <a:pos x="430" y="0"/>
                </a:cxn>
                <a:cxn ang="0">
                  <a:pos x="407" y="14"/>
                </a:cxn>
                <a:cxn ang="0">
                  <a:pos x="375" y="54"/>
                </a:cxn>
                <a:cxn ang="0">
                  <a:pos x="375" y="139"/>
                </a:cxn>
              </a:cxnLst>
              <a:rect l="0" t="0" r="r" b="b"/>
              <a:pathLst>
                <a:path w="430" h="790">
                  <a:moveTo>
                    <a:pt x="375" y="139"/>
                  </a:moveTo>
                  <a:lnTo>
                    <a:pt x="375" y="122"/>
                  </a:lnTo>
                  <a:lnTo>
                    <a:pt x="390" y="69"/>
                  </a:lnTo>
                  <a:lnTo>
                    <a:pt x="417" y="27"/>
                  </a:lnTo>
                  <a:lnTo>
                    <a:pt x="430" y="0"/>
                  </a:lnTo>
                  <a:lnTo>
                    <a:pt x="407" y="14"/>
                  </a:lnTo>
                  <a:lnTo>
                    <a:pt x="375" y="54"/>
                  </a:lnTo>
                  <a:lnTo>
                    <a:pt x="375" y="139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41" name="Freeform 149"/>
            <xdr:cNvSpPr>
              <a:spLocks/>
            </xdr:cNvSpPr>
          </xdr:nvSpPr>
          <xdr:spPr bwMode="auto">
            <a:xfrm>
              <a:off x="14426" y="949"/>
              <a:ext cx="430" cy="790"/>
            </a:xfrm>
            <a:custGeom>
              <a:avLst/>
              <a:gdLst/>
              <a:ahLst/>
              <a:cxnLst>
                <a:cxn ang="0">
                  <a:pos x="430" y="22"/>
                </a:cxn>
                <a:cxn ang="0">
                  <a:pos x="430" y="69"/>
                </a:cxn>
                <a:cxn ang="0">
                  <a:pos x="385" y="134"/>
                </a:cxn>
                <a:cxn ang="0">
                  <a:pos x="375" y="54"/>
                </a:cxn>
                <a:cxn ang="0">
                  <a:pos x="365" y="149"/>
                </a:cxn>
                <a:cxn ang="0">
                  <a:pos x="290" y="172"/>
                </a:cxn>
                <a:cxn ang="0">
                  <a:pos x="365" y="159"/>
                </a:cxn>
                <a:cxn ang="0">
                  <a:pos x="392" y="242"/>
                </a:cxn>
                <a:cxn ang="0">
                  <a:pos x="515" y="359"/>
                </a:cxn>
                <a:cxn ang="0">
                  <a:pos x="677" y="397"/>
                </a:cxn>
                <a:cxn ang="0">
                  <a:pos x="837" y="354"/>
                </a:cxn>
                <a:cxn ang="0">
                  <a:pos x="972" y="242"/>
                </a:cxn>
                <a:cxn ang="0">
                  <a:pos x="1057" y="59"/>
                </a:cxn>
                <a:cxn ang="0">
                  <a:pos x="1057" y="-149"/>
                </a:cxn>
                <a:cxn ang="0">
                  <a:pos x="962" y="-364"/>
                </a:cxn>
                <a:cxn ang="0">
                  <a:pos x="815" y="-504"/>
                </a:cxn>
                <a:cxn ang="0">
                  <a:pos x="617" y="-589"/>
                </a:cxn>
                <a:cxn ang="0">
                  <a:pos x="385" y="-634"/>
                </a:cxn>
                <a:cxn ang="0">
                  <a:pos x="132" y="-649"/>
                </a:cxn>
                <a:cxn ang="0">
                  <a:pos x="70" y="-644"/>
                </a:cxn>
                <a:cxn ang="0">
                  <a:pos x="30" y="-634"/>
                </a:cxn>
                <a:cxn ang="0">
                  <a:pos x="4" y="-622"/>
                </a:cxn>
                <a:cxn ang="0">
                  <a:pos x="0" y="-607"/>
                </a:cxn>
                <a:cxn ang="0">
                  <a:pos x="25" y="-597"/>
                </a:cxn>
                <a:cxn ang="0">
                  <a:pos x="70" y="-589"/>
                </a:cxn>
                <a:cxn ang="0">
                  <a:pos x="257" y="-584"/>
                </a:cxn>
                <a:cxn ang="0">
                  <a:pos x="590" y="-542"/>
                </a:cxn>
                <a:cxn ang="0">
                  <a:pos x="777" y="-472"/>
                </a:cxn>
                <a:cxn ang="0">
                  <a:pos x="922" y="-349"/>
                </a:cxn>
                <a:cxn ang="0">
                  <a:pos x="1005" y="-192"/>
                </a:cxn>
                <a:cxn ang="0">
                  <a:pos x="1030" y="-9"/>
                </a:cxn>
                <a:cxn ang="0">
                  <a:pos x="1000" y="159"/>
                </a:cxn>
                <a:cxn ang="0">
                  <a:pos x="907" y="289"/>
                </a:cxn>
                <a:cxn ang="0">
                  <a:pos x="762" y="369"/>
                </a:cxn>
                <a:cxn ang="0">
                  <a:pos x="600" y="377"/>
                </a:cxn>
                <a:cxn ang="0">
                  <a:pos x="455" y="304"/>
                </a:cxn>
                <a:cxn ang="0">
                  <a:pos x="380" y="182"/>
                </a:cxn>
                <a:cxn ang="0">
                  <a:pos x="380" y="149"/>
                </a:cxn>
                <a:cxn ang="0">
                  <a:pos x="430" y="89"/>
                </a:cxn>
                <a:cxn ang="0">
                  <a:pos x="450" y="27"/>
                </a:cxn>
                <a:cxn ang="0">
                  <a:pos x="430" y="0"/>
                </a:cxn>
              </a:cxnLst>
              <a:rect l="0" t="0" r="r" b="b"/>
              <a:pathLst>
                <a:path w="430" h="790">
                  <a:moveTo>
                    <a:pt x="417" y="27"/>
                  </a:moveTo>
                  <a:lnTo>
                    <a:pt x="430" y="22"/>
                  </a:lnTo>
                  <a:lnTo>
                    <a:pt x="435" y="42"/>
                  </a:lnTo>
                  <a:lnTo>
                    <a:pt x="430" y="69"/>
                  </a:lnTo>
                  <a:lnTo>
                    <a:pt x="412" y="102"/>
                  </a:lnTo>
                  <a:lnTo>
                    <a:pt x="385" y="134"/>
                  </a:lnTo>
                  <a:lnTo>
                    <a:pt x="375" y="139"/>
                  </a:lnTo>
                  <a:lnTo>
                    <a:pt x="375" y="54"/>
                  </a:lnTo>
                  <a:lnTo>
                    <a:pt x="360" y="112"/>
                  </a:lnTo>
                  <a:lnTo>
                    <a:pt x="365" y="149"/>
                  </a:lnTo>
                  <a:lnTo>
                    <a:pt x="342" y="162"/>
                  </a:lnTo>
                  <a:lnTo>
                    <a:pt x="290" y="172"/>
                  </a:lnTo>
                  <a:lnTo>
                    <a:pt x="342" y="167"/>
                  </a:lnTo>
                  <a:lnTo>
                    <a:pt x="365" y="159"/>
                  </a:lnTo>
                  <a:lnTo>
                    <a:pt x="365" y="177"/>
                  </a:lnTo>
                  <a:lnTo>
                    <a:pt x="392" y="242"/>
                  </a:lnTo>
                  <a:lnTo>
                    <a:pt x="440" y="307"/>
                  </a:lnTo>
                  <a:lnTo>
                    <a:pt x="515" y="359"/>
                  </a:lnTo>
                  <a:lnTo>
                    <a:pt x="595" y="392"/>
                  </a:lnTo>
                  <a:lnTo>
                    <a:pt x="677" y="397"/>
                  </a:lnTo>
                  <a:lnTo>
                    <a:pt x="757" y="387"/>
                  </a:lnTo>
                  <a:lnTo>
                    <a:pt x="837" y="354"/>
                  </a:lnTo>
                  <a:lnTo>
                    <a:pt x="912" y="304"/>
                  </a:lnTo>
                  <a:lnTo>
                    <a:pt x="972" y="242"/>
                  </a:lnTo>
                  <a:lnTo>
                    <a:pt x="1025" y="159"/>
                  </a:lnTo>
                  <a:lnTo>
                    <a:pt x="1057" y="59"/>
                  </a:lnTo>
                  <a:lnTo>
                    <a:pt x="1067" y="-42"/>
                  </a:lnTo>
                  <a:lnTo>
                    <a:pt x="1057" y="-149"/>
                  </a:lnTo>
                  <a:lnTo>
                    <a:pt x="1025" y="-262"/>
                  </a:lnTo>
                  <a:lnTo>
                    <a:pt x="962" y="-364"/>
                  </a:lnTo>
                  <a:lnTo>
                    <a:pt x="892" y="-444"/>
                  </a:lnTo>
                  <a:lnTo>
                    <a:pt x="815" y="-504"/>
                  </a:lnTo>
                  <a:lnTo>
                    <a:pt x="720" y="-552"/>
                  </a:lnTo>
                  <a:lnTo>
                    <a:pt x="617" y="-589"/>
                  </a:lnTo>
                  <a:lnTo>
                    <a:pt x="505" y="-617"/>
                  </a:lnTo>
                  <a:lnTo>
                    <a:pt x="385" y="-634"/>
                  </a:lnTo>
                  <a:lnTo>
                    <a:pt x="262" y="-644"/>
                  </a:lnTo>
                  <a:lnTo>
                    <a:pt x="132" y="-649"/>
                  </a:lnTo>
                  <a:lnTo>
                    <a:pt x="100" y="-644"/>
                  </a:lnTo>
                  <a:lnTo>
                    <a:pt x="70" y="-644"/>
                  </a:lnTo>
                  <a:lnTo>
                    <a:pt x="47" y="-639"/>
                  </a:lnTo>
                  <a:lnTo>
                    <a:pt x="30" y="-634"/>
                  </a:lnTo>
                  <a:lnTo>
                    <a:pt x="9" y="-629"/>
                  </a:lnTo>
                  <a:lnTo>
                    <a:pt x="4" y="-622"/>
                  </a:lnTo>
                  <a:lnTo>
                    <a:pt x="0" y="-617"/>
                  </a:lnTo>
                  <a:lnTo>
                    <a:pt x="0" y="-607"/>
                  </a:lnTo>
                  <a:lnTo>
                    <a:pt x="9" y="-602"/>
                  </a:lnTo>
                  <a:lnTo>
                    <a:pt x="25" y="-597"/>
                  </a:lnTo>
                  <a:lnTo>
                    <a:pt x="42" y="-592"/>
                  </a:lnTo>
                  <a:lnTo>
                    <a:pt x="70" y="-589"/>
                  </a:lnTo>
                  <a:lnTo>
                    <a:pt x="102" y="-589"/>
                  </a:lnTo>
                  <a:lnTo>
                    <a:pt x="257" y="-584"/>
                  </a:lnTo>
                  <a:lnTo>
                    <a:pt x="425" y="-569"/>
                  </a:lnTo>
                  <a:lnTo>
                    <a:pt x="590" y="-542"/>
                  </a:lnTo>
                  <a:lnTo>
                    <a:pt x="687" y="-514"/>
                  </a:lnTo>
                  <a:lnTo>
                    <a:pt x="777" y="-472"/>
                  </a:lnTo>
                  <a:lnTo>
                    <a:pt x="852" y="-414"/>
                  </a:lnTo>
                  <a:lnTo>
                    <a:pt x="922" y="-349"/>
                  </a:lnTo>
                  <a:lnTo>
                    <a:pt x="972" y="-274"/>
                  </a:lnTo>
                  <a:lnTo>
                    <a:pt x="1005" y="-192"/>
                  </a:lnTo>
                  <a:lnTo>
                    <a:pt x="1025" y="-97"/>
                  </a:lnTo>
                  <a:lnTo>
                    <a:pt x="1030" y="-9"/>
                  </a:lnTo>
                  <a:lnTo>
                    <a:pt x="1025" y="79"/>
                  </a:lnTo>
                  <a:lnTo>
                    <a:pt x="1000" y="159"/>
                  </a:lnTo>
                  <a:lnTo>
                    <a:pt x="962" y="229"/>
                  </a:lnTo>
                  <a:lnTo>
                    <a:pt x="907" y="289"/>
                  </a:lnTo>
                  <a:lnTo>
                    <a:pt x="837" y="342"/>
                  </a:lnTo>
                  <a:lnTo>
                    <a:pt x="762" y="369"/>
                  </a:lnTo>
                  <a:lnTo>
                    <a:pt x="682" y="382"/>
                  </a:lnTo>
                  <a:lnTo>
                    <a:pt x="600" y="377"/>
                  </a:lnTo>
                  <a:lnTo>
                    <a:pt x="525" y="349"/>
                  </a:lnTo>
                  <a:lnTo>
                    <a:pt x="455" y="304"/>
                  </a:lnTo>
                  <a:lnTo>
                    <a:pt x="407" y="242"/>
                  </a:lnTo>
                  <a:lnTo>
                    <a:pt x="380" y="182"/>
                  </a:lnTo>
                  <a:lnTo>
                    <a:pt x="375" y="149"/>
                  </a:lnTo>
                  <a:lnTo>
                    <a:pt x="380" y="149"/>
                  </a:lnTo>
                  <a:lnTo>
                    <a:pt x="412" y="122"/>
                  </a:lnTo>
                  <a:lnTo>
                    <a:pt x="430" y="89"/>
                  </a:lnTo>
                  <a:lnTo>
                    <a:pt x="445" y="54"/>
                  </a:lnTo>
                  <a:lnTo>
                    <a:pt x="450" y="27"/>
                  </a:lnTo>
                  <a:lnTo>
                    <a:pt x="445" y="4"/>
                  </a:lnTo>
                  <a:lnTo>
                    <a:pt x="430" y="0"/>
                  </a:lnTo>
                  <a:lnTo>
                    <a:pt x="417" y="2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39" name="Freeform 147"/>
          <xdr:cNvSpPr>
            <a:spLocks/>
          </xdr:cNvSpPr>
        </xdr:nvSpPr>
        <xdr:spPr bwMode="auto">
          <a:xfrm>
            <a:off x="14496" y="610"/>
            <a:ext cx="973" cy="877"/>
          </a:xfrm>
          <a:custGeom>
            <a:avLst/>
            <a:gdLst/>
            <a:ahLst/>
            <a:cxnLst>
              <a:cxn ang="0">
                <a:pos x="492" y="129"/>
              </a:cxn>
              <a:cxn ang="0">
                <a:pos x="477" y="177"/>
              </a:cxn>
              <a:cxn ang="0">
                <a:pos x="510" y="227"/>
              </a:cxn>
              <a:cxn ang="0">
                <a:pos x="570" y="237"/>
              </a:cxn>
              <a:cxn ang="0">
                <a:pos x="617" y="194"/>
              </a:cxn>
              <a:cxn ang="0">
                <a:pos x="627" y="107"/>
              </a:cxn>
              <a:cxn ang="0">
                <a:pos x="567" y="37"/>
              </a:cxn>
              <a:cxn ang="0">
                <a:pos x="467" y="2"/>
              </a:cxn>
              <a:cxn ang="0">
                <a:pos x="320" y="12"/>
              </a:cxn>
              <a:cxn ang="0">
                <a:pos x="175" y="77"/>
              </a:cxn>
              <a:cxn ang="0">
                <a:pos x="62" y="204"/>
              </a:cxn>
              <a:cxn ang="0">
                <a:pos x="0" y="392"/>
              </a:cxn>
              <a:cxn ang="0">
                <a:pos x="32" y="592"/>
              </a:cxn>
              <a:cxn ang="0">
                <a:pos x="155" y="752"/>
              </a:cxn>
              <a:cxn ang="0">
                <a:pos x="322" y="854"/>
              </a:cxn>
              <a:cxn ang="0">
                <a:pos x="515" y="877"/>
              </a:cxn>
              <a:cxn ang="0">
                <a:pos x="687" y="834"/>
              </a:cxn>
              <a:cxn ang="0">
                <a:pos x="817" y="747"/>
              </a:cxn>
              <a:cxn ang="0">
                <a:pos x="907" y="644"/>
              </a:cxn>
              <a:cxn ang="0">
                <a:pos x="960" y="544"/>
              </a:cxn>
              <a:cxn ang="0">
                <a:pos x="925" y="592"/>
              </a:cxn>
              <a:cxn ang="0">
                <a:pos x="795" y="727"/>
              </a:cxn>
              <a:cxn ang="0">
                <a:pos x="632" y="807"/>
              </a:cxn>
              <a:cxn ang="0">
                <a:pos x="445" y="822"/>
              </a:cxn>
              <a:cxn ang="0">
                <a:pos x="267" y="759"/>
              </a:cxn>
              <a:cxn ang="0">
                <a:pos x="122" y="619"/>
              </a:cxn>
              <a:cxn ang="0">
                <a:pos x="62" y="452"/>
              </a:cxn>
              <a:cxn ang="0">
                <a:pos x="75" y="284"/>
              </a:cxn>
              <a:cxn ang="0">
                <a:pos x="155" y="134"/>
              </a:cxn>
              <a:cxn ang="0">
                <a:pos x="290" y="37"/>
              </a:cxn>
              <a:cxn ang="0">
                <a:pos x="467" y="12"/>
              </a:cxn>
              <a:cxn ang="0">
                <a:pos x="585" y="59"/>
              </a:cxn>
              <a:cxn ang="0">
                <a:pos x="617" y="152"/>
              </a:cxn>
              <a:cxn ang="0">
                <a:pos x="590" y="209"/>
              </a:cxn>
              <a:cxn ang="0">
                <a:pos x="537" y="214"/>
              </a:cxn>
              <a:cxn ang="0">
                <a:pos x="505" y="184"/>
              </a:cxn>
              <a:cxn ang="0">
                <a:pos x="515" y="167"/>
              </a:cxn>
              <a:cxn ang="0">
                <a:pos x="532" y="157"/>
              </a:cxn>
              <a:cxn ang="0">
                <a:pos x="537" y="134"/>
              </a:cxn>
              <a:cxn ang="0">
                <a:pos x="525" y="124"/>
              </a:cxn>
              <a:cxn ang="0">
                <a:pos x="500" y="124"/>
              </a:cxn>
            </a:cxnLst>
            <a:rect l="0" t="0" r="r" b="b"/>
            <a:pathLst>
              <a:path w="973" h="877">
                <a:moveTo>
                  <a:pt x="500" y="124"/>
                </a:moveTo>
                <a:lnTo>
                  <a:pt x="492" y="129"/>
                </a:lnTo>
                <a:lnTo>
                  <a:pt x="487" y="139"/>
                </a:lnTo>
                <a:lnTo>
                  <a:pt x="477" y="177"/>
                </a:lnTo>
                <a:lnTo>
                  <a:pt x="487" y="209"/>
                </a:lnTo>
                <a:lnTo>
                  <a:pt x="510" y="227"/>
                </a:lnTo>
                <a:lnTo>
                  <a:pt x="532" y="237"/>
                </a:lnTo>
                <a:lnTo>
                  <a:pt x="570" y="237"/>
                </a:lnTo>
                <a:lnTo>
                  <a:pt x="600" y="217"/>
                </a:lnTo>
                <a:lnTo>
                  <a:pt x="617" y="194"/>
                </a:lnTo>
                <a:lnTo>
                  <a:pt x="627" y="157"/>
                </a:lnTo>
                <a:lnTo>
                  <a:pt x="627" y="107"/>
                </a:lnTo>
                <a:lnTo>
                  <a:pt x="605" y="64"/>
                </a:lnTo>
                <a:lnTo>
                  <a:pt x="567" y="37"/>
                </a:lnTo>
                <a:lnTo>
                  <a:pt x="520" y="12"/>
                </a:lnTo>
                <a:lnTo>
                  <a:pt x="467" y="2"/>
                </a:lnTo>
                <a:lnTo>
                  <a:pt x="392" y="0"/>
                </a:lnTo>
                <a:lnTo>
                  <a:pt x="320" y="12"/>
                </a:lnTo>
                <a:lnTo>
                  <a:pt x="245" y="39"/>
                </a:lnTo>
                <a:lnTo>
                  <a:pt x="175" y="77"/>
                </a:lnTo>
                <a:lnTo>
                  <a:pt x="112" y="134"/>
                </a:lnTo>
                <a:lnTo>
                  <a:pt x="62" y="204"/>
                </a:lnTo>
                <a:lnTo>
                  <a:pt x="24" y="292"/>
                </a:lnTo>
                <a:lnTo>
                  <a:pt x="0" y="392"/>
                </a:lnTo>
                <a:lnTo>
                  <a:pt x="4" y="494"/>
                </a:lnTo>
                <a:lnTo>
                  <a:pt x="32" y="592"/>
                </a:lnTo>
                <a:lnTo>
                  <a:pt x="85" y="677"/>
                </a:lnTo>
                <a:lnTo>
                  <a:pt x="155" y="752"/>
                </a:lnTo>
                <a:lnTo>
                  <a:pt x="235" y="812"/>
                </a:lnTo>
                <a:lnTo>
                  <a:pt x="322" y="854"/>
                </a:lnTo>
                <a:lnTo>
                  <a:pt x="417" y="872"/>
                </a:lnTo>
                <a:lnTo>
                  <a:pt x="515" y="877"/>
                </a:lnTo>
                <a:lnTo>
                  <a:pt x="607" y="862"/>
                </a:lnTo>
                <a:lnTo>
                  <a:pt x="687" y="834"/>
                </a:lnTo>
                <a:lnTo>
                  <a:pt x="757" y="792"/>
                </a:lnTo>
                <a:lnTo>
                  <a:pt x="817" y="747"/>
                </a:lnTo>
                <a:lnTo>
                  <a:pt x="865" y="694"/>
                </a:lnTo>
                <a:lnTo>
                  <a:pt x="907" y="644"/>
                </a:lnTo>
                <a:lnTo>
                  <a:pt x="940" y="592"/>
                </a:lnTo>
                <a:lnTo>
                  <a:pt x="960" y="544"/>
                </a:lnTo>
                <a:lnTo>
                  <a:pt x="972" y="502"/>
                </a:lnTo>
                <a:lnTo>
                  <a:pt x="925" y="592"/>
                </a:lnTo>
                <a:lnTo>
                  <a:pt x="870" y="667"/>
                </a:lnTo>
                <a:lnTo>
                  <a:pt x="795" y="727"/>
                </a:lnTo>
                <a:lnTo>
                  <a:pt x="715" y="774"/>
                </a:lnTo>
                <a:lnTo>
                  <a:pt x="632" y="807"/>
                </a:lnTo>
                <a:lnTo>
                  <a:pt x="537" y="824"/>
                </a:lnTo>
                <a:lnTo>
                  <a:pt x="445" y="822"/>
                </a:lnTo>
                <a:lnTo>
                  <a:pt x="355" y="802"/>
                </a:lnTo>
                <a:lnTo>
                  <a:pt x="267" y="759"/>
                </a:lnTo>
                <a:lnTo>
                  <a:pt x="187" y="699"/>
                </a:lnTo>
                <a:lnTo>
                  <a:pt x="122" y="619"/>
                </a:lnTo>
                <a:lnTo>
                  <a:pt x="80" y="539"/>
                </a:lnTo>
                <a:lnTo>
                  <a:pt x="62" y="452"/>
                </a:lnTo>
                <a:lnTo>
                  <a:pt x="57" y="367"/>
                </a:lnTo>
                <a:lnTo>
                  <a:pt x="75" y="284"/>
                </a:lnTo>
                <a:lnTo>
                  <a:pt x="107" y="204"/>
                </a:lnTo>
                <a:lnTo>
                  <a:pt x="155" y="134"/>
                </a:lnTo>
                <a:lnTo>
                  <a:pt x="215" y="77"/>
                </a:lnTo>
                <a:lnTo>
                  <a:pt x="290" y="37"/>
                </a:lnTo>
                <a:lnTo>
                  <a:pt x="375" y="12"/>
                </a:lnTo>
                <a:lnTo>
                  <a:pt x="467" y="12"/>
                </a:lnTo>
                <a:lnTo>
                  <a:pt x="532" y="27"/>
                </a:lnTo>
                <a:lnTo>
                  <a:pt x="585" y="59"/>
                </a:lnTo>
                <a:lnTo>
                  <a:pt x="612" y="102"/>
                </a:lnTo>
                <a:lnTo>
                  <a:pt x="617" y="152"/>
                </a:lnTo>
                <a:lnTo>
                  <a:pt x="607" y="184"/>
                </a:lnTo>
                <a:lnTo>
                  <a:pt x="590" y="209"/>
                </a:lnTo>
                <a:lnTo>
                  <a:pt x="567" y="217"/>
                </a:lnTo>
                <a:lnTo>
                  <a:pt x="537" y="214"/>
                </a:lnTo>
                <a:lnTo>
                  <a:pt x="520" y="204"/>
                </a:lnTo>
                <a:lnTo>
                  <a:pt x="505" y="184"/>
                </a:lnTo>
                <a:lnTo>
                  <a:pt x="505" y="162"/>
                </a:lnTo>
                <a:lnTo>
                  <a:pt x="515" y="167"/>
                </a:lnTo>
                <a:lnTo>
                  <a:pt x="525" y="162"/>
                </a:lnTo>
                <a:lnTo>
                  <a:pt x="532" y="157"/>
                </a:lnTo>
                <a:lnTo>
                  <a:pt x="537" y="152"/>
                </a:lnTo>
                <a:lnTo>
                  <a:pt x="537" y="134"/>
                </a:lnTo>
                <a:lnTo>
                  <a:pt x="530" y="124"/>
                </a:lnTo>
                <a:lnTo>
                  <a:pt x="525" y="124"/>
                </a:lnTo>
                <a:lnTo>
                  <a:pt x="510" y="119"/>
                </a:lnTo>
                <a:lnTo>
                  <a:pt x="500" y="124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8338" name="Freeform 146"/>
          <xdr:cNvSpPr>
            <a:spLocks/>
          </xdr:cNvSpPr>
        </xdr:nvSpPr>
        <xdr:spPr bwMode="auto">
          <a:xfrm>
            <a:off x="13819" y="525"/>
            <a:ext cx="1360" cy="720"/>
          </a:xfrm>
          <a:custGeom>
            <a:avLst/>
            <a:gdLst/>
            <a:ahLst/>
            <a:cxnLst>
              <a:cxn ang="0">
                <a:pos x="137" y="467"/>
              </a:cxn>
              <a:cxn ang="0">
                <a:pos x="117" y="485"/>
              </a:cxn>
              <a:cxn ang="0">
                <a:pos x="127" y="552"/>
              </a:cxn>
              <a:cxn ang="0">
                <a:pos x="182" y="580"/>
              </a:cxn>
              <a:cxn ang="0">
                <a:pos x="247" y="560"/>
              </a:cxn>
              <a:cxn ang="0">
                <a:pos x="285" y="477"/>
              </a:cxn>
              <a:cxn ang="0">
                <a:pos x="245" y="392"/>
              </a:cxn>
              <a:cxn ang="0">
                <a:pos x="150" y="360"/>
              </a:cxn>
              <a:cxn ang="0">
                <a:pos x="42" y="402"/>
              </a:cxn>
              <a:cxn ang="0">
                <a:pos x="0" y="480"/>
              </a:cxn>
              <a:cxn ang="0">
                <a:pos x="5" y="575"/>
              </a:cxn>
              <a:cxn ang="0">
                <a:pos x="70" y="662"/>
              </a:cxn>
              <a:cxn ang="0">
                <a:pos x="210" y="720"/>
              </a:cxn>
              <a:cxn ang="0">
                <a:pos x="375" y="662"/>
              </a:cxn>
              <a:cxn ang="0">
                <a:pos x="530" y="480"/>
              </a:cxn>
              <a:cxn ang="0">
                <a:pos x="645" y="265"/>
              </a:cxn>
              <a:cxn ang="0">
                <a:pos x="762" y="130"/>
              </a:cxn>
              <a:cxn ang="0">
                <a:pos x="917" y="47"/>
              </a:cxn>
              <a:cxn ang="0">
                <a:pos x="1117" y="15"/>
              </a:cxn>
              <a:cxn ang="0">
                <a:pos x="1360" y="55"/>
              </a:cxn>
              <a:cxn ang="0">
                <a:pos x="1100" y="0"/>
              </a:cxn>
              <a:cxn ang="0">
                <a:pos x="875" y="37"/>
              </a:cxn>
              <a:cxn ang="0">
                <a:pos x="697" y="155"/>
              </a:cxn>
              <a:cxn ang="0">
                <a:pos x="567" y="350"/>
              </a:cxn>
              <a:cxn ang="0">
                <a:pos x="460" y="532"/>
              </a:cxn>
              <a:cxn ang="0">
                <a:pos x="332" y="660"/>
              </a:cxn>
              <a:cxn ang="0">
                <a:pos x="192" y="700"/>
              </a:cxn>
              <a:cxn ang="0">
                <a:pos x="67" y="645"/>
              </a:cxn>
              <a:cxn ang="0">
                <a:pos x="15" y="547"/>
              </a:cxn>
              <a:cxn ang="0">
                <a:pos x="25" y="447"/>
              </a:cxn>
              <a:cxn ang="0">
                <a:pos x="90" y="382"/>
              </a:cxn>
              <a:cxn ang="0">
                <a:pos x="175" y="382"/>
              </a:cxn>
              <a:cxn ang="0">
                <a:pos x="235" y="435"/>
              </a:cxn>
              <a:cxn ang="0">
                <a:pos x="240" y="515"/>
              </a:cxn>
              <a:cxn ang="0">
                <a:pos x="187" y="552"/>
              </a:cxn>
              <a:cxn ang="0">
                <a:pos x="137" y="532"/>
              </a:cxn>
              <a:cxn ang="0">
                <a:pos x="132" y="495"/>
              </a:cxn>
              <a:cxn ang="0">
                <a:pos x="140" y="480"/>
              </a:cxn>
              <a:cxn ang="0">
                <a:pos x="155" y="485"/>
              </a:cxn>
              <a:cxn ang="0">
                <a:pos x="170" y="495"/>
              </a:cxn>
              <a:cxn ang="0">
                <a:pos x="182" y="500"/>
              </a:cxn>
              <a:cxn ang="0">
                <a:pos x="187" y="500"/>
              </a:cxn>
              <a:cxn ang="0">
                <a:pos x="187" y="477"/>
              </a:cxn>
              <a:cxn ang="0">
                <a:pos x="175" y="462"/>
              </a:cxn>
              <a:cxn ang="0">
                <a:pos x="145" y="462"/>
              </a:cxn>
            </a:cxnLst>
            <a:rect l="0" t="0" r="r" b="b"/>
            <a:pathLst>
              <a:path w="1360" h="720">
                <a:moveTo>
                  <a:pt x="145" y="462"/>
                </a:moveTo>
                <a:lnTo>
                  <a:pt x="137" y="467"/>
                </a:lnTo>
                <a:lnTo>
                  <a:pt x="127" y="472"/>
                </a:lnTo>
                <a:lnTo>
                  <a:pt x="117" y="485"/>
                </a:lnTo>
                <a:lnTo>
                  <a:pt x="112" y="517"/>
                </a:lnTo>
                <a:lnTo>
                  <a:pt x="127" y="552"/>
                </a:lnTo>
                <a:lnTo>
                  <a:pt x="150" y="570"/>
                </a:lnTo>
                <a:lnTo>
                  <a:pt x="182" y="580"/>
                </a:lnTo>
                <a:lnTo>
                  <a:pt x="215" y="580"/>
                </a:lnTo>
                <a:lnTo>
                  <a:pt x="247" y="560"/>
                </a:lnTo>
                <a:lnTo>
                  <a:pt x="272" y="527"/>
                </a:lnTo>
                <a:lnTo>
                  <a:pt x="285" y="477"/>
                </a:lnTo>
                <a:lnTo>
                  <a:pt x="272" y="430"/>
                </a:lnTo>
                <a:lnTo>
                  <a:pt x="245" y="392"/>
                </a:lnTo>
                <a:lnTo>
                  <a:pt x="202" y="370"/>
                </a:lnTo>
                <a:lnTo>
                  <a:pt x="150" y="360"/>
                </a:lnTo>
                <a:lnTo>
                  <a:pt x="95" y="370"/>
                </a:lnTo>
                <a:lnTo>
                  <a:pt x="42" y="402"/>
                </a:lnTo>
                <a:lnTo>
                  <a:pt x="20" y="440"/>
                </a:lnTo>
                <a:lnTo>
                  <a:pt x="0" y="480"/>
                </a:lnTo>
                <a:lnTo>
                  <a:pt x="0" y="527"/>
                </a:lnTo>
                <a:lnTo>
                  <a:pt x="5" y="575"/>
                </a:lnTo>
                <a:lnTo>
                  <a:pt x="30" y="622"/>
                </a:lnTo>
                <a:lnTo>
                  <a:pt x="70" y="662"/>
                </a:lnTo>
                <a:lnTo>
                  <a:pt x="127" y="700"/>
                </a:lnTo>
                <a:lnTo>
                  <a:pt x="210" y="720"/>
                </a:lnTo>
                <a:lnTo>
                  <a:pt x="295" y="710"/>
                </a:lnTo>
                <a:lnTo>
                  <a:pt x="375" y="662"/>
                </a:lnTo>
                <a:lnTo>
                  <a:pt x="455" y="587"/>
                </a:lnTo>
                <a:lnTo>
                  <a:pt x="530" y="480"/>
                </a:lnTo>
                <a:lnTo>
                  <a:pt x="605" y="345"/>
                </a:lnTo>
                <a:lnTo>
                  <a:pt x="645" y="265"/>
                </a:lnTo>
                <a:lnTo>
                  <a:pt x="697" y="195"/>
                </a:lnTo>
                <a:lnTo>
                  <a:pt x="762" y="130"/>
                </a:lnTo>
                <a:lnTo>
                  <a:pt x="832" y="85"/>
                </a:lnTo>
                <a:lnTo>
                  <a:pt x="917" y="47"/>
                </a:lnTo>
                <a:lnTo>
                  <a:pt x="1010" y="22"/>
                </a:lnTo>
                <a:lnTo>
                  <a:pt x="1117" y="15"/>
                </a:lnTo>
                <a:lnTo>
                  <a:pt x="1235" y="22"/>
                </a:lnTo>
                <a:lnTo>
                  <a:pt x="1360" y="55"/>
                </a:lnTo>
                <a:lnTo>
                  <a:pt x="1225" y="15"/>
                </a:lnTo>
                <a:lnTo>
                  <a:pt x="1100" y="0"/>
                </a:lnTo>
                <a:lnTo>
                  <a:pt x="982" y="5"/>
                </a:lnTo>
                <a:lnTo>
                  <a:pt x="875" y="37"/>
                </a:lnTo>
                <a:lnTo>
                  <a:pt x="782" y="85"/>
                </a:lnTo>
                <a:lnTo>
                  <a:pt x="697" y="155"/>
                </a:lnTo>
                <a:lnTo>
                  <a:pt x="627" y="242"/>
                </a:lnTo>
                <a:lnTo>
                  <a:pt x="567" y="350"/>
                </a:lnTo>
                <a:lnTo>
                  <a:pt x="515" y="445"/>
                </a:lnTo>
                <a:lnTo>
                  <a:pt x="460" y="532"/>
                </a:lnTo>
                <a:lnTo>
                  <a:pt x="397" y="602"/>
                </a:lnTo>
                <a:lnTo>
                  <a:pt x="332" y="660"/>
                </a:lnTo>
                <a:lnTo>
                  <a:pt x="262" y="692"/>
                </a:lnTo>
                <a:lnTo>
                  <a:pt x="192" y="700"/>
                </a:lnTo>
                <a:lnTo>
                  <a:pt x="117" y="682"/>
                </a:lnTo>
                <a:lnTo>
                  <a:pt x="67" y="645"/>
                </a:lnTo>
                <a:lnTo>
                  <a:pt x="32" y="602"/>
                </a:lnTo>
                <a:lnTo>
                  <a:pt x="15" y="547"/>
                </a:lnTo>
                <a:lnTo>
                  <a:pt x="10" y="495"/>
                </a:lnTo>
                <a:lnTo>
                  <a:pt x="25" y="447"/>
                </a:lnTo>
                <a:lnTo>
                  <a:pt x="52" y="407"/>
                </a:lnTo>
                <a:lnTo>
                  <a:pt x="90" y="382"/>
                </a:lnTo>
                <a:lnTo>
                  <a:pt x="132" y="377"/>
                </a:lnTo>
                <a:lnTo>
                  <a:pt x="175" y="382"/>
                </a:lnTo>
                <a:lnTo>
                  <a:pt x="207" y="407"/>
                </a:lnTo>
                <a:lnTo>
                  <a:pt x="235" y="435"/>
                </a:lnTo>
                <a:lnTo>
                  <a:pt x="245" y="472"/>
                </a:lnTo>
                <a:lnTo>
                  <a:pt x="240" y="515"/>
                </a:lnTo>
                <a:lnTo>
                  <a:pt x="215" y="542"/>
                </a:lnTo>
                <a:lnTo>
                  <a:pt x="187" y="552"/>
                </a:lnTo>
                <a:lnTo>
                  <a:pt x="160" y="552"/>
                </a:lnTo>
                <a:lnTo>
                  <a:pt x="137" y="532"/>
                </a:lnTo>
                <a:lnTo>
                  <a:pt x="132" y="505"/>
                </a:lnTo>
                <a:lnTo>
                  <a:pt x="132" y="495"/>
                </a:lnTo>
                <a:lnTo>
                  <a:pt x="137" y="485"/>
                </a:lnTo>
                <a:lnTo>
                  <a:pt x="140" y="480"/>
                </a:lnTo>
                <a:lnTo>
                  <a:pt x="145" y="480"/>
                </a:lnTo>
                <a:lnTo>
                  <a:pt x="155" y="485"/>
                </a:lnTo>
                <a:lnTo>
                  <a:pt x="160" y="490"/>
                </a:lnTo>
                <a:lnTo>
                  <a:pt x="170" y="495"/>
                </a:lnTo>
                <a:lnTo>
                  <a:pt x="175" y="500"/>
                </a:lnTo>
                <a:lnTo>
                  <a:pt x="182" y="500"/>
                </a:lnTo>
                <a:lnTo>
                  <a:pt x="187" y="505"/>
                </a:lnTo>
                <a:lnTo>
                  <a:pt x="187" y="500"/>
                </a:lnTo>
                <a:lnTo>
                  <a:pt x="192" y="485"/>
                </a:lnTo>
                <a:lnTo>
                  <a:pt x="187" y="477"/>
                </a:lnTo>
                <a:lnTo>
                  <a:pt x="182" y="467"/>
                </a:lnTo>
                <a:lnTo>
                  <a:pt x="175" y="462"/>
                </a:lnTo>
                <a:lnTo>
                  <a:pt x="160" y="457"/>
                </a:lnTo>
                <a:lnTo>
                  <a:pt x="145" y="462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329" name="Group 137"/>
          <xdr:cNvGrpSpPr>
            <a:grpSpLocks/>
          </xdr:cNvGrpSpPr>
        </xdr:nvGrpSpPr>
        <xdr:grpSpPr bwMode="auto">
          <a:xfrm>
            <a:off x="14174" y="257"/>
            <a:ext cx="913" cy="385"/>
            <a:chOff x="14174" y="257"/>
            <a:chExt cx="913" cy="385"/>
          </a:xfrm>
        </xdr:grpSpPr>
        <xdr:sp macro="" textlink="">
          <xdr:nvSpPr>
            <xdr:cNvPr id="8337" name="Freeform 145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70" y="342"/>
                </a:cxn>
                <a:cxn ang="0">
                  <a:pos x="122" y="370"/>
                </a:cxn>
                <a:cxn ang="0">
                  <a:pos x="182" y="385"/>
                </a:cxn>
                <a:cxn ang="0">
                  <a:pos x="245" y="380"/>
                </a:cxn>
                <a:cxn ang="0">
                  <a:pos x="300" y="365"/>
                </a:cxn>
                <a:cxn ang="0">
                  <a:pos x="360" y="337"/>
                </a:cxn>
                <a:cxn ang="0">
                  <a:pos x="422" y="305"/>
                </a:cxn>
                <a:cxn ang="0">
                  <a:pos x="487" y="277"/>
                </a:cxn>
                <a:cxn ang="0">
                  <a:pos x="557" y="247"/>
                </a:cxn>
                <a:cxn ang="0">
                  <a:pos x="637" y="230"/>
                </a:cxn>
                <a:cxn ang="0">
                  <a:pos x="720" y="220"/>
                </a:cxn>
                <a:cxn ang="0">
                  <a:pos x="810" y="235"/>
                </a:cxn>
                <a:cxn ang="0">
                  <a:pos x="912" y="267"/>
                </a:cxn>
                <a:cxn ang="0">
                  <a:pos x="827" y="225"/>
                </a:cxn>
                <a:cxn ang="0">
                  <a:pos x="747" y="207"/>
                </a:cxn>
                <a:cxn ang="0">
                  <a:pos x="675" y="207"/>
                </a:cxn>
                <a:cxn ang="0">
                  <a:pos x="607" y="215"/>
                </a:cxn>
                <a:cxn ang="0">
                  <a:pos x="547" y="240"/>
                </a:cxn>
                <a:cxn ang="0">
                  <a:pos x="487" y="267"/>
                </a:cxn>
                <a:cxn ang="0">
                  <a:pos x="430" y="295"/>
                </a:cxn>
                <a:cxn ang="0">
                  <a:pos x="380" y="322"/>
                </a:cxn>
                <a:cxn ang="0">
                  <a:pos x="322" y="347"/>
                </a:cxn>
                <a:cxn ang="0">
                  <a:pos x="267" y="360"/>
                </a:cxn>
                <a:cxn ang="0">
                  <a:pos x="212" y="360"/>
                </a:cxn>
                <a:cxn ang="0">
                  <a:pos x="145" y="347"/>
                </a:cxn>
                <a:cxn ang="0">
                  <a:pos x="90" y="317"/>
                </a:cxn>
                <a:cxn ang="0">
                  <a:pos x="57" y="277"/>
                </a:cxn>
                <a:cxn ang="0">
                  <a:pos x="35" y="235"/>
                </a:cxn>
                <a:cxn ang="0">
                  <a:pos x="24" y="187"/>
                </a:cxn>
                <a:cxn ang="0">
                  <a:pos x="29" y="140"/>
                </a:cxn>
                <a:cxn ang="0">
                  <a:pos x="37" y="107"/>
                </a:cxn>
                <a:cxn ang="0">
                  <a:pos x="62" y="80"/>
                </a:cxn>
                <a:cxn ang="0">
                  <a:pos x="77" y="58"/>
                </a:cxn>
                <a:cxn ang="0">
                  <a:pos x="42" y="85"/>
                </a:cxn>
                <a:cxn ang="0">
                  <a:pos x="14" y="127"/>
                </a:cxn>
                <a:cxn ang="0">
                  <a:pos x="4" y="170"/>
                </a:cxn>
                <a:cxn ang="0">
                  <a:pos x="0" y="210"/>
                </a:cxn>
                <a:cxn ang="0">
                  <a:pos x="9" y="257"/>
                </a:cxn>
                <a:cxn ang="0">
                  <a:pos x="35" y="305"/>
                </a:cxn>
                <a:cxn ang="0">
                  <a:pos x="70" y="342"/>
                </a:cxn>
              </a:cxnLst>
              <a:rect l="0" t="0" r="r" b="b"/>
              <a:pathLst>
                <a:path w="913" h="385">
                  <a:moveTo>
                    <a:pt x="70" y="342"/>
                  </a:moveTo>
                  <a:lnTo>
                    <a:pt x="122" y="370"/>
                  </a:lnTo>
                  <a:lnTo>
                    <a:pt x="182" y="385"/>
                  </a:lnTo>
                  <a:lnTo>
                    <a:pt x="245" y="380"/>
                  </a:lnTo>
                  <a:lnTo>
                    <a:pt x="300" y="365"/>
                  </a:lnTo>
                  <a:lnTo>
                    <a:pt x="360" y="337"/>
                  </a:lnTo>
                  <a:lnTo>
                    <a:pt x="422" y="305"/>
                  </a:lnTo>
                  <a:lnTo>
                    <a:pt x="487" y="277"/>
                  </a:lnTo>
                  <a:lnTo>
                    <a:pt x="557" y="247"/>
                  </a:lnTo>
                  <a:lnTo>
                    <a:pt x="637" y="230"/>
                  </a:lnTo>
                  <a:lnTo>
                    <a:pt x="720" y="220"/>
                  </a:lnTo>
                  <a:lnTo>
                    <a:pt x="810" y="235"/>
                  </a:lnTo>
                  <a:lnTo>
                    <a:pt x="912" y="267"/>
                  </a:lnTo>
                  <a:lnTo>
                    <a:pt x="827" y="225"/>
                  </a:lnTo>
                  <a:lnTo>
                    <a:pt x="747" y="207"/>
                  </a:lnTo>
                  <a:lnTo>
                    <a:pt x="675" y="207"/>
                  </a:lnTo>
                  <a:lnTo>
                    <a:pt x="607" y="215"/>
                  </a:lnTo>
                  <a:lnTo>
                    <a:pt x="547" y="240"/>
                  </a:lnTo>
                  <a:lnTo>
                    <a:pt x="487" y="267"/>
                  </a:lnTo>
                  <a:lnTo>
                    <a:pt x="430" y="295"/>
                  </a:lnTo>
                  <a:lnTo>
                    <a:pt x="380" y="322"/>
                  </a:lnTo>
                  <a:lnTo>
                    <a:pt x="322" y="347"/>
                  </a:lnTo>
                  <a:lnTo>
                    <a:pt x="267" y="360"/>
                  </a:lnTo>
                  <a:lnTo>
                    <a:pt x="212" y="360"/>
                  </a:lnTo>
                  <a:lnTo>
                    <a:pt x="145" y="347"/>
                  </a:lnTo>
                  <a:lnTo>
                    <a:pt x="90" y="317"/>
                  </a:lnTo>
                  <a:lnTo>
                    <a:pt x="57" y="277"/>
                  </a:lnTo>
                  <a:lnTo>
                    <a:pt x="35" y="235"/>
                  </a:lnTo>
                  <a:lnTo>
                    <a:pt x="24" y="187"/>
                  </a:lnTo>
                  <a:lnTo>
                    <a:pt x="29" y="140"/>
                  </a:lnTo>
                  <a:lnTo>
                    <a:pt x="37" y="107"/>
                  </a:lnTo>
                  <a:lnTo>
                    <a:pt x="62" y="80"/>
                  </a:lnTo>
                  <a:lnTo>
                    <a:pt x="77" y="58"/>
                  </a:lnTo>
                  <a:lnTo>
                    <a:pt x="42" y="85"/>
                  </a:lnTo>
                  <a:lnTo>
                    <a:pt x="14" y="127"/>
                  </a:lnTo>
                  <a:lnTo>
                    <a:pt x="4" y="170"/>
                  </a:lnTo>
                  <a:lnTo>
                    <a:pt x="0" y="210"/>
                  </a:lnTo>
                  <a:lnTo>
                    <a:pt x="9" y="257"/>
                  </a:lnTo>
                  <a:lnTo>
                    <a:pt x="35" y="305"/>
                  </a:lnTo>
                  <a:lnTo>
                    <a:pt x="70" y="34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36" name="Freeform 144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277" y="42"/>
                </a:cxn>
                <a:cxn ang="0">
                  <a:pos x="310" y="80"/>
                </a:cxn>
                <a:cxn ang="0">
                  <a:pos x="327" y="122"/>
                </a:cxn>
                <a:cxn ang="0">
                  <a:pos x="327" y="165"/>
                </a:cxn>
                <a:cxn ang="0">
                  <a:pos x="310" y="207"/>
                </a:cxn>
                <a:cxn ang="0">
                  <a:pos x="277" y="235"/>
                </a:cxn>
                <a:cxn ang="0">
                  <a:pos x="239" y="248"/>
                </a:cxn>
                <a:cxn ang="0">
                  <a:pos x="252" y="247"/>
                </a:cxn>
                <a:cxn ang="0">
                  <a:pos x="300" y="225"/>
                </a:cxn>
                <a:cxn ang="0">
                  <a:pos x="332" y="192"/>
                </a:cxn>
                <a:cxn ang="0">
                  <a:pos x="342" y="145"/>
                </a:cxn>
                <a:cxn ang="0">
                  <a:pos x="337" y="100"/>
                </a:cxn>
                <a:cxn ang="0">
                  <a:pos x="315" y="57"/>
                </a:cxn>
                <a:cxn ang="0">
                  <a:pos x="272" y="20"/>
                </a:cxn>
                <a:cxn ang="0">
                  <a:pos x="220" y="0"/>
                </a:cxn>
                <a:cxn ang="0">
                  <a:pos x="175" y="5"/>
                </a:cxn>
                <a:cxn ang="0">
                  <a:pos x="127" y="20"/>
                </a:cxn>
                <a:cxn ang="0">
                  <a:pos x="95" y="43"/>
                </a:cxn>
                <a:cxn ang="0">
                  <a:pos x="132" y="30"/>
                </a:cxn>
                <a:cxn ang="0">
                  <a:pos x="182" y="15"/>
                </a:cxn>
                <a:cxn ang="0">
                  <a:pos x="235" y="20"/>
                </a:cxn>
                <a:cxn ang="0">
                  <a:pos x="277" y="42"/>
                </a:cxn>
              </a:cxnLst>
              <a:rect l="0" t="0" r="r" b="b"/>
              <a:pathLst>
                <a:path w="913" h="385">
                  <a:moveTo>
                    <a:pt x="277" y="42"/>
                  </a:moveTo>
                  <a:lnTo>
                    <a:pt x="310" y="80"/>
                  </a:lnTo>
                  <a:lnTo>
                    <a:pt x="327" y="122"/>
                  </a:lnTo>
                  <a:lnTo>
                    <a:pt x="327" y="165"/>
                  </a:lnTo>
                  <a:lnTo>
                    <a:pt x="310" y="207"/>
                  </a:lnTo>
                  <a:lnTo>
                    <a:pt x="277" y="235"/>
                  </a:lnTo>
                  <a:lnTo>
                    <a:pt x="239" y="248"/>
                  </a:lnTo>
                  <a:lnTo>
                    <a:pt x="252" y="247"/>
                  </a:lnTo>
                  <a:lnTo>
                    <a:pt x="300" y="225"/>
                  </a:lnTo>
                  <a:lnTo>
                    <a:pt x="332" y="192"/>
                  </a:lnTo>
                  <a:lnTo>
                    <a:pt x="342" y="145"/>
                  </a:lnTo>
                  <a:lnTo>
                    <a:pt x="337" y="100"/>
                  </a:lnTo>
                  <a:lnTo>
                    <a:pt x="315" y="57"/>
                  </a:lnTo>
                  <a:lnTo>
                    <a:pt x="272" y="20"/>
                  </a:lnTo>
                  <a:lnTo>
                    <a:pt x="220" y="0"/>
                  </a:lnTo>
                  <a:lnTo>
                    <a:pt x="175" y="5"/>
                  </a:lnTo>
                  <a:lnTo>
                    <a:pt x="127" y="20"/>
                  </a:lnTo>
                  <a:lnTo>
                    <a:pt x="95" y="43"/>
                  </a:lnTo>
                  <a:lnTo>
                    <a:pt x="132" y="30"/>
                  </a:lnTo>
                  <a:lnTo>
                    <a:pt x="182" y="15"/>
                  </a:lnTo>
                  <a:lnTo>
                    <a:pt x="235" y="20"/>
                  </a:lnTo>
                  <a:lnTo>
                    <a:pt x="277" y="4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35" name="Freeform 143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192" y="247"/>
                </a:cxn>
                <a:cxn ang="0">
                  <a:pos x="161" y="235"/>
                </a:cxn>
                <a:cxn ang="0">
                  <a:pos x="170" y="245"/>
                </a:cxn>
                <a:cxn ang="0">
                  <a:pos x="207" y="252"/>
                </a:cxn>
                <a:cxn ang="0">
                  <a:pos x="219" y="251"/>
                </a:cxn>
                <a:cxn ang="0">
                  <a:pos x="192" y="247"/>
                </a:cxn>
              </a:cxnLst>
              <a:rect l="0" t="0" r="r" b="b"/>
              <a:pathLst>
                <a:path w="913" h="385">
                  <a:moveTo>
                    <a:pt x="192" y="247"/>
                  </a:moveTo>
                  <a:lnTo>
                    <a:pt x="161" y="235"/>
                  </a:lnTo>
                  <a:lnTo>
                    <a:pt x="170" y="245"/>
                  </a:lnTo>
                  <a:lnTo>
                    <a:pt x="207" y="252"/>
                  </a:lnTo>
                  <a:lnTo>
                    <a:pt x="219" y="251"/>
                  </a:lnTo>
                  <a:lnTo>
                    <a:pt x="192" y="24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34" name="Freeform 142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170" y="187"/>
                </a:cxn>
                <a:cxn ang="0">
                  <a:pos x="175" y="197"/>
                </a:cxn>
                <a:cxn ang="0">
                  <a:pos x="177" y="202"/>
                </a:cxn>
                <a:cxn ang="0">
                  <a:pos x="187" y="207"/>
                </a:cxn>
                <a:cxn ang="0">
                  <a:pos x="215" y="202"/>
                </a:cxn>
                <a:cxn ang="0">
                  <a:pos x="235" y="187"/>
                </a:cxn>
                <a:cxn ang="0">
                  <a:pos x="245" y="170"/>
                </a:cxn>
                <a:cxn ang="0">
                  <a:pos x="245" y="145"/>
                </a:cxn>
                <a:cxn ang="0">
                  <a:pos x="230" y="127"/>
                </a:cxn>
                <a:cxn ang="0">
                  <a:pos x="207" y="112"/>
                </a:cxn>
                <a:cxn ang="0">
                  <a:pos x="177" y="112"/>
                </a:cxn>
                <a:cxn ang="0">
                  <a:pos x="145" y="127"/>
                </a:cxn>
                <a:cxn ang="0">
                  <a:pos x="132" y="155"/>
                </a:cxn>
                <a:cxn ang="0">
                  <a:pos x="132" y="187"/>
                </a:cxn>
                <a:cxn ang="0">
                  <a:pos x="142" y="215"/>
                </a:cxn>
                <a:cxn ang="0">
                  <a:pos x="158" y="232"/>
                </a:cxn>
                <a:cxn ang="0">
                  <a:pos x="142" y="207"/>
                </a:cxn>
                <a:cxn ang="0">
                  <a:pos x="137" y="177"/>
                </a:cxn>
                <a:cxn ang="0">
                  <a:pos x="145" y="150"/>
                </a:cxn>
                <a:cxn ang="0">
                  <a:pos x="170" y="127"/>
                </a:cxn>
                <a:cxn ang="0">
                  <a:pos x="187" y="122"/>
                </a:cxn>
                <a:cxn ang="0">
                  <a:pos x="202" y="127"/>
                </a:cxn>
                <a:cxn ang="0">
                  <a:pos x="215" y="132"/>
                </a:cxn>
                <a:cxn ang="0">
                  <a:pos x="225" y="140"/>
                </a:cxn>
                <a:cxn ang="0">
                  <a:pos x="230" y="150"/>
                </a:cxn>
                <a:cxn ang="0">
                  <a:pos x="235" y="170"/>
                </a:cxn>
                <a:cxn ang="0">
                  <a:pos x="225" y="182"/>
                </a:cxn>
                <a:cxn ang="0">
                  <a:pos x="220" y="187"/>
                </a:cxn>
                <a:cxn ang="0">
                  <a:pos x="215" y="192"/>
                </a:cxn>
                <a:cxn ang="0">
                  <a:pos x="207" y="187"/>
                </a:cxn>
                <a:cxn ang="0">
                  <a:pos x="197" y="182"/>
                </a:cxn>
                <a:cxn ang="0">
                  <a:pos x="187" y="177"/>
                </a:cxn>
                <a:cxn ang="0">
                  <a:pos x="177" y="177"/>
                </a:cxn>
                <a:cxn ang="0">
                  <a:pos x="175" y="182"/>
                </a:cxn>
                <a:cxn ang="0">
                  <a:pos x="170" y="187"/>
                </a:cxn>
              </a:cxnLst>
              <a:rect l="0" t="0" r="r" b="b"/>
              <a:pathLst>
                <a:path w="913" h="385">
                  <a:moveTo>
                    <a:pt x="170" y="187"/>
                  </a:moveTo>
                  <a:lnTo>
                    <a:pt x="175" y="197"/>
                  </a:lnTo>
                  <a:lnTo>
                    <a:pt x="177" y="202"/>
                  </a:lnTo>
                  <a:lnTo>
                    <a:pt x="187" y="207"/>
                  </a:lnTo>
                  <a:lnTo>
                    <a:pt x="215" y="202"/>
                  </a:lnTo>
                  <a:lnTo>
                    <a:pt x="235" y="187"/>
                  </a:lnTo>
                  <a:lnTo>
                    <a:pt x="245" y="170"/>
                  </a:lnTo>
                  <a:lnTo>
                    <a:pt x="245" y="145"/>
                  </a:lnTo>
                  <a:lnTo>
                    <a:pt x="230" y="127"/>
                  </a:lnTo>
                  <a:lnTo>
                    <a:pt x="207" y="112"/>
                  </a:lnTo>
                  <a:lnTo>
                    <a:pt x="177" y="112"/>
                  </a:lnTo>
                  <a:lnTo>
                    <a:pt x="145" y="127"/>
                  </a:lnTo>
                  <a:lnTo>
                    <a:pt x="132" y="155"/>
                  </a:lnTo>
                  <a:lnTo>
                    <a:pt x="132" y="187"/>
                  </a:lnTo>
                  <a:lnTo>
                    <a:pt x="142" y="215"/>
                  </a:lnTo>
                  <a:lnTo>
                    <a:pt x="158" y="232"/>
                  </a:lnTo>
                  <a:lnTo>
                    <a:pt x="142" y="207"/>
                  </a:lnTo>
                  <a:lnTo>
                    <a:pt x="137" y="177"/>
                  </a:lnTo>
                  <a:lnTo>
                    <a:pt x="145" y="150"/>
                  </a:lnTo>
                  <a:lnTo>
                    <a:pt x="170" y="127"/>
                  </a:lnTo>
                  <a:lnTo>
                    <a:pt x="187" y="122"/>
                  </a:lnTo>
                  <a:lnTo>
                    <a:pt x="202" y="127"/>
                  </a:lnTo>
                  <a:lnTo>
                    <a:pt x="215" y="132"/>
                  </a:lnTo>
                  <a:lnTo>
                    <a:pt x="225" y="140"/>
                  </a:lnTo>
                  <a:lnTo>
                    <a:pt x="230" y="150"/>
                  </a:lnTo>
                  <a:lnTo>
                    <a:pt x="235" y="170"/>
                  </a:lnTo>
                  <a:lnTo>
                    <a:pt x="225" y="182"/>
                  </a:lnTo>
                  <a:lnTo>
                    <a:pt x="220" y="187"/>
                  </a:lnTo>
                  <a:lnTo>
                    <a:pt x="215" y="192"/>
                  </a:lnTo>
                  <a:lnTo>
                    <a:pt x="207" y="187"/>
                  </a:lnTo>
                  <a:lnTo>
                    <a:pt x="197" y="182"/>
                  </a:lnTo>
                  <a:lnTo>
                    <a:pt x="187" y="177"/>
                  </a:lnTo>
                  <a:lnTo>
                    <a:pt x="177" y="177"/>
                  </a:lnTo>
                  <a:lnTo>
                    <a:pt x="175" y="182"/>
                  </a:lnTo>
                  <a:lnTo>
                    <a:pt x="170" y="18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33" name="Freeform 141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85" y="47"/>
                </a:cxn>
                <a:cxn ang="0">
                  <a:pos x="77" y="58"/>
                </a:cxn>
                <a:cxn ang="0">
                  <a:pos x="85" y="52"/>
                </a:cxn>
                <a:cxn ang="0">
                  <a:pos x="85" y="47"/>
                </a:cxn>
              </a:cxnLst>
              <a:rect l="0" t="0" r="r" b="b"/>
              <a:pathLst>
                <a:path w="913" h="385">
                  <a:moveTo>
                    <a:pt x="85" y="47"/>
                  </a:moveTo>
                  <a:lnTo>
                    <a:pt x="77" y="58"/>
                  </a:lnTo>
                  <a:lnTo>
                    <a:pt x="85" y="52"/>
                  </a:lnTo>
                  <a:lnTo>
                    <a:pt x="85" y="4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32" name="Freeform 140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95" y="43"/>
                </a:cxn>
                <a:cxn ang="0">
                  <a:pos x="85" y="47"/>
                </a:cxn>
                <a:cxn ang="0">
                  <a:pos x="90" y="47"/>
                </a:cxn>
                <a:cxn ang="0">
                  <a:pos x="95" y="43"/>
                </a:cxn>
              </a:cxnLst>
              <a:rect l="0" t="0" r="r" b="b"/>
              <a:pathLst>
                <a:path w="913" h="385">
                  <a:moveTo>
                    <a:pt x="95" y="43"/>
                  </a:moveTo>
                  <a:lnTo>
                    <a:pt x="85" y="47"/>
                  </a:lnTo>
                  <a:lnTo>
                    <a:pt x="90" y="47"/>
                  </a:lnTo>
                  <a:lnTo>
                    <a:pt x="95" y="43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31" name="Freeform 139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161" y="235"/>
                </a:cxn>
                <a:cxn ang="0">
                  <a:pos x="158" y="232"/>
                </a:cxn>
                <a:cxn ang="0">
                  <a:pos x="160" y="235"/>
                </a:cxn>
                <a:cxn ang="0">
                  <a:pos x="161" y="235"/>
                </a:cxn>
              </a:cxnLst>
              <a:rect l="0" t="0" r="r" b="b"/>
              <a:pathLst>
                <a:path w="913" h="385">
                  <a:moveTo>
                    <a:pt x="161" y="235"/>
                  </a:moveTo>
                  <a:lnTo>
                    <a:pt x="158" y="232"/>
                  </a:lnTo>
                  <a:lnTo>
                    <a:pt x="160" y="235"/>
                  </a:lnTo>
                  <a:lnTo>
                    <a:pt x="161" y="23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30" name="Freeform 138"/>
            <xdr:cNvSpPr>
              <a:spLocks/>
            </xdr:cNvSpPr>
          </xdr:nvSpPr>
          <xdr:spPr bwMode="auto">
            <a:xfrm>
              <a:off x="14174" y="257"/>
              <a:ext cx="913" cy="385"/>
            </a:xfrm>
            <a:custGeom>
              <a:avLst/>
              <a:gdLst/>
              <a:ahLst/>
              <a:cxnLst>
                <a:cxn ang="0">
                  <a:pos x="239" y="248"/>
                </a:cxn>
                <a:cxn ang="0">
                  <a:pos x="219" y="251"/>
                </a:cxn>
                <a:cxn ang="0">
                  <a:pos x="230" y="252"/>
                </a:cxn>
                <a:cxn ang="0">
                  <a:pos x="239" y="248"/>
                </a:cxn>
              </a:cxnLst>
              <a:rect l="0" t="0" r="r" b="b"/>
              <a:pathLst>
                <a:path w="913" h="385">
                  <a:moveTo>
                    <a:pt x="239" y="248"/>
                  </a:moveTo>
                  <a:lnTo>
                    <a:pt x="219" y="251"/>
                  </a:lnTo>
                  <a:lnTo>
                    <a:pt x="230" y="252"/>
                  </a:lnTo>
                  <a:lnTo>
                    <a:pt x="239" y="248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28" name="Freeform 136"/>
          <xdr:cNvSpPr>
            <a:spLocks/>
          </xdr:cNvSpPr>
        </xdr:nvSpPr>
        <xdr:spPr bwMode="auto">
          <a:xfrm>
            <a:off x="15419" y="1427"/>
            <a:ext cx="60" cy="9376"/>
          </a:xfrm>
          <a:custGeom>
            <a:avLst/>
            <a:gdLst/>
            <a:ahLst/>
            <a:cxnLst>
              <a:cxn ang="0">
                <a:pos x="0" y="270"/>
              </a:cxn>
              <a:cxn ang="0">
                <a:pos x="0" y="9105"/>
              </a:cxn>
              <a:cxn ang="0">
                <a:pos x="2" y="9115"/>
              </a:cxn>
              <a:cxn ang="0">
                <a:pos x="12" y="9138"/>
              </a:cxn>
              <a:cxn ang="0">
                <a:pos x="22" y="9175"/>
              </a:cxn>
              <a:cxn ang="0">
                <a:pos x="32" y="9223"/>
              </a:cxn>
              <a:cxn ang="0">
                <a:pos x="40" y="9263"/>
              </a:cxn>
              <a:cxn ang="0">
                <a:pos x="50" y="9311"/>
              </a:cxn>
              <a:cxn ang="0">
                <a:pos x="55" y="9348"/>
              </a:cxn>
              <a:cxn ang="0">
                <a:pos x="60" y="9376"/>
              </a:cxn>
              <a:cxn ang="0">
                <a:pos x="60" y="0"/>
              </a:cxn>
              <a:cxn ang="0">
                <a:pos x="55" y="27"/>
              </a:cxn>
              <a:cxn ang="0">
                <a:pos x="50" y="65"/>
              </a:cxn>
              <a:cxn ang="0">
                <a:pos x="40" y="112"/>
              </a:cxn>
              <a:cxn ang="0">
                <a:pos x="32" y="152"/>
              </a:cxn>
              <a:cxn ang="0">
                <a:pos x="22" y="200"/>
              </a:cxn>
              <a:cxn ang="0">
                <a:pos x="12" y="237"/>
              </a:cxn>
              <a:cxn ang="0">
                <a:pos x="2" y="260"/>
              </a:cxn>
              <a:cxn ang="0">
                <a:pos x="0" y="270"/>
              </a:cxn>
            </a:cxnLst>
            <a:rect l="0" t="0" r="r" b="b"/>
            <a:pathLst>
              <a:path w="60" h="9376">
                <a:moveTo>
                  <a:pt x="0" y="270"/>
                </a:moveTo>
                <a:lnTo>
                  <a:pt x="0" y="9105"/>
                </a:lnTo>
                <a:lnTo>
                  <a:pt x="2" y="9115"/>
                </a:lnTo>
                <a:lnTo>
                  <a:pt x="12" y="9138"/>
                </a:lnTo>
                <a:lnTo>
                  <a:pt x="22" y="9175"/>
                </a:lnTo>
                <a:lnTo>
                  <a:pt x="32" y="9223"/>
                </a:lnTo>
                <a:lnTo>
                  <a:pt x="40" y="9263"/>
                </a:lnTo>
                <a:lnTo>
                  <a:pt x="50" y="9311"/>
                </a:lnTo>
                <a:lnTo>
                  <a:pt x="55" y="9348"/>
                </a:lnTo>
                <a:lnTo>
                  <a:pt x="60" y="9376"/>
                </a:lnTo>
                <a:lnTo>
                  <a:pt x="60" y="0"/>
                </a:lnTo>
                <a:lnTo>
                  <a:pt x="55" y="27"/>
                </a:lnTo>
                <a:lnTo>
                  <a:pt x="50" y="65"/>
                </a:lnTo>
                <a:lnTo>
                  <a:pt x="40" y="112"/>
                </a:lnTo>
                <a:lnTo>
                  <a:pt x="32" y="152"/>
                </a:lnTo>
                <a:lnTo>
                  <a:pt x="22" y="200"/>
                </a:lnTo>
                <a:lnTo>
                  <a:pt x="12" y="237"/>
                </a:lnTo>
                <a:lnTo>
                  <a:pt x="2" y="260"/>
                </a:lnTo>
                <a:lnTo>
                  <a:pt x="0" y="270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8327" name="Rectangle 135"/>
          <xdr:cNvSpPr>
            <a:spLocks noChangeArrowheads="1"/>
          </xdr:cNvSpPr>
        </xdr:nvSpPr>
        <xdr:spPr bwMode="auto">
          <a:xfrm>
            <a:off x="6048" y="235"/>
            <a:ext cx="3660" cy="7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sp macro="" textlink="">
        <xdr:nvSpPr>
          <xdr:cNvPr id="8326" name="Freeform 134"/>
          <xdr:cNvSpPr>
            <a:spLocks/>
          </xdr:cNvSpPr>
        </xdr:nvSpPr>
        <xdr:spPr bwMode="auto">
          <a:xfrm>
            <a:off x="10609" y="402"/>
            <a:ext cx="1010" cy="500"/>
          </a:xfrm>
          <a:custGeom>
            <a:avLst/>
            <a:gdLst/>
            <a:ahLst/>
            <a:cxnLst>
              <a:cxn ang="0">
                <a:pos x="402" y="207"/>
              </a:cxn>
              <a:cxn ang="0">
                <a:pos x="552" y="160"/>
              </a:cxn>
              <a:cxn ang="0">
                <a:pos x="725" y="100"/>
              </a:cxn>
              <a:cxn ang="0">
                <a:pos x="855" y="117"/>
              </a:cxn>
              <a:cxn ang="0">
                <a:pos x="940" y="177"/>
              </a:cxn>
              <a:cxn ang="0">
                <a:pos x="977" y="262"/>
              </a:cxn>
              <a:cxn ang="0">
                <a:pos x="967" y="375"/>
              </a:cxn>
              <a:cxn ang="0">
                <a:pos x="897" y="460"/>
              </a:cxn>
              <a:cxn ang="0">
                <a:pos x="790" y="487"/>
              </a:cxn>
              <a:cxn ang="0">
                <a:pos x="697" y="450"/>
              </a:cxn>
              <a:cxn ang="0">
                <a:pos x="670" y="375"/>
              </a:cxn>
              <a:cxn ang="0">
                <a:pos x="692" y="295"/>
              </a:cxn>
              <a:cxn ang="0">
                <a:pos x="752" y="257"/>
              </a:cxn>
              <a:cxn ang="0">
                <a:pos x="822" y="280"/>
              </a:cxn>
              <a:cxn ang="0">
                <a:pos x="827" y="337"/>
              </a:cxn>
              <a:cxn ang="0">
                <a:pos x="815" y="352"/>
              </a:cxn>
              <a:cxn ang="0">
                <a:pos x="795" y="352"/>
              </a:cxn>
              <a:cxn ang="0">
                <a:pos x="795" y="332"/>
              </a:cxn>
              <a:cxn ang="0">
                <a:pos x="790" y="315"/>
              </a:cxn>
              <a:cxn ang="0">
                <a:pos x="767" y="317"/>
              </a:cxn>
              <a:cxn ang="0">
                <a:pos x="777" y="365"/>
              </a:cxn>
              <a:cxn ang="0">
                <a:pos x="822" y="375"/>
              </a:cxn>
              <a:cxn ang="0">
                <a:pos x="855" y="327"/>
              </a:cxn>
              <a:cxn ang="0">
                <a:pos x="832" y="272"/>
              </a:cxn>
              <a:cxn ang="0">
                <a:pos x="752" y="245"/>
              </a:cxn>
              <a:cxn ang="0">
                <a:pos x="677" y="277"/>
              </a:cxn>
              <a:cxn ang="0">
                <a:pos x="645" y="347"/>
              </a:cxn>
              <a:cxn ang="0">
                <a:pos x="660" y="430"/>
              </a:cxn>
              <a:cxn ang="0">
                <a:pos x="735" y="487"/>
              </a:cxn>
              <a:cxn ang="0">
                <a:pos x="865" y="492"/>
              </a:cxn>
              <a:cxn ang="0">
                <a:pos x="962" y="422"/>
              </a:cxn>
              <a:cxn ang="0">
                <a:pos x="1010" y="315"/>
              </a:cxn>
              <a:cxn ang="0">
                <a:pos x="987" y="192"/>
              </a:cxn>
              <a:cxn ang="0">
                <a:pos x="897" y="100"/>
              </a:cxn>
              <a:cxn ang="0">
                <a:pos x="752" y="65"/>
              </a:cxn>
              <a:cxn ang="0">
                <a:pos x="565" y="122"/>
              </a:cxn>
              <a:cxn ang="0">
                <a:pos x="402" y="182"/>
              </a:cxn>
              <a:cxn ang="0">
                <a:pos x="247" y="187"/>
              </a:cxn>
              <a:cxn ang="0">
                <a:pos x="112" y="127"/>
              </a:cxn>
              <a:cxn ang="0">
                <a:pos x="0" y="0"/>
              </a:cxn>
              <a:cxn ang="0">
                <a:pos x="112" y="137"/>
              </a:cxn>
              <a:cxn ang="0">
                <a:pos x="247" y="207"/>
              </a:cxn>
            </a:cxnLst>
            <a:rect l="0" t="0" r="r" b="b"/>
            <a:pathLst>
              <a:path w="1010" h="500">
                <a:moveTo>
                  <a:pt x="327" y="215"/>
                </a:moveTo>
                <a:lnTo>
                  <a:pt x="402" y="207"/>
                </a:lnTo>
                <a:lnTo>
                  <a:pt x="477" y="187"/>
                </a:lnTo>
                <a:lnTo>
                  <a:pt x="552" y="160"/>
                </a:lnTo>
                <a:lnTo>
                  <a:pt x="645" y="117"/>
                </a:lnTo>
                <a:lnTo>
                  <a:pt x="725" y="100"/>
                </a:lnTo>
                <a:lnTo>
                  <a:pt x="795" y="100"/>
                </a:lnTo>
                <a:lnTo>
                  <a:pt x="855" y="117"/>
                </a:lnTo>
                <a:lnTo>
                  <a:pt x="902" y="140"/>
                </a:lnTo>
                <a:lnTo>
                  <a:pt x="940" y="177"/>
                </a:lnTo>
                <a:lnTo>
                  <a:pt x="962" y="220"/>
                </a:lnTo>
                <a:lnTo>
                  <a:pt x="977" y="262"/>
                </a:lnTo>
                <a:lnTo>
                  <a:pt x="982" y="310"/>
                </a:lnTo>
                <a:lnTo>
                  <a:pt x="967" y="375"/>
                </a:lnTo>
                <a:lnTo>
                  <a:pt x="940" y="422"/>
                </a:lnTo>
                <a:lnTo>
                  <a:pt x="897" y="460"/>
                </a:lnTo>
                <a:lnTo>
                  <a:pt x="847" y="482"/>
                </a:lnTo>
                <a:lnTo>
                  <a:pt x="790" y="487"/>
                </a:lnTo>
                <a:lnTo>
                  <a:pt x="735" y="477"/>
                </a:lnTo>
                <a:lnTo>
                  <a:pt x="697" y="450"/>
                </a:lnTo>
                <a:lnTo>
                  <a:pt x="672" y="417"/>
                </a:lnTo>
                <a:lnTo>
                  <a:pt x="670" y="375"/>
                </a:lnTo>
                <a:lnTo>
                  <a:pt x="672" y="332"/>
                </a:lnTo>
                <a:lnTo>
                  <a:pt x="692" y="295"/>
                </a:lnTo>
                <a:lnTo>
                  <a:pt x="720" y="272"/>
                </a:lnTo>
                <a:lnTo>
                  <a:pt x="752" y="257"/>
                </a:lnTo>
                <a:lnTo>
                  <a:pt x="795" y="262"/>
                </a:lnTo>
                <a:lnTo>
                  <a:pt x="822" y="280"/>
                </a:lnTo>
                <a:lnTo>
                  <a:pt x="837" y="310"/>
                </a:lnTo>
                <a:lnTo>
                  <a:pt x="827" y="337"/>
                </a:lnTo>
                <a:lnTo>
                  <a:pt x="822" y="347"/>
                </a:lnTo>
                <a:lnTo>
                  <a:pt x="815" y="352"/>
                </a:lnTo>
                <a:lnTo>
                  <a:pt x="805" y="355"/>
                </a:lnTo>
                <a:lnTo>
                  <a:pt x="795" y="352"/>
                </a:lnTo>
                <a:lnTo>
                  <a:pt x="790" y="342"/>
                </a:lnTo>
                <a:lnTo>
                  <a:pt x="795" y="332"/>
                </a:lnTo>
                <a:lnTo>
                  <a:pt x="795" y="322"/>
                </a:lnTo>
                <a:lnTo>
                  <a:pt x="790" y="315"/>
                </a:lnTo>
                <a:lnTo>
                  <a:pt x="777" y="315"/>
                </a:lnTo>
                <a:lnTo>
                  <a:pt x="767" y="317"/>
                </a:lnTo>
                <a:lnTo>
                  <a:pt x="762" y="342"/>
                </a:lnTo>
                <a:lnTo>
                  <a:pt x="777" y="365"/>
                </a:lnTo>
                <a:lnTo>
                  <a:pt x="795" y="375"/>
                </a:lnTo>
                <a:lnTo>
                  <a:pt x="822" y="375"/>
                </a:lnTo>
                <a:lnTo>
                  <a:pt x="847" y="355"/>
                </a:lnTo>
                <a:lnTo>
                  <a:pt x="855" y="327"/>
                </a:lnTo>
                <a:lnTo>
                  <a:pt x="850" y="300"/>
                </a:lnTo>
                <a:lnTo>
                  <a:pt x="832" y="272"/>
                </a:lnTo>
                <a:lnTo>
                  <a:pt x="800" y="252"/>
                </a:lnTo>
                <a:lnTo>
                  <a:pt x="752" y="245"/>
                </a:lnTo>
                <a:lnTo>
                  <a:pt x="710" y="252"/>
                </a:lnTo>
                <a:lnTo>
                  <a:pt x="677" y="277"/>
                </a:lnTo>
                <a:lnTo>
                  <a:pt x="655" y="310"/>
                </a:lnTo>
                <a:lnTo>
                  <a:pt x="645" y="347"/>
                </a:lnTo>
                <a:lnTo>
                  <a:pt x="645" y="387"/>
                </a:lnTo>
                <a:lnTo>
                  <a:pt x="660" y="430"/>
                </a:lnTo>
                <a:lnTo>
                  <a:pt x="687" y="462"/>
                </a:lnTo>
                <a:lnTo>
                  <a:pt x="735" y="487"/>
                </a:lnTo>
                <a:lnTo>
                  <a:pt x="800" y="500"/>
                </a:lnTo>
                <a:lnTo>
                  <a:pt x="865" y="492"/>
                </a:lnTo>
                <a:lnTo>
                  <a:pt x="922" y="462"/>
                </a:lnTo>
                <a:lnTo>
                  <a:pt x="962" y="422"/>
                </a:lnTo>
                <a:lnTo>
                  <a:pt x="995" y="370"/>
                </a:lnTo>
                <a:lnTo>
                  <a:pt x="1010" y="315"/>
                </a:lnTo>
                <a:lnTo>
                  <a:pt x="1010" y="247"/>
                </a:lnTo>
                <a:lnTo>
                  <a:pt x="987" y="192"/>
                </a:lnTo>
                <a:lnTo>
                  <a:pt x="950" y="140"/>
                </a:lnTo>
                <a:lnTo>
                  <a:pt x="897" y="100"/>
                </a:lnTo>
                <a:lnTo>
                  <a:pt x="832" y="75"/>
                </a:lnTo>
                <a:lnTo>
                  <a:pt x="752" y="65"/>
                </a:lnTo>
                <a:lnTo>
                  <a:pt x="665" y="80"/>
                </a:lnTo>
                <a:lnTo>
                  <a:pt x="565" y="122"/>
                </a:lnTo>
                <a:lnTo>
                  <a:pt x="482" y="160"/>
                </a:lnTo>
                <a:lnTo>
                  <a:pt x="402" y="182"/>
                </a:lnTo>
                <a:lnTo>
                  <a:pt x="322" y="192"/>
                </a:lnTo>
                <a:lnTo>
                  <a:pt x="247" y="187"/>
                </a:lnTo>
                <a:lnTo>
                  <a:pt x="177" y="165"/>
                </a:lnTo>
                <a:lnTo>
                  <a:pt x="112" y="127"/>
                </a:lnTo>
                <a:lnTo>
                  <a:pt x="52" y="75"/>
                </a:lnTo>
                <a:lnTo>
                  <a:pt x="0" y="0"/>
                </a:lnTo>
                <a:lnTo>
                  <a:pt x="52" y="80"/>
                </a:lnTo>
                <a:lnTo>
                  <a:pt x="112" y="137"/>
                </a:lnTo>
                <a:lnTo>
                  <a:pt x="177" y="177"/>
                </a:lnTo>
                <a:lnTo>
                  <a:pt x="247" y="207"/>
                </a:lnTo>
                <a:lnTo>
                  <a:pt x="327" y="215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323" name="Group 131"/>
          <xdr:cNvGrpSpPr>
            <a:grpSpLocks/>
          </xdr:cNvGrpSpPr>
        </xdr:nvGrpSpPr>
        <xdr:grpSpPr bwMode="auto">
          <a:xfrm>
            <a:off x="11539" y="800"/>
            <a:ext cx="170" cy="205"/>
            <a:chOff x="11539" y="800"/>
            <a:chExt cx="170" cy="205"/>
          </a:xfrm>
        </xdr:grpSpPr>
        <xdr:sp macro="" textlink="">
          <xdr:nvSpPr>
            <xdr:cNvPr id="8325" name="Freeform 133"/>
            <xdr:cNvSpPr>
              <a:spLocks/>
            </xdr:cNvSpPr>
          </xdr:nvSpPr>
          <xdr:spPr bwMode="auto">
            <a:xfrm>
              <a:off x="11539" y="800"/>
              <a:ext cx="170" cy="205"/>
            </a:xfrm>
            <a:custGeom>
              <a:avLst/>
              <a:gdLst/>
              <a:ahLst/>
              <a:cxnLst>
                <a:cxn ang="0">
                  <a:pos x="15" y="57"/>
                </a:cxn>
                <a:cxn ang="0">
                  <a:pos x="0" y="102"/>
                </a:cxn>
                <a:cxn ang="0">
                  <a:pos x="5" y="140"/>
                </a:cxn>
                <a:cxn ang="0">
                  <a:pos x="20" y="172"/>
                </a:cxn>
                <a:cxn ang="0">
                  <a:pos x="42" y="192"/>
                </a:cxn>
                <a:cxn ang="0">
                  <a:pos x="70" y="205"/>
                </a:cxn>
                <a:cxn ang="0">
                  <a:pos x="100" y="205"/>
                </a:cxn>
                <a:cxn ang="0">
                  <a:pos x="132" y="202"/>
                </a:cxn>
                <a:cxn ang="0">
                  <a:pos x="155" y="182"/>
                </a:cxn>
                <a:cxn ang="0">
                  <a:pos x="170" y="155"/>
                </a:cxn>
                <a:cxn ang="0">
                  <a:pos x="170" y="122"/>
                </a:cxn>
                <a:cxn ang="0">
                  <a:pos x="165" y="107"/>
                </a:cxn>
                <a:cxn ang="0">
                  <a:pos x="155" y="97"/>
                </a:cxn>
                <a:cxn ang="0">
                  <a:pos x="145" y="95"/>
                </a:cxn>
                <a:cxn ang="0">
                  <a:pos x="135" y="90"/>
                </a:cxn>
                <a:cxn ang="0">
                  <a:pos x="117" y="90"/>
                </a:cxn>
                <a:cxn ang="0">
                  <a:pos x="107" y="95"/>
                </a:cxn>
                <a:cxn ang="0">
                  <a:pos x="102" y="97"/>
                </a:cxn>
                <a:cxn ang="0">
                  <a:pos x="100" y="102"/>
                </a:cxn>
                <a:cxn ang="0">
                  <a:pos x="107" y="97"/>
                </a:cxn>
                <a:cxn ang="0">
                  <a:pos x="117" y="95"/>
                </a:cxn>
                <a:cxn ang="0">
                  <a:pos x="132" y="97"/>
                </a:cxn>
                <a:cxn ang="0">
                  <a:pos x="140" y="102"/>
                </a:cxn>
                <a:cxn ang="0">
                  <a:pos x="150" y="112"/>
                </a:cxn>
                <a:cxn ang="0">
                  <a:pos x="155" y="127"/>
                </a:cxn>
                <a:cxn ang="0">
                  <a:pos x="155" y="140"/>
                </a:cxn>
                <a:cxn ang="0">
                  <a:pos x="145" y="160"/>
                </a:cxn>
                <a:cxn ang="0">
                  <a:pos x="132" y="172"/>
                </a:cxn>
                <a:cxn ang="0">
                  <a:pos x="117" y="182"/>
                </a:cxn>
                <a:cxn ang="0">
                  <a:pos x="100" y="187"/>
                </a:cxn>
                <a:cxn ang="0">
                  <a:pos x="70" y="182"/>
                </a:cxn>
                <a:cxn ang="0">
                  <a:pos x="47" y="172"/>
                </a:cxn>
                <a:cxn ang="0">
                  <a:pos x="27" y="160"/>
                </a:cxn>
                <a:cxn ang="0">
                  <a:pos x="15" y="132"/>
                </a:cxn>
                <a:cxn ang="0">
                  <a:pos x="10" y="97"/>
                </a:cxn>
                <a:cxn ang="0">
                  <a:pos x="25" y="57"/>
                </a:cxn>
                <a:cxn ang="0">
                  <a:pos x="52" y="0"/>
                </a:cxn>
                <a:cxn ang="0">
                  <a:pos x="15" y="57"/>
                </a:cxn>
              </a:cxnLst>
              <a:rect l="0" t="0" r="r" b="b"/>
              <a:pathLst>
                <a:path w="170" h="205">
                  <a:moveTo>
                    <a:pt x="15" y="57"/>
                  </a:moveTo>
                  <a:lnTo>
                    <a:pt x="0" y="102"/>
                  </a:lnTo>
                  <a:lnTo>
                    <a:pt x="5" y="140"/>
                  </a:lnTo>
                  <a:lnTo>
                    <a:pt x="20" y="172"/>
                  </a:lnTo>
                  <a:lnTo>
                    <a:pt x="42" y="192"/>
                  </a:lnTo>
                  <a:lnTo>
                    <a:pt x="70" y="205"/>
                  </a:lnTo>
                  <a:lnTo>
                    <a:pt x="100" y="205"/>
                  </a:lnTo>
                  <a:lnTo>
                    <a:pt x="132" y="202"/>
                  </a:lnTo>
                  <a:lnTo>
                    <a:pt x="155" y="182"/>
                  </a:lnTo>
                  <a:lnTo>
                    <a:pt x="170" y="155"/>
                  </a:lnTo>
                  <a:lnTo>
                    <a:pt x="170" y="122"/>
                  </a:lnTo>
                  <a:lnTo>
                    <a:pt x="165" y="107"/>
                  </a:lnTo>
                  <a:lnTo>
                    <a:pt x="155" y="97"/>
                  </a:lnTo>
                  <a:lnTo>
                    <a:pt x="145" y="95"/>
                  </a:lnTo>
                  <a:lnTo>
                    <a:pt x="135" y="90"/>
                  </a:lnTo>
                  <a:lnTo>
                    <a:pt x="117" y="90"/>
                  </a:lnTo>
                  <a:lnTo>
                    <a:pt x="107" y="95"/>
                  </a:lnTo>
                  <a:lnTo>
                    <a:pt x="102" y="97"/>
                  </a:lnTo>
                  <a:lnTo>
                    <a:pt x="100" y="102"/>
                  </a:lnTo>
                  <a:lnTo>
                    <a:pt x="107" y="97"/>
                  </a:lnTo>
                  <a:lnTo>
                    <a:pt x="117" y="95"/>
                  </a:lnTo>
                  <a:lnTo>
                    <a:pt x="132" y="97"/>
                  </a:lnTo>
                  <a:lnTo>
                    <a:pt x="140" y="102"/>
                  </a:lnTo>
                  <a:lnTo>
                    <a:pt x="150" y="112"/>
                  </a:lnTo>
                  <a:lnTo>
                    <a:pt x="155" y="127"/>
                  </a:lnTo>
                  <a:lnTo>
                    <a:pt x="155" y="140"/>
                  </a:lnTo>
                  <a:lnTo>
                    <a:pt x="145" y="160"/>
                  </a:lnTo>
                  <a:lnTo>
                    <a:pt x="132" y="172"/>
                  </a:lnTo>
                  <a:lnTo>
                    <a:pt x="117" y="182"/>
                  </a:lnTo>
                  <a:lnTo>
                    <a:pt x="100" y="187"/>
                  </a:lnTo>
                  <a:lnTo>
                    <a:pt x="70" y="182"/>
                  </a:lnTo>
                  <a:lnTo>
                    <a:pt x="47" y="172"/>
                  </a:lnTo>
                  <a:lnTo>
                    <a:pt x="27" y="160"/>
                  </a:lnTo>
                  <a:lnTo>
                    <a:pt x="15" y="132"/>
                  </a:lnTo>
                  <a:lnTo>
                    <a:pt x="10" y="97"/>
                  </a:lnTo>
                  <a:lnTo>
                    <a:pt x="25" y="57"/>
                  </a:lnTo>
                  <a:lnTo>
                    <a:pt x="52" y="0"/>
                  </a:lnTo>
                  <a:lnTo>
                    <a:pt x="15" y="5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24" name="Freeform 132"/>
            <xdr:cNvSpPr>
              <a:spLocks/>
            </xdr:cNvSpPr>
          </xdr:nvSpPr>
          <xdr:spPr bwMode="auto">
            <a:xfrm>
              <a:off x="11539" y="800"/>
              <a:ext cx="170" cy="205"/>
            </a:xfrm>
            <a:custGeom>
              <a:avLst/>
              <a:gdLst/>
              <a:ahLst/>
              <a:cxnLst>
                <a:cxn ang="0">
                  <a:pos x="100" y="102"/>
                </a:cxn>
                <a:cxn ang="0">
                  <a:pos x="100" y="107"/>
                </a:cxn>
                <a:cxn ang="0">
                  <a:pos x="95" y="112"/>
                </a:cxn>
                <a:cxn ang="0">
                  <a:pos x="95" y="117"/>
                </a:cxn>
                <a:cxn ang="0">
                  <a:pos x="100" y="122"/>
                </a:cxn>
                <a:cxn ang="0">
                  <a:pos x="107" y="127"/>
                </a:cxn>
                <a:cxn ang="0">
                  <a:pos x="117" y="127"/>
                </a:cxn>
                <a:cxn ang="0">
                  <a:pos x="117" y="122"/>
                </a:cxn>
                <a:cxn ang="0">
                  <a:pos x="107" y="117"/>
                </a:cxn>
                <a:cxn ang="0">
                  <a:pos x="102" y="112"/>
                </a:cxn>
                <a:cxn ang="0">
                  <a:pos x="100" y="102"/>
                </a:cxn>
              </a:cxnLst>
              <a:rect l="0" t="0" r="r" b="b"/>
              <a:pathLst>
                <a:path w="170" h="205">
                  <a:moveTo>
                    <a:pt x="100" y="102"/>
                  </a:moveTo>
                  <a:lnTo>
                    <a:pt x="100" y="107"/>
                  </a:lnTo>
                  <a:lnTo>
                    <a:pt x="95" y="112"/>
                  </a:lnTo>
                  <a:lnTo>
                    <a:pt x="95" y="117"/>
                  </a:lnTo>
                  <a:lnTo>
                    <a:pt x="100" y="122"/>
                  </a:lnTo>
                  <a:lnTo>
                    <a:pt x="107" y="127"/>
                  </a:lnTo>
                  <a:lnTo>
                    <a:pt x="117" y="127"/>
                  </a:lnTo>
                  <a:lnTo>
                    <a:pt x="117" y="122"/>
                  </a:lnTo>
                  <a:lnTo>
                    <a:pt x="107" y="117"/>
                  </a:lnTo>
                  <a:lnTo>
                    <a:pt x="102" y="112"/>
                  </a:lnTo>
                  <a:lnTo>
                    <a:pt x="100" y="10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316" name="Group 124"/>
          <xdr:cNvGrpSpPr>
            <a:grpSpLocks/>
          </xdr:cNvGrpSpPr>
        </xdr:nvGrpSpPr>
        <xdr:grpSpPr bwMode="auto">
          <a:xfrm>
            <a:off x="11544" y="325"/>
            <a:ext cx="2365" cy="715"/>
            <a:chOff x="11544" y="325"/>
            <a:chExt cx="2365" cy="715"/>
          </a:xfrm>
        </xdr:grpSpPr>
        <xdr:sp macro="" textlink="">
          <xdr:nvSpPr>
            <xdr:cNvPr id="8322" name="Freeform 130"/>
            <xdr:cNvSpPr>
              <a:spLocks/>
            </xdr:cNvSpPr>
          </xdr:nvSpPr>
          <xdr:spPr bwMode="auto">
            <a:xfrm>
              <a:off x="11544" y="325"/>
              <a:ext cx="2365" cy="715"/>
            </a:xfrm>
            <a:custGeom>
              <a:avLst/>
              <a:gdLst/>
              <a:ahLst/>
              <a:cxnLst>
                <a:cxn ang="0">
                  <a:pos x="220" y="350"/>
                </a:cxn>
                <a:cxn ang="0">
                  <a:pos x="127" y="322"/>
                </a:cxn>
                <a:cxn ang="0">
                  <a:pos x="90" y="307"/>
                </a:cxn>
                <a:cxn ang="0">
                  <a:pos x="60" y="297"/>
                </a:cxn>
                <a:cxn ang="0">
                  <a:pos x="37" y="287"/>
                </a:cxn>
                <a:cxn ang="0">
                  <a:pos x="20" y="280"/>
                </a:cxn>
                <a:cxn ang="0">
                  <a:pos x="5" y="275"/>
                </a:cxn>
                <a:cxn ang="0">
                  <a:pos x="0" y="275"/>
                </a:cxn>
                <a:cxn ang="0">
                  <a:pos x="5" y="280"/>
                </a:cxn>
                <a:cxn ang="0">
                  <a:pos x="20" y="287"/>
                </a:cxn>
                <a:cxn ang="0">
                  <a:pos x="37" y="292"/>
                </a:cxn>
                <a:cxn ang="0">
                  <a:pos x="60" y="307"/>
                </a:cxn>
                <a:cxn ang="0">
                  <a:pos x="90" y="317"/>
                </a:cxn>
                <a:cxn ang="0">
                  <a:pos x="122" y="330"/>
                </a:cxn>
                <a:cxn ang="0">
                  <a:pos x="225" y="362"/>
                </a:cxn>
                <a:cxn ang="0">
                  <a:pos x="322" y="372"/>
                </a:cxn>
                <a:cxn ang="0">
                  <a:pos x="420" y="357"/>
                </a:cxn>
                <a:cxn ang="0">
                  <a:pos x="522" y="335"/>
                </a:cxn>
                <a:cxn ang="0">
                  <a:pos x="622" y="292"/>
                </a:cxn>
                <a:cxn ang="0">
                  <a:pos x="720" y="250"/>
                </a:cxn>
                <a:cxn ang="0">
                  <a:pos x="822" y="200"/>
                </a:cxn>
                <a:cxn ang="0">
                  <a:pos x="925" y="147"/>
                </a:cxn>
                <a:cxn ang="0">
                  <a:pos x="1032" y="97"/>
                </a:cxn>
                <a:cxn ang="0">
                  <a:pos x="1140" y="60"/>
                </a:cxn>
                <a:cxn ang="0">
                  <a:pos x="1257" y="27"/>
                </a:cxn>
                <a:cxn ang="0">
                  <a:pos x="1380" y="7"/>
                </a:cxn>
                <a:cxn ang="0">
                  <a:pos x="1500" y="12"/>
                </a:cxn>
                <a:cxn ang="0">
                  <a:pos x="1635" y="35"/>
                </a:cxn>
                <a:cxn ang="0">
                  <a:pos x="1490" y="2"/>
                </a:cxn>
                <a:cxn ang="0">
                  <a:pos x="1355" y="0"/>
                </a:cxn>
                <a:cxn ang="0">
                  <a:pos x="1230" y="7"/>
                </a:cxn>
                <a:cxn ang="0">
                  <a:pos x="1112" y="35"/>
                </a:cxn>
                <a:cxn ang="0">
                  <a:pos x="1000" y="77"/>
                </a:cxn>
                <a:cxn ang="0">
                  <a:pos x="892" y="125"/>
                </a:cxn>
                <a:cxn ang="0">
                  <a:pos x="790" y="177"/>
                </a:cxn>
                <a:cxn ang="0">
                  <a:pos x="692" y="227"/>
                </a:cxn>
                <a:cxn ang="0">
                  <a:pos x="595" y="275"/>
                </a:cxn>
                <a:cxn ang="0">
                  <a:pos x="500" y="312"/>
                </a:cxn>
                <a:cxn ang="0">
                  <a:pos x="407" y="345"/>
                </a:cxn>
                <a:cxn ang="0">
                  <a:pos x="312" y="355"/>
                </a:cxn>
                <a:cxn ang="0">
                  <a:pos x="220" y="350"/>
                </a:cxn>
              </a:cxnLst>
              <a:rect l="0" t="0" r="r" b="b"/>
              <a:pathLst>
                <a:path w="2365" h="715">
                  <a:moveTo>
                    <a:pt x="220" y="350"/>
                  </a:moveTo>
                  <a:lnTo>
                    <a:pt x="127" y="322"/>
                  </a:lnTo>
                  <a:lnTo>
                    <a:pt x="90" y="307"/>
                  </a:lnTo>
                  <a:lnTo>
                    <a:pt x="60" y="297"/>
                  </a:lnTo>
                  <a:lnTo>
                    <a:pt x="37" y="287"/>
                  </a:lnTo>
                  <a:lnTo>
                    <a:pt x="20" y="280"/>
                  </a:lnTo>
                  <a:lnTo>
                    <a:pt x="5" y="275"/>
                  </a:lnTo>
                  <a:lnTo>
                    <a:pt x="0" y="275"/>
                  </a:lnTo>
                  <a:lnTo>
                    <a:pt x="5" y="280"/>
                  </a:lnTo>
                  <a:lnTo>
                    <a:pt x="20" y="287"/>
                  </a:lnTo>
                  <a:lnTo>
                    <a:pt x="37" y="292"/>
                  </a:lnTo>
                  <a:lnTo>
                    <a:pt x="60" y="307"/>
                  </a:lnTo>
                  <a:lnTo>
                    <a:pt x="90" y="317"/>
                  </a:lnTo>
                  <a:lnTo>
                    <a:pt x="122" y="330"/>
                  </a:lnTo>
                  <a:lnTo>
                    <a:pt x="225" y="362"/>
                  </a:lnTo>
                  <a:lnTo>
                    <a:pt x="322" y="372"/>
                  </a:lnTo>
                  <a:lnTo>
                    <a:pt x="420" y="357"/>
                  </a:lnTo>
                  <a:lnTo>
                    <a:pt x="522" y="335"/>
                  </a:lnTo>
                  <a:lnTo>
                    <a:pt x="622" y="292"/>
                  </a:lnTo>
                  <a:lnTo>
                    <a:pt x="720" y="250"/>
                  </a:lnTo>
                  <a:lnTo>
                    <a:pt x="822" y="200"/>
                  </a:lnTo>
                  <a:lnTo>
                    <a:pt x="925" y="147"/>
                  </a:lnTo>
                  <a:lnTo>
                    <a:pt x="1032" y="97"/>
                  </a:lnTo>
                  <a:lnTo>
                    <a:pt x="1140" y="60"/>
                  </a:lnTo>
                  <a:lnTo>
                    <a:pt x="1257" y="27"/>
                  </a:lnTo>
                  <a:lnTo>
                    <a:pt x="1380" y="7"/>
                  </a:lnTo>
                  <a:lnTo>
                    <a:pt x="1500" y="12"/>
                  </a:lnTo>
                  <a:lnTo>
                    <a:pt x="1635" y="35"/>
                  </a:lnTo>
                  <a:lnTo>
                    <a:pt x="1490" y="2"/>
                  </a:lnTo>
                  <a:lnTo>
                    <a:pt x="1355" y="0"/>
                  </a:lnTo>
                  <a:lnTo>
                    <a:pt x="1230" y="7"/>
                  </a:lnTo>
                  <a:lnTo>
                    <a:pt x="1112" y="35"/>
                  </a:lnTo>
                  <a:lnTo>
                    <a:pt x="1000" y="77"/>
                  </a:lnTo>
                  <a:lnTo>
                    <a:pt x="892" y="125"/>
                  </a:lnTo>
                  <a:lnTo>
                    <a:pt x="790" y="177"/>
                  </a:lnTo>
                  <a:lnTo>
                    <a:pt x="692" y="227"/>
                  </a:lnTo>
                  <a:lnTo>
                    <a:pt x="595" y="275"/>
                  </a:lnTo>
                  <a:lnTo>
                    <a:pt x="500" y="312"/>
                  </a:lnTo>
                  <a:lnTo>
                    <a:pt x="407" y="345"/>
                  </a:lnTo>
                  <a:lnTo>
                    <a:pt x="312" y="355"/>
                  </a:lnTo>
                  <a:lnTo>
                    <a:pt x="220" y="35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21" name="Freeform 129"/>
            <xdr:cNvSpPr>
              <a:spLocks/>
            </xdr:cNvSpPr>
          </xdr:nvSpPr>
          <xdr:spPr bwMode="auto">
            <a:xfrm>
              <a:off x="11544" y="325"/>
              <a:ext cx="2365" cy="715"/>
            </a:xfrm>
            <a:custGeom>
              <a:avLst/>
              <a:gdLst/>
              <a:ahLst/>
              <a:cxnLst>
                <a:cxn ang="0">
                  <a:pos x="1977" y="502"/>
                </a:cxn>
                <a:cxn ang="0">
                  <a:pos x="1990" y="582"/>
                </a:cxn>
                <a:cxn ang="0">
                  <a:pos x="2047" y="625"/>
                </a:cxn>
                <a:cxn ang="0">
                  <a:pos x="2070" y="640"/>
                </a:cxn>
                <a:cxn ang="0">
                  <a:pos x="2135" y="700"/>
                </a:cxn>
                <a:cxn ang="0">
                  <a:pos x="2200" y="715"/>
                </a:cxn>
                <a:cxn ang="0">
                  <a:pos x="2230" y="700"/>
                </a:cxn>
                <a:cxn ang="0">
                  <a:pos x="2242" y="677"/>
                </a:cxn>
                <a:cxn ang="0">
                  <a:pos x="2237" y="640"/>
                </a:cxn>
                <a:cxn ang="0">
                  <a:pos x="2235" y="685"/>
                </a:cxn>
                <a:cxn ang="0">
                  <a:pos x="2220" y="700"/>
                </a:cxn>
                <a:cxn ang="0">
                  <a:pos x="2197" y="710"/>
                </a:cxn>
                <a:cxn ang="0">
                  <a:pos x="2135" y="695"/>
                </a:cxn>
                <a:cxn ang="0">
                  <a:pos x="2085" y="630"/>
                </a:cxn>
                <a:cxn ang="0">
                  <a:pos x="2155" y="607"/>
                </a:cxn>
                <a:cxn ang="0">
                  <a:pos x="2220" y="532"/>
                </a:cxn>
                <a:cxn ang="0">
                  <a:pos x="2272" y="507"/>
                </a:cxn>
                <a:cxn ang="0">
                  <a:pos x="2345" y="500"/>
                </a:cxn>
                <a:cxn ang="0">
                  <a:pos x="2337" y="500"/>
                </a:cxn>
                <a:cxn ang="0">
                  <a:pos x="2252" y="500"/>
                </a:cxn>
                <a:cxn ang="0">
                  <a:pos x="2235" y="475"/>
                </a:cxn>
                <a:cxn ang="0">
                  <a:pos x="2210" y="362"/>
                </a:cxn>
                <a:cxn ang="0">
                  <a:pos x="2140" y="292"/>
                </a:cxn>
                <a:cxn ang="0">
                  <a:pos x="2187" y="367"/>
                </a:cxn>
                <a:cxn ang="0">
                  <a:pos x="2210" y="485"/>
                </a:cxn>
                <a:cxn ang="0">
                  <a:pos x="2160" y="442"/>
                </a:cxn>
                <a:cxn ang="0">
                  <a:pos x="2080" y="330"/>
                </a:cxn>
                <a:cxn ang="0">
                  <a:pos x="2032" y="270"/>
                </a:cxn>
                <a:cxn ang="0">
                  <a:pos x="2085" y="377"/>
                </a:cxn>
                <a:cxn ang="0">
                  <a:pos x="2182" y="480"/>
                </a:cxn>
                <a:cxn ang="0">
                  <a:pos x="2192" y="550"/>
                </a:cxn>
                <a:cxn ang="0">
                  <a:pos x="2112" y="620"/>
                </a:cxn>
                <a:cxn ang="0">
                  <a:pos x="2070" y="602"/>
                </a:cxn>
                <a:cxn ang="0">
                  <a:pos x="2027" y="452"/>
                </a:cxn>
                <a:cxn ang="0">
                  <a:pos x="1987" y="325"/>
                </a:cxn>
                <a:cxn ang="0">
                  <a:pos x="1972" y="325"/>
                </a:cxn>
                <a:cxn ang="0">
                  <a:pos x="2010" y="452"/>
                </a:cxn>
                <a:cxn ang="0">
                  <a:pos x="2042" y="587"/>
                </a:cxn>
                <a:cxn ang="0">
                  <a:pos x="2022" y="607"/>
                </a:cxn>
                <a:cxn ang="0">
                  <a:pos x="1982" y="545"/>
                </a:cxn>
              </a:cxnLst>
              <a:rect l="0" t="0" r="r" b="b"/>
              <a:pathLst>
                <a:path w="2365" h="715">
                  <a:moveTo>
                    <a:pt x="1982" y="502"/>
                  </a:moveTo>
                  <a:lnTo>
                    <a:pt x="1977" y="502"/>
                  </a:lnTo>
                  <a:lnTo>
                    <a:pt x="1977" y="550"/>
                  </a:lnTo>
                  <a:lnTo>
                    <a:pt x="1990" y="582"/>
                  </a:lnTo>
                  <a:lnTo>
                    <a:pt x="2015" y="610"/>
                  </a:lnTo>
                  <a:lnTo>
                    <a:pt x="2047" y="625"/>
                  </a:lnTo>
                  <a:lnTo>
                    <a:pt x="2065" y="625"/>
                  </a:lnTo>
                  <a:lnTo>
                    <a:pt x="2070" y="640"/>
                  </a:lnTo>
                  <a:lnTo>
                    <a:pt x="2102" y="677"/>
                  </a:lnTo>
                  <a:lnTo>
                    <a:pt x="2135" y="700"/>
                  </a:lnTo>
                  <a:lnTo>
                    <a:pt x="2172" y="715"/>
                  </a:lnTo>
                  <a:lnTo>
                    <a:pt x="2200" y="715"/>
                  </a:lnTo>
                  <a:lnTo>
                    <a:pt x="2215" y="710"/>
                  </a:lnTo>
                  <a:lnTo>
                    <a:pt x="2230" y="700"/>
                  </a:lnTo>
                  <a:lnTo>
                    <a:pt x="2237" y="690"/>
                  </a:lnTo>
                  <a:lnTo>
                    <a:pt x="2242" y="677"/>
                  </a:lnTo>
                  <a:lnTo>
                    <a:pt x="2242" y="657"/>
                  </a:lnTo>
                  <a:lnTo>
                    <a:pt x="2237" y="640"/>
                  </a:lnTo>
                  <a:lnTo>
                    <a:pt x="2237" y="672"/>
                  </a:lnTo>
                  <a:lnTo>
                    <a:pt x="2235" y="685"/>
                  </a:lnTo>
                  <a:lnTo>
                    <a:pt x="2230" y="695"/>
                  </a:lnTo>
                  <a:lnTo>
                    <a:pt x="2220" y="700"/>
                  </a:lnTo>
                  <a:lnTo>
                    <a:pt x="2205" y="705"/>
                  </a:lnTo>
                  <a:lnTo>
                    <a:pt x="2197" y="710"/>
                  </a:lnTo>
                  <a:lnTo>
                    <a:pt x="2172" y="710"/>
                  </a:lnTo>
                  <a:lnTo>
                    <a:pt x="2135" y="695"/>
                  </a:lnTo>
                  <a:lnTo>
                    <a:pt x="2097" y="657"/>
                  </a:lnTo>
                  <a:lnTo>
                    <a:pt x="2085" y="630"/>
                  </a:lnTo>
                  <a:lnTo>
                    <a:pt x="2112" y="625"/>
                  </a:lnTo>
                  <a:lnTo>
                    <a:pt x="2155" y="607"/>
                  </a:lnTo>
                  <a:lnTo>
                    <a:pt x="2192" y="577"/>
                  </a:lnTo>
                  <a:lnTo>
                    <a:pt x="2220" y="532"/>
                  </a:lnTo>
                  <a:lnTo>
                    <a:pt x="2230" y="502"/>
                  </a:lnTo>
                  <a:lnTo>
                    <a:pt x="2272" y="507"/>
                  </a:lnTo>
                  <a:lnTo>
                    <a:pt x="2312" y="502"/>
                  </a:lnTo>
                  <a:lnTo>
                    <a:pt x="2345" y="500"/>
                  </a:lnTo>
                  <a:lnTo>
                    <a:pt x="2365" y="485"/>
                  </a:lnTo>
                  <a:lnTo>
                    <a:pt x="2337" y="500"/>
                  </a:lnTo>
                  <a:lnTo>
                    <a:pt x="2300" y="502"/>
                  </a:lnTo>
                  <a:lnTo>
                    <a:pt x="2252" y="500"/>
                  </a:lnTo>
                  <a:lnTo>
                    <a:pt x="2230" y="490"/>
                  </a:lnTo>
                  <a:lnTo>
                    <a:pt x="2235" y="475"/>
                  </a:lnTo>
                  <a:lnTo>
                    <a:pt x="2230" y="410"/>
                  </a:lnTo>
                  <a:lnTo>
                    <a:pt x="2210" y="362"/>
                  </a:lnTo>
                  <a:lnTo>
                    <a:pt x="2177" y="322"/>
                  </a:lnTo>
                  <a:lnTo>
                    <a:pt x="2140" y="292"/>
                  </a:lnTo>
                  <a:lnTo>
                    <a:pt x="2150" y="322"/>
                  </a:lnTo>
                  <a:lnTo>
                    <a:pt x="2187" y="367"/>
                  </a:lnTo>
                  <a:lnTo>
                    <a:pt x="2205" y="425"/>
                  </a:lnTo>
                  <a:lnTo>
                    <a:pt x="2210" y="485"/>
                  </a:lnTo>
                  <a:lnTo>
                    <a:pt x="2205" y="480"/>
                  </a:lnTo>
                  <a:lnTo>
                    <a:pt x="2160" y="442"/>
                  </a:lnTo>
                  <a:lnTo>
                    <a:pt x="2107" y="377"/>
                  </a:lnTo>
                  <a:lnTo>
                    <a:pt x="2080" y="330"/>
                  </a:lnTo>
                  <a:lnTo>
                    <a:pt x="2037" y="275"/>
                  </a:lnTo>
                  <a:lnTo>
                    <a:pt x="2032" y="270"/>
                  </a:lnTo>
                  <a:lnTo>
                    <a:pt x="2047" y="317"/>
                  </a:lnTo>
                  <a:lnTo>
                    <a:pt x="2085" y="377"/>
                  </a:lnTo>
                  <a:lnTo>
                    <a:pt x="2130" y="442"/>
                  </a:lnTo>
                  <a:lnTo>
                    <a:pt x="2182" y="480"/>
                  </a:lnTo>
                  <a:lnTo>
                    <a:pt x="2210" y="495"/>
                  </a:lnTo>
                  <a:lnTo>
                    <a:pt x="2192" y="550"/>
                  </a:lnTo>
                  <a:lnTo>
                    <a:pt x="2160" y="597"/>
                  </a:lnTo>
                  <a:lnTo>
                    <a:pt x="2112" y="620"/>
                  </a:lnTo>
                  <a:lnTo>
                    <a:pt x="2080" y="620"/>
                  </a:lnTo>
                  <a:lnTo>
                    <a:pt x="2070" y="602"/>
                  </a:lnTo>
                  <a:lnTo>
                    <a:pt x="2042" y="512"/>
                  </a:lnTo>
                  <a:lnTo>
                    <a:pt x="2027" y="452"/>
                  </a:lnTo>
                  <a:lnTo>
                    <a:pt x="2010" y="387"/>
                  </a:lnTo>
                  <a:lnTo>
                    <a:pt x="1987" y="325"/>
                  </a:lnTo>
                  <a:lnTo>
                    <a:pt x="1952" y="265"/>
                  </a:lnTo>
                  <a:lnTo>
                    <a:pt x="1972" y="325"/>
                  </a:lnTo>
                  <a:lnTo>
                    <a:pt x="1995" y="392"/>
                  </a:lnTo>
                  <a:lnTo>
                    <a:pt x="2010" y="452"/>
                  </a:lnTo>
                  <a:lnTo>
                    <a:pt x="2022" y="517"/>
                  </a:lnTo>
                  <a:lnTo>
                    <a:pt x="2042" y="587"/>
                  </a:lnTo>
                  <a:lnTo>
                    <a:pt x="2060" y="620"/>
                  </a:lnTo>
                  <a:lnTo>
                    <a:pt x="2022" y="607"/>
                  </a:lnTo>
                  <a:lnTo>
                    <a:pt x="1995" y="582"/>
                  </a:lnTo>
                  <a:lnTo>
                    <a:pt x="1982" y="545"/>
                  </a:lnTo>
                  <a:lnTo>
                    <a:pt x="1982" y="50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20" name="Freeform 128"/>
            <xdr:cNvSpPr>
              <a:spLocks/>
            </xdr:cNvSpPr>
          </xdr:nvSpPr>
          <xdr:spPr bwMode="auto">
            <a:xfrm>
              <a:off x="11544" y="325"/>
              <a:ext cx="2365" cy="715"/>
            </a:xfrm>
            <a:custGeom>
              <a:avLst/>
              <a:gdLst/>
              <a:ahLst/>
              <a:cxnLst>
                <a:cxn ang="0">
                  <a:pos x="1945" y="265"/>
                </a:cxn>
                <a:cxn ang="0">
                  <a:pos x="1972" y="325"/>
                </a:cxn>
                <a:cxn ang="0">
                  <a:pos x="1952" y="265"/>
                </a:cxn>
                <a:cxn ang="0">
                  <a:pos x="2010" y="265"/>
                </a:cxn>
                <a:cxn ang="0">
                  <a:pos x="2047" y="317"/>
                </a:cxn>
                <a:cxn ang="0">
                  <a:pos x="2032" y="270"/>
                </a:cxn>
                <a:cxn ang="0">
                  <a:pos x="2097" y="287"/>
                </a:cxn>
                <a:cxn ang="0">
                  <a:pos x="2150" y="322"/>
                </a:cxn>
                <a:cxn ang="0">
                  <a:pos x="2140" y="292"/>
                </a:cxn>
                <a:cxn ang="0">
                  <a:pos x="2090" y="275"/>
                </a:cxn>
                <a:cxn ang="0">
                  <a:pos x="2037" y="265"/>
                </a:cxn>
                <a:cxn ang="0">
                  <a:pos x="2022" y="260"/>
                </a:cxn>
                <a:cxn ang="0">
                  <a:pos x="1982" y="215"/>
                </a:cxn>
                <a:cxn ang="0">
                  <a:pos x="1912" y="152"/>
                </a:cxn>
                <a:cxn ang="0">
                  <a:pos x="1822" y="102"/>
                </a:cxn>
                <a:cxn ang="0">
                  <a:pos x="1902" y="152"/>
                </a:cxn>
                <a:cxn ang="0">
                  <a:pos x="1957" y="205"/>
                </a:cxn>
                <a:cxn ang="0">
                  <a:pos x="2005" y="260"/>
                </a:cxn>
                <a:cxn ang="0">
                  <a:pos x="1952" y="260"/>
                </a:cxn>
                <a:cxn ang="0">
                  <a:pos x="1912" y="205"/>
                </a:cxn>
                <a:cxn ang="0">
                  <a:pos x="1850" y="147"/>
                </a:cxn>
                <a:cxn ang="0">
                  <a:pos x="1907" y="205"/>
                </a:cxn>
                <a:cxn ang="0">
                  <a:pos x="1945" y="260"/>
                </a:cxn>
                <a:cxn ang="0">
                  <a:pos x="1915" y="265"/>
                </a:cxn>
                <a:cxn ang="0">
                  <a:pos x="1945" y="265"/>
                </a:cxn>
              </a:cxnLst>
              <a:rect l="0" t="0" r="r" b="b"/>
              <a:pathLst>
                <a:path w="2365" h="715">
                  <a:moveTo>
                    <a:pt x="1945" y="265"/>
                  </a:moveTo>
                  <a:lnTo>
                    <a:pt x="1972" y="325"/>
                  </a:lnTo>
                  <a:lnTo>
                    <a:pt x="1952" y="265"/>
                  </a:lnTo>
                  <a:lnTo>
                    <a:pt x="2010" y="265"/>
                  </a:lnTo>
                  <a:lnTo>
                    <a:pt x="2047" y="317"/>
                  </a:lnTo>
                  <a:lnTo>
                    <a:pt x="2032" y="270"/>
                  </a:lnTo>
                  <a:lnTo>
                    <a:pt x="2097" y="287"/>
                  </a:lnTo>
                  <a:lnTo>
                    <a:pt x="2150" y="322"/>
                  </a:lnTo>
                  <a:lnTo>
                    <a:pt x="2140" y="292"/>
                  </a:lnTo>
                  <a:lnTo>
                    <a:pt x="2090" y="275"/>
                  </a:lnTo>
                  <a:lnTo>
                    <a:pt x="2037" y="265"/>
                  </a:lnTo>
                  <a:lnTo>
                    <a:pt x="2022" y="260"/>
                  </a:lnTo>
                  <a:lnTo>
                    <a:pt x="1982" y="215"/>
                  </a:lnTo>
                  <a:lnTo>
                    <a:pt x="1912" y="152"/>
                  </a:lnTo>
                  <a:lnTo>
                    <a:pt x="1822" y="102"/>
                  </a:lnTo>
                  <a:lnTo>
                    <a:pt x="1902" y="152"/>
                  </a:lnTo>
                  <a:lnTo>
                    <a:pt x="1957" y="205"/>
                  </a:lnTo>
                  <a:lnTo>
                    <a:pt x="2005" y="260"/>
                  </a:lnTo>
                  <a:lnTo>
                    <a:pt x="1952" y="260"/>
                  </a:lnTo>
                  <a:lnTo>
                    <a:pt x="1912" y="205"/>
                  </a:lnTo>
                  <a:lnTo>
                    <a:pt x="1850" y="147"/>
                  </a:lnTo>
                  <a:lnTo>
                    <a:pt x="1907" y="205"/>
                  </a:lnTo>
                  <a:lnTo>
                    <a:pt x="1945" y="260"/>
                  </a:lnTo>
                  <a:lnTo>
                    <a:pt x="1915" y="265"/>
                  </a:lnTo>
                  <a:lnTo>
                    <a:pt x="1945" y="26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19" name="Freeform 127"/>
            <xdr:cNvSpPr>
              <a:spLocks/>
            </xdr:cNvSpPr>
          </xdr:nvSpPr>
          <xdr:spPr bwMode="auto">
            <a:xfrm>
              <a:off x="11544" y="325"/>
              <a:ext cx="2365" cy="715"/>
            </a:xfrm>
            <a:custGeom>
              <a:avLst/>
              <a:gdLst/>
              <a:ahLst/>
              <a:cxnLst>
                <a:cxn ang="0">
                  <a:pos x="452" y="410"/>
                </a:cxn>
                <a:cxn ang="0">
                  <a:pos x="702" y="372"/>
                </a:cxn>
                <a:cxn ang="0">
                  <a:pos x="920" y="285"/>
                </a:cxn>
                <a:cxn ang="0">
                  <a:pos x="1122" y="180"/>
                </a:cxn>
                <a:cxn ang="0">
                  <a:pos x="1312" y="92"/>
                </a:cxn>
                <a:cxn ang="0">
                  <a:pos x="1500" y="50"/>
                </a:cxn>
                <a:cxn ang="0">
                  <a:pos x="1687" y="87"/>
                </a:cxn>
                <a:cxn ang="0">
                  <a:pos x="1822" y="180"/>
                </a:cxn>
                <a:cxn ang="0">
                  <a:pos x="1897" y="297"/>
                </a:cxn>
                <a:cxn ang="0">
                  <a:pos x="1915" y="425"/>
                </a:cxn>
                <a:cxn ang="0">
                  <a:pos x="1875" y="555"/>
                </a:cxn>
                <a:cxn ang="0">
                  <a:pos x="1775" y="645"/>
                </a:cxn>
                <a:cxn ang="0">
                  <a:pos x="1645" y="657"/>
                </a:cxn>
                <a:cxn ang="0">
                  <a:pos x="1552" y="615"/>
                </a:cxn>
                <a:cxn ang="0">
                  <a:pos x="1542" y="577"/>
                </a:cxn>
                <a:cxn ang="0">
                  <a:pos x="1527" y="582"/>
                </a:cxn>
                <a:cxn ang="0">
                  <a:pos x="1520" y="490"/>
                </a:cxn>
                <a:cxn ang="0">
                  <a:pos x="1505" y="545"/>
                </a:cxn>
                <a:cxn ang="0">
                  <a:pos x="1532" y="602"/>
                </a:cxn>
                <a:cxn ang="0">
                  <a:pos x="1500" y="647"/>
                </a:cxn>
                <a:cxn ang="0">
                  <a:pos x="1537" y="607"/>
                </a:cxn>
                <a:cxn ang="0">
                  <a:pos x="1585" y="647"/>
                </a:cxn>
                <a:cxn ang="0">
                  <a:pos x="1710" y="672"/>
                </a:cxn>
                <a:cxn ang="0">
                  <a:pos x="1832" y="615"/>
                </a:cxn>
                <a:cxn ang="0">
                  <a:pos x="1912" y="500"/>
                </a:cxn>
                <a:cxn ang="0">
                  <a:pos x="1925" y="357"/>
                </a:cxn>
                <a:cxn ang="0">
                  <a:pos x="1875" y="227"/>
                </a:cxn>
                <a:cxn ang="0">
                  <a:pos x="1767" y="115"/>
                </a:cxn>
                <a:cxn ang="0">
                  <a:pos x="1590" y="45"/>
                </a:cxn>
                <a:cxn ang="0">
                  <a:pos x="1387" y="50"/>
                </a:cxn>
                <a:cxn ang="0">
                  <a:pos x="1192" y="110"/>
                </a:cxn>
                <a:cxn ang="0">
                  <a:pos x="990" y="210"/>
                </a:cxn>
                <a:cxn ang="0">
                  <a:pos x="780" y="307"/>
                </a:cxn>
                <a:cxn ang="0">
                  <a:pos x="557" y="382"/>
                </a:cxn>
                <a:cxn ang="0">
                  <a:pos x="310" y="395"/>
                </a:cxn>
                <a:cxn ang="0">
                  <a:pos x="322" y="405"/>
                </a:cxn>
              </a:cxnLst>
              <a:rect l="0" t="0" r="r" b="b"/>
              <a:pathLst>
                <a:path w="2365" h="715">
                  <a:moveTo>
                    <a:pt x="322" y="405"/>
                  </a:moveTo>
                  <a:lnTo>
                    <a:pt x="452" y="410"/>
                  </a:lnTo>
                  <a:lnTo>
                    <a:pt x="580" y="400"/>
                  </a:lnTo>
                  <a:lnTo>
                    <a:pt x="702" y="372"/>
                  </a:lnTo>
                  <a:lnTo>
                    <a:pt x="812" y="330"/>
                  </a:lnTo>
                  <a:lnTo>
                    <a:pt x="920" y="285"/>
                  </a:lnTo>
                  <a:lnTo>
                    <a:pt x="1022" y="232"/>
                  </a:lnTo>
                  <a:lnTo>
                    <a:pt x="1122" y="180"/>
                  </a:lnTo>
                  <a:lnTo>
                    <a:pt x="1215" y="135"/>
                  </a:lnTo>
                  <a:lnTo>
                    <a:pt x="1312" y="92"/>
                  </a:lnTo>
                  <a:lnTo>
                    <a:pt x="1407" y="65"/>
                  </a:lnTo>
                  <a:lnTo>
                    <a:pt x="1500" y="50"/>
                  </a:lnTo>
                  <a:lnTo>
                    <a:pt x="1595" y="60"/>
                  </a:lnTo>
                  <a:lnTo>
                    <a:pt x="1687" y="87"/>
                  </a:lnTo>
                  <a:lnTo>
                    <a:pt x="1767" y="130"/>
                  </a:lnTo>
                  <a:lnTo>
                    <a:pt x="1822" y="180"/>
                  </a:lnTo>
                  <a:lnTo>
                    <a:pt x="1870" y="237"/>
                  </a:lnTo>
                  <a:lnTo>
                    <a:pt x="1897" y="297"/>
                  </a:lnTo>
                  <a:lnTo>
                    <a:pt x="1912" y="362"/>
                  </a:lnTo>
                  <a:lnTo>
                    <a:pt x="1915" y="425"/>
                  </a:lnTo>
                  <a:lnTo>
                    <a:pt x="1902" y="490"/>
                  </a:lnTo>
                  <a:lnTo>
                    <a:pt x="1875" y="555"/>
                  </a:lnTo>
                  <a:lnTo>
                    <a:pt x="1832" y="607"/>
                  </a:lnTo>
                  <a:lnTo>
                    <a:pt x="1775" y="645"/>
                  </a:lnTo>
                  <a:lnTo>
                    <a:pt x="1710" y="662"/>
                  </a:lnTo>
                  <a:lnTo>
                    <a:pt x="1645" y="657"/>
                  </a:lnTo>
                  <a:lnTo>
                    <a:pt x="1595" y="645"/>
                  </a:lnTo>
                  <a:lnTo>
                    <a:pt x="1552" y="615"/>
                  </a:lnTo>
                  <a:lnTo>
                    <a:pt x="1542" y="597"/>
                  </a:lnTo>
                  <a:lnTo>
                    <a:pt x="1542" y="577"/>
                  </a:lnTo>
                  <a:lnTo>
                    <a:pt x="1537" y="592"/>
                  </a:lnTo>
                  <a:lnTo>
                    <a:pt x="1527" y="582"/>
                  </a:lnTo>
                  <a:lnTo>
                    <a:pt x="1515" y="545"/>
                  </a:lnTo>
                  <a:lnTo>
                    <a:pt x="1520" y="490"/>
                  </a:lnTo>
                  <a:lnTo>
                    <a:pt x="1505" y="507"/>
                  </a:lnTo>
                  <a:lnTo>
                    <a:pt x="1505" y="545"/>
                  </a:lnTo>
                  <a:lnTo>
                    <a:pt x="1520" y="582"/>
                  </a:lnTo>
                  <a:lnTo>
                    <a:pt x="1532" y="602"/>
                  </a:lnTo>
                  <a:lnTo>
                    <a:pt x="1527" y="615"/>
                  </a:lnTo>
                  <a:lnTo>
                    <a:pt x="1500" y="647"/>
                  </a:lnTo>
                  <a:lnTo>
                    <a:pt x="1532" y="615"/>
                  </a:lnTo>
                  <a:lnTo>
                    <a:pt x="1537" y="607"/>
                  </a:lnTo>
                  <a:lnTo>
                    <a:pt x="1547" y="620"/>
                  </a:lnTo>
                  <a:lnTo>
                    <a:pt x="1585" y="647"/>
                  </a:lnTo>
                  <a:lnTo>
                    <a:pt x="1640" y="667"/>
                  </a:lnTo>
                  <a:lnTo>
                    <a:pt x="1710" y="672"/>
                  </a:lnTo>
                  <a:lnTo>
                    <a:pt x="1775" y="652"/>
                  </a:lnTo>
                  <a:lnTo>
                    <a:pt x="1832" y="615"/>
                  </a:lnTo>
                  <a:lnTo>
                    <a:pt x="1880" y="565"/>
                  </a:lnTo>
                  <a:lnTo>
                    <a:pt x="1912" y="500"/>
                  </a:lnTo>
                  <a:lnTo>
                    <a:pt x="1925" y="430"/>
                  </a:lnTo>
                  <a:lnTo>
                    <a:pt x="1925" y="357"/>
                  </a:lnTo>
                  <a:lnTo>
                    <a:pt x="1907" y="292"/>
                  </a:lnTo>
                  <a:lnTo>
                    <a:pt x="1875" y="227"/>
                  </a:lnTo>
                  <a:lnTo>
                    <a:pt x="1827" y="167"/>
                  </a:lnTo>
                  <a:lnTo>
                    <a:pt x="1767" y="115"/>
                  </a:lnTo>
                  <a:lnTo>
                    <a:pt x="1692" y="77"/>
                  </a:lnTo>
                  <a:lnTo>
                    <a:pt x="1590" y="45"/>
                  </a:lnTo>
                  <a:lnTo>
                    <a:pt x="1487" y="35"/>
                  </a:lnTo>
                  <a:lnTo>
                    <a:pt x="1387" y="50"/>
                  </a:lnTo>
                  <a:lnTo>
                    <a:pt x="1290" y="72"/>
                  </a:lnTo>
                  <a:lnTo>
                    <a:pt x="1192" y="110"/>
                  </a:lnTo>
                  <a:lnTo>
                    <a:pt x="1090" y="157"/>
                  </a:lnTo>
                  <a:lnTo>
                    <a:pt x="990" y="210"/>
                  </a:lnTo>
                  <a:lnTo>
                    <a:pt x="882" y="260"/>
                  </a:lnTo>
                  <a:lnTo>
                    <a:pt x="780" y="307"/>
                  </a:lnTo>
                  <a:lnTo>
                    <a:pt x="667" y="350"/>
                  </a:lnTo>
                  <a:lnTo>
                    <a:pt x="557" y="382"/>
                  </a:lnTo>
                  <a:lnTo>
                    <a:pt x="435" y="395"/>
                  </a:lnTo>
                  <a:lnTo>
                    <a:pt x="310" y="395"/>
                  </a:lnTo>
                  <a:lnTo>
                    <a:pt x="177" y="372"/>
                  </a:lnTo>
                  <a:lnTo>
                    <a:pt x="322" y="40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18" name="Freeform 126"/>
            <xdr:cNvSpPr>
              <a:spLocks/>
            </xdr:cNvSpPr>
          </xdr:nvSpPr>
          <xdr:spPr bwMode="auto">
            <a:xfrm>
              <a:off x="11544" y="325"/>
              <a:ext cx="2365" cy="715"/>
            </a:xfrm>
            <a:custGeom>
              <a:avLst/>
              <a:gdLst/>
              <a:ahLst/>
              <a:cxnLst>
                <a:cxn ang="0">
                  <a:pos x="1515" y="545"/>
                </a:cxn>
                <a:cxn ang="0">
                  <a:pos x="1520" y="512"/>
                </a:cxn>
                <a:cxn ang="0">
                  <a:pos x="1527" y="502"/>
                </a:cxn>
                <a:cxn ang="0">
                  <a:pos x="1537" y="517"/>
                </a:cxn>
                <a:cxn ang="0">
                  <a:pos x="1542" y="545"/>
                </a:cxn>
                <a:cxn ang="0">
                  <a:pos x="1542" y="597"/>
                </a:cxn>
                <a:cxn ang="0">
                  <a:pos x="1547" y="582"/>
                </a:cxn>
                <a:cxn ang="0">
                  <a:pos x="1552" y="545"/>
                </a:cxn>
                <a:cxn ang="0">
                  <a:pos x="1542" y="512"/>
                </a:cxn>
                <a:cxn ang="0">
                  <a:pos x="1532" y="495"/>
                </a:cxn>
                <a:cxn ang="0">
                  <a:pos x="1520" y="490"/>
                </a:cxn>
                <a:cxn ang="0">
                  <a:pos x="1515" y="545"/>
                </a:cxn>
              </a:cxnLst>
              <a:rect l="0" t="0" r="r" b="b"/>
              <a:pathLst>
                <a:path w="2365" h="715">
                  <a:moveTo>
                    <a:pt x="1515" y="545"/>
                  </a:moveTo>
                  <a:lnTo>
                    <a:pt x="1520" y="512"/>
                  </a:lnTo>
                  <a:lnTo>
                    <a:pt x="1527" y="502"/>
                  </a:lnTo>
                  <a:lnTo>
                    <a:pt x="1537" y="517"/>
                  </a:lnTo>
                  <a:lnTo>
                    <a:pt x="1542" y="545"/>
                  </a:lnTo>
                  <a:lnTo>
                    <a:pt x="1542" y="597"/>
                  </a:lnTo>
                  <a:lnTo>
                    <a:pt x="1547" y="582"/>
                  </a:lnTo>
                  <a:lnTo>
                    <a:pt x="1552" y="545"/>
                  </a:lnTo>
                  <a:lnTo>
                    <a:pt x="1542" y="512"/>
                  </a:lnTo>
                  <a:lnTo>
                    <a:pt x="1532" y="495"/>
                  </a:lnTo>
                  <a:lnTo>
                    <a:pt x="1520" y="490"/>
                  </a:lnTo>
                  <a:lnTo>
                    <a:pt x="1515" y="54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17" name="Freeform 125"/>
            <xdr:cNvSpPr>
              <a:spLocks/>
            </xdr:cNvSpPr>
          </xdr:nvSpPr>
          <xdr:spPr bwMode="auto">
            <a:xfrm>
              <a:off x="11544" y="325"/>
              <a:ext cx="2365" cy="715"/>
            </a:xfrm>
            <a:custGeom>
              <a:avLst/>
              <a:gdLst/>
              <a:ahLst/>
              <a:cxnLst>
                <a:cxn ang="0">
                  <a:pos x="2235" y="630"/>
                </a:cxn>
                <a:cxn ang="0">
                  <a:pos x="2235" y="635"/>
                </a:cxn>
                <a:cxn ang="0">
                  <a:pos x="2237" y="640"/>
                </a:cxn>
                <a:cxn ang="0">
                  <a:pos x="2237" y="635"/>
                </a:cxn>
                <a:cxn ang="0">
                  <a:pos x="2235" y="630"/>
                </a:cxn>
              </a:cxnLst>
              <a:rect l="0" t="0" r="r" b="b"/>
              <a:pathLst>
                <a:path w="2365" h="715">
                  <a:moveTo>
                    <a:pt x="2235" y="630"/>
                  </a:moveTo>
                  <a:lnTo>
                    <a:pt x="2235" y="635"/>
                  </a:lnTo>
                  <a:lnTo>
                    <a:pt x="2237" y="640"/>
                  </a:lnTo>
                  <a:lnTo>
                    <a:pt x="2237" y="635"/>
                  </a:lnTo>
                  <a:lnTo>
                    <a:pt x="2235" y="63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315" name="Freeform 123"/>
          <xdr:cNvSpPr>
            <a:spLocks/>
          </xdr:cNvSpPr>
        </xdr:nvSpPr>
        <xdr:spPr bwMode="auto">
          <a:xfrm>
            <a:off x="4138" y="402"/>
            <a:ext cx="1008" cy="500"/>
          </a:xfrm>
          <a:custGeom>
            <a:avLst/>
            <a:gdLst/>
            <a:ahLst/>
            <a:cxnLst>
              <a:cxn ang="0">
                <a:pos x="200" y="352"/>
              </a:cxn>
              <a:cxn ang="0">
                <a:pos x="182" y="337"/>
              </a:cxn>
              <a:cxn ang="0">
                <a:pos x="185" y="280"/>
              </a:cxn>
              <a:cxn ang="0">
                <a:pos x="255" y="257"/>
              </a:cxn>
              <a:cxn ang="0">
                <a:pos x="317" y="295"/>
              </a:cxn>
              <a:cxn ang="0">
                <a:pos x="340" y="375"/>
              </a:cxn>
              <a:cxn ang="0">
                <a:pos x="312" y="450"/>
              </a:cxn>
              <a:cxn ang="0">
                <a:pos x="217" y="487"/>
              </a:cxn>
              <a:cxn ang="0">
                <a:pos x="115" y="460"/>
              </a:cxn>
              <a:cxn ang="0">
                <a:pos x="40" y="375"/>
              </a:cxn>
              <a:cxn ang="0">
                <a:pos x="32" y="262"/>
              </a:cxn>
              <a:cxn ang="0">
                <a:pos x="70" y="177"/>
              </a:cxn>
              <a:cxn ang="0">
                <a:pos x="152" y="117"/>
              </a:cxn>
              <a:cxn ang="0">
                <a:pos x="285" y="100"/>
              </a:cxn>
              <a:cxn ang="0">
                <a:pos x="457" y="160"/>
              </a:cxn>
              <a:cxn ang="0">
                <a:pos x="607" y="207"/>
              </a:cxn>
              <a:cxn ang="0">
                <a:pos x="760" y="207"/>
              </a:cxn>
              <a:cxn ang="0">
                <a:pos x="900" y="137"/>
              </a:cxn>
              <a:cxn ang="0">
                <a:pos x="1008" y="0"/>
              </a:cxn>
              <a:cxn ang="0">
                <a:pos x="895" y="127"/>
              </a:cxn>
              <a:cxn ang="0">
                <a:pos x="760" y="187"/>
              </a:cxn>
              <a:cxn ang="0">
                <a:pos x="607" y="182"/>
              </a:cxn>
              <a:cxn ang="0">
                <a:pos x="442" y="122"/>
              </a:cxn>
              <a:cxn ang="0">
                <a:pos x="255" y="65"/>
              </a:cxn>
              <a:cxn ang="0">
                <a:pos x="110" y="100"/>
              </a:cxn>
              <a:cxn ang="0">
                <a:pos x="22" y="192"/>
              </a:cxn>
              <a:cxn ang="0">
                <a:pos x="0" y="315"/>
              </a:cxn>
              <a:cxn ang="0">
                <a:pos x="45" y="422"/>
              </a:cxn>
              <a:cxn ang="0">
                <a:pos x="145" y="492"/>
              </a:cxn>
              <a:cxn ang="0">
                <a:pos x="275" y="487"/>
              </a:cxn>
              <a:cxn ang="0">
                <a:pos x="355" y="430"/>
              </a:cxn>
              <a:cxn ang="0">
                <a:pos x="367" y="347"/>
              </a:cxn>
              <a:cxn ang="0">
                <a:pos x="330" y="277"/>
              </a:cxn>
              <a:cxn ang="0">
                <a:pos x="255" y="245"/>
              </a:cxn>
              <a:cxn ang="0">
                <a:pos x="177" y="272"/>
              </a:cxn>
              <a:cxn ang="0">
                <a:pos x="152" y="327"/>
              </a:cxn>
              <a:cxn ang="0">
                <a:pos x="185" y="375"/>
              </a:cxn>
              <a:cxn ang="0">
                <a:pos x="237" y="365"/>
              </a:cxn>
              <a:cxn ang="0">
                <a:pos x="242" y="317"/>
              </a:cxn>
              <a:cxn ang="0">
                <a:pos x="217" y="315"/>
              </a:cxn>
              <a:cxn ang="0">
                <a:pos x="215" y="332"/>
              </a:cxn>
              <a:cxn ang="0">
                <a:pos x="215" y="352"/>
              </a:cxn>
            </a:cxnLst>
            <a:rect l="0" t="0" r="r" b="b"/>
            <a:pathLst>
              <a:path w="1008" h="500">
                <a:moveTo>
                  <a:pt x="210" y="355"/>
                </a:moveTo>
                <a:lnTo>
                  <a:pt x="200" y="352"/>
                </a:lnTo>
                <a:lnTo>
                  <a:pt x="185" y="347"/>
                </a:lnTo>
                <a:lnTo>
                  <a:pt x="182" y="337"/>
                </a:lnTo>
                <a:lnTo>
                  <a:pt x="172" y="310"/>
                </a:lnTo>
                <a:lnTo>
                  <a:pt x="185" y="280"/>
                </a:lnTo>
                <a:lnTo>
                  <a:pt x="217" y="262"/>
                </a:lnTo>
                <a:lnTo>
                  <a:pt x="255" y="257"/>
                </a:lnTo>
                <a:lnTo>
                  <a:pt x="290" y="272"/>
                </a:lnTo>
                <a:lnTo>
                  <a:pt x="317" y="295"/>
                </a:lnTo>
                <a:lnTo>
                  <a:pt x="335" y="332"/>
                </a:lnTo>
                <a:lnTo>
                  <a:pt x="340" y="375"/>
                </a:lnTo>
                <a:lnTo>
                  <a:pt x="335" y="417"/>
                </a:lnTo>
                <a:lnTo>
                  <a:pt x="312" y="450"/>
                </a:lnTo>
                <a:lnTo>
                  <a:pt x="275" y="477"/>
                </a:lnTo>
                <a:lnTo>
                  <a:pt x="217" y="487"/>
                </a:lnTo>
                <a:lnTo>
                  <a:pt x="162" y="482"/>
                </a:lnTo>
                <a:lnTo>
                  <a:pt x="115" y="460"/>
                </a:lnTo>
                <a:lnTo>
                  <a:pt x="70" y="422"/>
                </a:lnTo>
                <a:lnTo>
                  <a:pt x="40" y="375"/>
                </a:lnTo>
                <a:lnTo>
                  <a:pt x="27" y="310"/>
                </a:lnTo>
                <a:lnTo>
                  <a:pt x="32" y="262"/>
                </a:lnTo>
                <a:lnTo>
                  <a:pt x="45" y="220"/>
                </a:lnTo>
                <a:lnTo>
                  <a:pt x="70" y="177"/>
                </a:lnTo>
                <a:lnTo>
                  <a:pt x="107" y="140"/>
                </a:lnTo>
                <a:lnTo>
                  <a:pt x="152" y="117"/>
                </a:lnTo>
                <a:lnTo>
                  <a:pt x="215" y="100"/>
                </a:lnTo>
                <a:lnTo>
                  <a:pt x="285" y="100"/>
                </a:lnTo>
                <a:lnTo>
                  <a:pt x="362" y="117"/>
                </a:lnTo>
                <a:lnTo>
                  <a:pt x="457" y="160"/>
                </a:lnTo>
                <a:lnTo>
                  <a:pt x="532" y="187"/>
                </a:lnTo>
                <a:lnTo>
                  <a:pt x="607" y="207"/>
                </a:lnTo>
                <a:lnTo>
                  <a:pt x="682" y="215"/>
                </a:lnTo>
                <a:lnTo>
                  <a:pt x="760" y="207"/>
                </a:lnTo>
                <a:lnTo>
                  <a:pt x="830" y="177"/>
                </a:lnTo>
                <a:lnTo>
                  <a:pt x="900" y="137"/>
                </a:lnTo>
                <a:lnTo>
                  <a:pt x="957" y="80"/>
                </a:lnTo>
                <a:lnTo>
                  <a:pt x="1008" y="0"/>
                </a:lnTo>
                <a:lnTo>
                  <a:pt x="957" y="75"/>
                </a:lnTo>
                <a:lnTo>
                  <a:pt x="895" y="127"/>
                </a:lnTo>
                <a:lnTo>
                  <a:pt x="830" y="165"/>
                </a:lnTo>
                <a:lnTo>
                  <a:pt x="760" y="187"/>
                </a:lnTo>
                <a:lnTo>
                  <a:pt x="685" y="192"/>
                </a:lnTo>
                <a:lnTo>
                  <a:pt x="607" y="182"/>
                </a:lnTo>
                <a:lnTo>
                  <a:pt x="527" y="160"/>
                </a:lnTo>
                <a:lnTo>
                  <a:pt x="442" y="122"/>
                </a:lnTo>
                <a:lnTo>
                  <a:pt x="345" y="80"/>
                </a:lnTo>
                <a:lnTo>
                  <a:pt x="255" y="65"/>
                </a:lnTo>
                <a:lnTo>
                  <a:pt x="177" y="75"/>
                </a:lnTo>
                <a:lnTo>
                  <a:pt x="110" y="100"/>
                </a:lnTo>
                <a:lnTo>
                  <a:pt x="60" y="140"/>
                </a:lnTo>
                <a:lnTo>
                  <a:pt x="22" y="192"/>
                </a:lnTo>
                <a:lnTo>
                  <a:pt x="5" y="247"/>
                </a:lnTo>
                <a:lnTo>
                  <a:pt x="0" y="315"/>
                </a:lnTo>
                <a:lnTo>
                  <a:pt x="12" y="370"/>
                </a:lnTo>
                <a:lnTo>
                  <a:pt x="45" y="422"/>
                </a:lnTo>
                <a:lnTo>
                  <a:pt x="92" y="462"/>
                </a:lnTo>
                <a:lnTo>
                  <a:pt x="145" y="492"/>
                </a:lnTo>
                <a:lnTo>
                  <a:pt x="210" y="500"/>
                </a:lnTo>
                <a:lnTo>
                  <a:pt x="275" y="487"/>
                </a:lnTo>
                <a:lnTo>
                  <a:pt x="322" y="462"/>
                </a:lnTo>
                <a:lnTo>
                  <a:pt x="355" y="430"/>
                </a:lnTo>
                <a:lnTo>
                  <a:pt x="367" y="387"/>
                </a:lnTo>
                <a:lnTo>
                  <a:pt x="367" y="347"/>
                </a:lnTo>
                <a:lnTo>
                  <a:pt x="355" y="310"/>
                </a:lnTo>
                <a:lnTo>
                  <a:pt x="330" y="277"/>
                </a:lnTo>
                <a:lnTo>
                  <a:pt x="297" y="252"/>
                </a:lnTo>
                <a:lnTo>
                  <a:pt x="255" y="245"/>
                </a:lnTo>
                <a:lnTo>
                  <a:pt x="210" y="252"/>
                </a:lnTo>
                <a:lnTo>
                  <a:pt x="177" y="272"/>
                </a:lnTo>
                <a:lnTo>
                  <a:pt x="157" y="300"/>
                </a:lnTo>
                <a:lnTo>
                  <a:pt x="152" y="327"/>
                </a:lnTo>
                <a:lnTo>
                  <a:pt x="162" y="355"/>
                </a:lnTo>
                <a:lnTo>
                  <a:pt x="185" y="375"/>
                </a:lnTo>
                <a:lnTo>
                  <a:pt x="215" y="375"/>
                </a:lnTo>
                <a:lnTo>
                  <a:pt x="237" y="365"/>
                </a:lnTo>
                <a:lnTo>
                  <a:pt x="247" y="342"/>
                </a:lnTo>
                <a:lnTo>
                  <a:pt x="242" y="317"/>
                </a:lnTo>
                <a:lnTo>
                  <a:pt x="232" y="315"/>
                </a:lnTo>
                <a:lnTo>
                  <a:pt x="217" y="315"/>
                </a:lnTo>
                <a:lnTo>
                  <a:pt x="215" y="322"/>
                </a:lnTo>
                <a:lnTo>
                  <a:pt x="215" y="332"/>
                </a:lnTo>
                <a:lnTo>
                  <a:pt x="217" y="342"/>
                </a:lnTo>
                <a:lnTo>
                  <a:pt x="215" y="352"/>
                </a:lnTo>
                <a:lnTo>
                  <a:pt x="210" y="355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312" name="Group 120"/>
          <xdr:cNvGrpSpPr>
            <a:grpSpLocks/>
          </xdr:cNvGrpSpPr>
        </xdr:nvGrpSpPr>
        <xdr:grpSpPr bwMode="auto">
          <a:xfrm>
            <a:off x="4047" y="902"/>
            <a:ext cx="75" cy="128"/>
            <a:chOff x="4047" y="902"/>
            <a:chExt cx="75" cy="128"/>
          </a:xfrm>
        </xdr:grpSpPr>
        <xdr:sp macro="" textlink="">
          <xdr:nvSpPr>
            <xdr:cNvPr id="8314" name="Freeform 122"/>
            <xdr:cNvSpPr>
              <a:spLocks/>
            </xdr:cNvSpPr>
          </xdr:nvSpPr>
          <xdr:spPr bwMode="auto">
            <a:xfrm>
              <a:off x="4047" y="902"/>
              <a:ext cx="75" cy="128"/>
            </a:xfrm>
            <a:custGeom>
              <a:avLst/>
              <a:gdLst/>
              <a:ahLst/>
              <a:cxnLst>
                <a:cxn ang="0">
                  <a:pos x="69" y="20"/>
                </a:cxn>
                <a:cxn ang="0">
                  <a:pos x="74" y="15"/>
                </a:cxn>
                <a:cxn ang="0">
                  <a:pos x="74" y="10"/>
                </a:cxn>
                <a:cxn ang="0">
                  <a:pos x="69" y="5"/>
                </a:cxn>
                <a:cxn ang="0">
                  <a:pos x="69" y="0"/>
                </a:cxn>
                <a:cxn ang="0">
                  <a:pos x="64" y="10"/>
                </a:cxn>
                <a:cxn ang="0">
                  <a:pos x="59" y="15"/>
                </a:cxn>
                <a:cxn ang="0">
                  <a:pos x="52" y="20"/>
                </a:cxn>
                <a:cxn ang="0">
                  <a:pos x="52" y="25"/>
                </a:cxn>
                <a:cxn ang="0">
                  <a:pos x="59" y="25"/>
                </a:cxn>
                <a:cxn ang="0">
                  <a:pos x="69" y="20"/>
                </a:cxn>
              </a:cxnLst>
              <a:rect l="0" t="0" r="r" b="b"/>
              <a:pathLst>
                <a:path w="75" h="128">
                  <a:moveTo>
                    <a:pt x="69" y="20"/>
                  </a:moveTo>
                  <a:lnTo>
                    <a:pt x="74" y="15"/>
                  </a:lnTo>
                  <a:lnTo>
                    <a:pt x="74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64" y="10"/>
                  </a:lnTo>
                  <a:lnTo>
                    <a:pt x="59" y="15"/>
                  </a:lnTo>
                  <a:lnTo>
                    <a:pt x="52" y="20"/>
                  </a:lnTo>
                  <a:lnTo>
                    <a:pt x="52" y="25"/>
                  </a:lnTo>
                  <a:lnTo>
                    <a:pt x="59" y="25"/>
                  </a:lnTo>
                  <a:lnTo>
                    <a:pt x="69" y="2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13" name="Freeform 121"/>
            <xdr:cNvSpPr>
              <a:spLocks/>
            </xdr:cNvSpPr>
          </xdr:nvSpPr>
          <xdr:spPr bwMode="auto">
            <a:xfrm>
              <a:off x="4047" y="902"/>
              <a:ext cx="75" cy="128"/>
            </a:xfrm>
            <a:custGeom>
              <a:avLst/>
              <a:gdLst/>
              <a:ahLst/>
              <a:cxnLst>
                <a:cxn ang="0">
                  <a:pos x="167" y="0"/>
                </a:cxn>
                <a:cxn ang="0">
                  <a:pos x="154" y="-45"/>
                </a:cxn>
                <a:cxn ang="0">
                  <a:pos x="117" y="-102"/>
                </a:cxn>
                <a:cxn ang="0">
                  <a:pos x="144" y="-45"/>
                </a:cxn>
                <a:cxn ang="0">
                  <a:pos x="159" y="-5"/>
                </a:cxn>
                <a:cxn ang="0">
                  <a:pos x="154" y="30"/>
                </a:cxn>
                <a:cxn ang="0">
                  <a:pos x="139" y="57"/>
                </a:cxn>
                <a:cxn ang="0">
                  <a:pos x="122" y="70"/>
                </a:cxn>
                <a:cxn ang="0">
                  <a:pos x="97" y="80"/>
                </a:cxn>
                <a:cxn ang="0">
                  <a:pos x="74" y="85"/>
                </a:cxn>
                <a:cxn ang="0">
                  <a:pos x="52" y="80"/>
                </a:cxn>
                <a:cxn ang="0">
                  <a:pos x="37" y="70"/>
                </a:cxn>
                <a:cxn ang="0">
                  <a:pos x="22" y="57"/>
                </a:cxn>
                <a:cxn ang="0">
                  <a:pos x="19" y="37"/>
                </a:cxn>
                <a:cxn ang="0">
                  <a:pos x="14" y="25"/>
                </a:cxn>
                <a:cxn ang="0">
                  <a:pos x="19" y="10"/>
                </a:cxn>
                <a:cxn ang="0">
                  <a:pos x="27" y="0"/>
                </a:cxn>
                <a:cxn ang="0">
                  <a:pos x="37" y="-5"/>
                </a:cxn>
                <a:cxn ang="0">
                  <a:pos x="52" y="-7"/>
                </a:cxn>
                <a:cxn ang="0">
                  <a:pos x="59" y="-5"/>
                </a:cxn>
                <a:cxn ang="0">
                  <a:pos x="69" y="0"/>
                </a:cxn>
                <a:cxn ang="0">
                  <a:pos x="64" y="-5"/>
                </a:cxn>
                <a:cxn ang="0">
                  <a:pos x="59" y="-7"/>
                </a:cxn>
                <a:cxn ang="0">
                  <a:pos x="52" y="-12"/>
                </a:cxn>
                <a:cxn ang="0">
                  <a:pos x="32" y="-12"/>
                </a:cxn>
                <a:cxn ang="0">
                  <a:pos x="22" y="-7"/>
                </a:cxn>
                <a:cxn ang="0">
                  <a:pos x="14" y="-5"/>
                </a:cxn>
                <a:cxn ang="0">
                  <a:pos x="5" y="5"/>
                </a:cxn>
                <a:cxn ang="0">
                  <a:pos x="0" y="20"/>
                </a:cxn>
                <a:cxn ang="0">
                  <a:pos x="0" y="52"/>
                </a:cxn>
                <a:cxn ang="0">
                  <a:pos x="14" y="80"/>
                </a:cxn>
                <a:cxn ang="0">
                  <a:pos x="37" y="100"/>
                </a:cxn>
                <a:cxn ang="0">
                  <a:pos x="69" y="102"/>
                </a:cxn>
                <a:cxn ang="0">
                  <a:pos x="97" y="102"/>
                </a:cxn>
                <a:cxn ang="0">
                  <a:pos x="127" y="90"/>
                </a:cxn>
                <a:cxn ang="0">
                  <a:pos x="149" y="70"/>
                </a:cxn>
                <a:cxn ang="0">
                  <a:pos x="167" y="37"/>
                </a:cxn>
                <a:cxn ang="0">
                  <a:pos x="167" y="0"/>
                </a:cxn>
              </a:cxnLst>
              <a:rect l="0" t="0" r="r" b="b"/>
              <a:pathLst>
                <a:path w="75" h="128">
                  <a:moveTo>
                    <a:pt x="167" y="0"/>
                  </a:moveTo>
                  <a:lnTo>
                    <a:pt x="154" y="-45"/>
                  </a:lnTo>
                  <a:lnTo>
                    <a:pt x="117" y="-102"/>
                  </a:lnTo>
                  <a:lnTo>
                    <a:pt x="144" y="-45"/>
                  </a:lnTo>
                  <a:lnTo>
                    <a:pt x="159" y="-5"/>
                  </a:lnTo>
                  <a:lnTo>
                    <a:pt x="154" y="30"/>
                  </a:lnTo>
                  <a:lnTo>
                    <a:pt x="139" y="57"/>
                  </a:lnTo>
                  <a:lnTo>
                    <a:pt x="122" y="70"/>
                  </a:lnTo>
                  <a:lnTo>
                    <a:pt x="97" y="80"/>
                  </a:lnTo>
                  <a:lnTo>
                    <a:pt x="74" y="85"/>
                  </a:lnTo>
                  <a:lnTo>
                    <a:pt x="52" y="80"/>
                  </a:lnTo>
                  <a:lnTo>
                    <a:pt x="37" y="70"/>
                  </a:lnTo>
                  <a:lnTo>
                    <a:pt x="22" y="57"/>
                  </a:lnTo>
                  <a:lnTo>
                    <a:pt x="19" y="37"/>
                  </a:lnTo>
                  <a:lnTo>
                    <a:pt x="14" y="25"/>
                  </a:lnTo>
                  <a:lnTo>
                    <a:pt x="19" y="10"/>
                  </a:lnTo>
                  <a:lnTo>
                    <a:pt x="27" y="0"/>
                  </a:lnTo>
                  <a:lnTo>
                    <a:pt x="37" y="-5"/>
                  </a:lnTo>
                  <a:lnTo>
                    <a:pt x="52" y="-7"/>
                  </a:lnTo>
                  <a:lnTo>
                    <a:pt x="59" y="-5"/>
                  </a:lnTo>
                  <a:lnTo>
                    <a:pt x="69" y="0"/>
                  </a:lnTo>
                  <a:lnTo>
                    <a:pt x="64" y="-5"/>
                  </a:lnTo>
                  <a:lnTo>
                    <a:pt x="59" y="-7"/>
                  </a:lnTo>
                  <a:lnTo>
                    <a:pt x="52" y="-12"/>
                  </a:lnTo>
                  <a:lnTo>
                    <a:pt x="32" y="-12"/>
                  </a:lnTo>
                  <a:lnTo>
                    <a:pt x="22" y="-7"/>
                  </a:lnTo>
                  <a:lnTo>
                    <a:pt x="14" y="-5"/>
                  </a:lnTo>
                  <a:lnTo>
                    <a:pt x="5" y="5"/>
                  </a:lnTo>
                  <a:lnTo>
                    <a:pt x="0" y="20"/>
                  </a:lnTo>
                  <a:lnTo>
                    <a:pt x="0" y="52"/>
                  </a:lnTo>
                  <a:lnTo>
                    <a:pt x="14" y="80"/>
                  </a:lnTo>
                  <a:lnTo>
                    <a:pt x="37" y="100"/>
                  </a:lnTo>
                  <a:lnTo>
                    <a:pt x="69" y="102"/>
                  </a:lnTo>
                  <a:lnTo>
                    <a:pt x="97" y="102"/>
                  </a:lnTo>
                  <a:lnTo>
                    <a:pt x="127" y="90"/>
                  </a:lnTo>
                  <a:lnTo>
                    <a:pt x="149" y="70"/>
                  </a:lnTo>
                  <a:lnTo>
                    <a:pt x="167" y="37"/>
                  </a:lnTo>
                  <a:lnTo>
                    <a:pt x="167" y="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300" name="Group 108"/>
          <xdr:cNvGrpSpPr>
            <a:grpSpLocks/>
          </xdr:cNvGrpSpPr>
        </xdr:nvGrpSpPr>
        <xdr:grpSpPr bwMode="auto">
          <a:xfrm>
            <a:off x="1809" y="272"/>
            <a:ext cx="2378" cy="635"/>
            <a:chOff x="1809" y="272"/>
            <a:chExt cx="2378" cy="635"/>
          </a:xfrm>
        </xdr:grpSpPr>
        <xdr:sp macro="" textlink="">
          <xdr:nvSpPr>
            <xdr:cNvPr id="8311" name="Freeform 119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102" y="527"/>
                </a:cxn>
                <a:cxn ang="0">
                  <a:pos x="98" y="557"/>
                </a:cxn>
                <a:cxn ang="0">
                  <a:pos x="107" y="532"/>
                </a:cxn>
                <a:cxn ang="0">
                  <a:pos x="107" y="522"/>
                </a:cxn>
                <a:cxn ang="0">
                  <a:pos x="102" y="527"/>
                </a:cxn>
              </a:cxnLst>
              <a:rect l="0" t="0" r="r" b="b"/>
              <a:pathLst>
                <a:path w="2378" h="635">
                  <a:moveTo>
                    <a:pt x="102" y="527"/>
                  </a:moveTo>
                  <a:lnTo>
                    <a:pt x="98" y="557"/>
                  </a:lnTo>
                  <a:lnTo>
                    <a:pt x="107" y="532"/>
                  </a:lnTo>
                  <a:lnTo>
                    <a:pt x="107" y="522"/>
                  </a:lnTo>
                  <a:lnTo>
                    <a:pt x="102" y="52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10" name="Freeform 118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1560" y="232"/>
                </a:cxn>
                <a:cxn ang="0">
                  <a:pos x="1472" y="172"/>
                </a:cxn>
                <a:cxn ang="0">
                  <a:pos x="1372" y="117"/>
                </a:cxn>
                <a:cxn ang="0">
                  <a:pos x="1270" y="70"/>
                </a:cxn>
                <a:cxn ang="0">
                  <a:pos x="1162" y="32"/>
                </a:cxn>
                <a:cxn ang="0">
                  <a:pos x="1047" y="10"/>
                </a:cxn>
                <a:cxn ang="0">
                  <a:pos x="920" y="0"/>
                </a:cxn>
                <a:cxn ang="0">
                  <a:pos x="785" y="10"/>
                </a:cxn>
                <a:cxn ang="0">
                  <a:pos x="920" y="5"/>
                </a:cxn>
                <a:cxn ang="0">
                  <a:pos x="1042" y="22"/>
                </a:cxn>
                <a:cxn ang="0">
                  <a:pos x="1157" y="55"/>
                </a:cxn>
                <a:cxn ang="0">
                  <a:pos x="1270" y="97"/>
                </a:cxn>
                <a:cxn ang="0">
                  <a:pos x="1372" y="155"/>
                </a:cxn>
                <a:cxn ang="0">
                  <a:pos x="1472" y="220"/>
                </a:cxn>
                <a:cxn ang="0">
                  <a:pos x="1570" y="280"/>
                </a:cxn>
                <a:cxn ang="0">
                  <a:pos x="1662" y="345"/>
                </a:cxn>
                <a:cxn ang="0">
                  <a:pos x="1757" y="407"/>
                </a:cxn>
                <a:cxn ang="0">
                  <a:pos x="1845" y="457"/>
                </a:cxn>
                <a:cxn ang="0">
                  <a:pos x="1942" y="495"/>
                </a:cxn>
                <a:cxn ang="0">
                  <a:pos x="2037" y="517"/>
                </a:cxn>
                <a:cxn ang="0">
                  <a:pos x="2140" y="522"/>
                </a:cxn>
                <a:cxn ang="0">
                  <a:pos x="2247" y="510"/>
                </a:cxn>
                <a:cxn ang="0">
                  <a:pos x="2285" y="495"/>
                </a:cxn>
                <a:cxn ang="0">
                  <a:pos x="2313" y="490"/>
                </a:cxn>
                <a:cxn ang="0">
                  <a:pos x="2335" y="482"/>
                </a:cxn>
                <a:cxn ang="0">
                  <a:pos x="2355" y="477"/>
                </a:cxn>
                <a:cxn ang="0">
                  <a:pos x="2368" y="472"/>
                </a:cxn>
                <a:cxn ang="0">
                  <a:pos x="2378" y="467"/>
                </a:cxn>
                <a:cxn ang="0">
                  <a:pos x="2360" y="467"/>
                </a:cxn>
                <a:cxn ang="0">
                  <a:pos x="2340" y="472"/>
                </a:cxn>
                <a:cxn ang="0">
                  <a:pos x="2313" y="482"/>
                </a:cxn>
                <a:cxn ang="0">
                  <a:pos x="2280" y="485"/>
                </a:cxn>
                <a:cxn ang="0">
                  <a:pos x="2242" y="500"/>
                </a:cxn>
                <a:cxn ang="0">
                  <a:pos x="2150" y="515"/>
                </a:cxn>
                <a:cxn ang="0">
                  <a:pos x="2065" y="510"/>
                </a:cxn>
                <a:cxn ang="0">
                  <a:pos x="1980" y="485"/>
                </a:cxn>
                <a:cxn ang="0">
                  <a:pos x="1897" y="452"/>
                </a:cxn>
                <a:cxn ang="0">
                  <a:pos x="1812" y="407"/>
                </a:cxn>
                <a:cxn ang="0">
                  <a:pos x="1732" y="350"/>
                </a:cxn>
                <a:cxn ang="0">
                  <a:pos x="1650" y="295"/>
                </a:cxn>
                <a:cxn ang="0">
                  <a:pos x="1560" y="232"/>
                </a:cxn>
              </a:cxnLst>
              <a:rect l="0" t="0" r="r" b="b"/>
              <a:pathLst>
                <a:path w="2378" h="635">
                  <a:moveTo>
                    <a:pt x="1560" y="232"/>
                  </a:moveTo>
                  <a:lnTo>
                    <a:pt x="1472" y="172"/>
                  </a:lnTo>
                  <a:lnTo>
                    <a:pt x="1372" y="117"/>
                  </a:lnTo>
                  <a:lnTo>
                    <a:pt x="1270" y="70"/>
                  </a:lnTo>
                  <a:lnTo>
                    <a:pt x="1162" y="32"/>
                  </a:lnTo>
                  <a:lnTo>
                    <a:pt x="1047" y="10"/>
                  </a:lnTo>
                  <a:lnTo>
                    <a:pt x="920" y="0"/>
                  </a:lnTo>
                  <a:lnTo>
                    <a:pt x="785" y="10"/>
                  </a:lnTo>
                  <a:lnTo>
                    <a:pt x="920" y="5"/>
                  </a:lnTo>
                  <a:lnTo>
                    <a:pt x="1042" y="22"/>
                  </a:lnTo>
                  <a:lnTo>
                    <a:pt x="1157" y="55"/>
                  </a:lnTo>
                  <a:lnTo>
                    <a:pt x="1270" y="97"/>
                  </a:lnTo>
                  <a:lnTo>
                    <a:pt x="1372" y="155"/>
                  </a:lnTo>
                  <a:lnTo>
                    <a:pt x="1472" y="220"/>
                  </a:lnTo>
                  <a:lnTo>
                    <a:pt x="1570" y="280"/>
                  </a:lnTo>
                  <a:lnTo>
                    <a:pt x="1662" y="345"/>
                  </a:lnTo>
                  <a:lnTo>
                    <a:pt x="1757" y="407"/>
                  </a:lnTo>
                  <a:lnTo>
                    <a:pt x="1845" y="457"/>
                  </a:lnTo>
                  <a:lnTo>
                    <a:pt x="1942" y="495"/>
                  </a:lnTo>
                  <a:lnTo>
                    <a:pt x="2037" y="517"/>
                  </a:lnTo>
                  <a:lnTo>
                    <a:pt x="2140" y="522"/>
                  </a:lnTo>
                  <a:lnTo>
                    <a:pt x="2247" y="510"/>
                  </a:lnTo>
                  <a:lnTo>
                    <a:pt x="2285" y="495"/>
                  </a:lnTo>
                  <a:lnTo>
                    <a:pt x="2313" y="490"/>
                  </a:lnTo>
                  <a:lnTo>
                    <a:pt x="2335" y="482"/>
                  </a:lnTo>
                  <a:lnTo>
                    <a:pt x="2355" y="477"/>
                  </a:lnTo>
                  <a:lnTo>
                    <a:pt x="2368" y="472"/>
                  </a:lnTo>
                  <a:lnTo>
                    <a:pt x="2378" y="467"/>
                  </a:lnTo>
                  <a:lnTo>
                    <a:pt x="2360" y="467"/>
                  </a:lnTo>
                  <a:lnTo>
                    <a:pt x="2340" y="472"/>
                  </a:lnTo>
                  <a:lnTo>
                    <a:pt x="2313" y="482"/>
                  </a:lnTo>
                  <a:lnTo>
                    <a:pt x="2280" y="485"/>
                  </a:lnTo>
                  <a:lnTo>
                    <a:pt x="2242" y="500"/>
                  </a:lnTo>
                  <a:lnTo>
                    <a:pt x="2150" y="515"/>
                  </a:lnTo>
                  <a:lnTo>
                    <a:pt x="2065" y="510"/>
                  </a:lnTo>
                  <a:lnTo>
                    <a:pt x="1980" y="485"/>
                  </a:lnTo>
                  <a:lnTo>
                    <a:pt x="1897" y="452"/>
                  </a:lnTo>
                  <a:lnTo>
                    <a:pt x="1812" y="407"/>
                  </a:lnTo>
                  <a:lnTo>
                    <a:pt x="1732" y="350"/>
                  </a:lnTo>
                  <a:lnTo>
                    <a:pt x="1650" y="295"/>
                  </a:lnTo>
                  <a:lnTo>
                    <a:pt x="1560" y="23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9" name="Freeform 117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587" y="52"/>
                </a:cxn>
                <a:cxn ang="0">
                  <a:pos x="505" y="87"/>
                </a:cxn>
                <a:cxn ang="0">
                  <a:pos x="502" y="89"/>
                </a:cxn>
                <a:cxn ang="0">
                  <a:pos x="587" y="52"/>
                </a:cxn>
              </a:cxnLst>
              <a:rect l="0" t="0" r="r" b="b"/>
              <a:pathLst>
                <a:path w="2378" h="635">
                  <a:moveTo>
                    <a:pt x="587" y="52"/>
                  </a:moveTo>
                  <a:lnTo>
                    <a:pt x="505" y="87"/>
                  </a:lnTo>
                  <a:lnTo>
                    <a:pt x="502" y="89"/>
                  </a:lnTo>
                  <a:lnTo>
                    <a:pt x="587" y="5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8" name="Freeform 116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98" y="557"/>
                </a:cxn>
                <a:cxn ang="0">
                  <a:pos x="97" y="560"/>
                </a:cxn>
                <a:cxn ang="0">
                  <a:pos x="98" y="561"/>
                </a:cxn>
                <a:cxn ang="0">
                  <a:pos x="98" y="557"/>
                </a:cxn>
              </a:cxnLst>
              <a:rect l="0" t="0" r="r" b="b"/>
              <a:pathLst>
                <a:path w="2378" h="635">
                  <a:moveTo>
                    <a:pt x="98" y="557"/>
                  </a:moveTo>
                  <a:lnTo>
                    <a:pt x="97" y="560"/>
                  </a:lnTo>
                  <a:lnTo>
                    <a:pt x="98" y="561"/>
                  </a:lnTo>
                  <a:lnTo>
                    <a:pt x="98" y="55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7" name="Freeform 115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807" y="602"/>
                </a:cxn>
                <a:cxn ang="0">
                  <a:pos x="835" y="635"/>
                </a:cxn>
                <a:cxn ang="0">
                  <a:pos x="812" y="597"/>
                </a:cxn>
                <a:cxn ang="0">
                  <a:pos x="807" y="590"/>
                </a:cxn>
                <a:cxn ang="0">
                  <a:pos x="827" y="570"/>
                </a:cxn>
                <a:cxn ang="0">
                  <a:pos x="845" y="532"/>
                </a:cxn>
                <a:cxn ang="0">
                  <a:pos x="850" y="495"/>
                </a:cxn>
                <a:cxn ang="0">
                  <a:pos x="840" y="477"/>
                </a:cxn>
                <a:cxn ang="0">
                  <a:pos x="827" y="482"/>
                </a:cxn>
                <a:cxn ang="0">
                  <a:pos x="807" y="500"/>
                </a:cxn>
                <a:cxn ang="0">
                  <a:pos x="802" y="560"/>
                </a:cxn>
                <a:cxn ang="0">
                  <a:pos x="807" y="527"/>
                </a:cxn>
                <a:cxn ang="0">
                  <a:pos x="817" y="505"/>
                </a:cxn>
                <a:cxn ang="0">
                  <a:pos x="827" y="490"/>
                </a:cxn>
                <a:cxn ang="0">
                  <a:pos x="835" y="500"/>
                </a:cxn>
                <a:cxn ang="0">
                  <a:pos x="832" y="542"/>
                </a:cxn>
                <a:cxn ang="0">
                  <a:pos x="807" y="580"/>
                </a:cxn>
                <a:cxn ang="0">
                  <a:pos x="807" y="602"/>
                </a:cxn>
              </a:cxnLst>
              <a:rect l="0" t="0" r="r" b="b"/>
              <a:pathLst>
                <a:path w="2378" h="635">
                  <a:moveTo>
                    <a:pt x="807" y="602"/>
                  </a:moveTo>
                  <a:lnTo>
                    <a:pt x="835" y="635"/>
                  </a:lnTo>
                  <a:lnTo>
                    <a:pt x="812" y="597"/>
                  </a:lnTo>
                  <a:lnTo>
                    <a:pt x="807" y="590"/>
                  </a:lnTo>
                  <a:lnTo>
                    <a:pt x="827" y="570"/>
                  </a:lnTo>
                  <a:lnTo>
                    <a:pt x="845" y="532"/>
                  </a:lnTo>
                  <a:lnTo>
                    <a:pt x="850" y="495"/>
                  </a:lnTo>
                  <a:lnTo>
                    <a:pt x="840" y="477"/>
                  </a:lnTo>
                  <a:lnTo>
                    <a:pt x="827" y="482"/>
                  </a:lnTo>
                  <a:lnTo>
                    <a:pt x="807" y="500"/>
                  </a:lnTo>
                  <a:lnTo>
                    <a:pt x="802" y="560"/>
                  </a:lnTo>
                  <a:lnTo>
                    <a:pt x="807" y="527"/>
                  </a:lnTo>
                  <a:lnTo>
                    <a:pt x="817" y="505"/>
                  </a:lnTo>
                  <a:lnTo>
                    <a:pt x="827" y="490"/>
                  </a:lnTo>
                  <a:lnTo>
                    <a:pt x="835" y="500"/>
                  </a:lnTo>
                  <a:lnTo>
                    <a:pt x="832" y="542"/>
                  </a:lnTo>
                  <a:lnTo>
                    <a:pt x="807" y="580"/>
                  </a:lnTo>
                  <a:lnTo>
                    <a:pt x="807" y="60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6" name="Freeform 114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807" y="500"/>
                </a:cxn>
                <a:cxn ang="0">
                  <a:pos x="797" y="565"/>
                </a:cxn>
                <a:cxn ang="0">
                  <a:pos x="757" y="617"/>
                </a:cxn>
                <a:cxn ang="0">
                  <a:pos x="625" y="622"/>
                </a:cxn>
                <a:cxn ang="0">
                  <a:pos x="512" y="552"/>
                </a:cxn>
                <a:cxn ang="0">
                  <a:pos x="457" y="425"/>
                </a:cxn>
                <a:cxn ang="0">
                  <a:pos x="467" y="300"/>
                </a:cxn>
                <a:cxn ang="0">
                  <a:pos x="527" y="182"/>
                </a:cxn>
                <a:cxn ang="0">
                  <a:pos x="645" y="85"/>
                </a:cxn>
                <a:cxn ang="0">
                  <a:pos x="817" y="37"/>
                </a:cxn>
                <a:cxn ang="0">
                  <a:pos x="990" y="65"/>
                </a:cxn>
                <a:cxn ang="0">
                  <a:pos x="1152" y="150"/>
                </a:cxn>
                <a:cxn ang="0">
                  <a:pos x="1322" y="262"/>
                </a:cxn>
                <a:cxn ang="0">
                  <a:pos x="1500" y="377"/>
                </a:cxn>
                <a:cxn ang="0">
                  <a:pos x="1695" y="482"/>
                </a:cxn>
                <a:cxn ang="0">
                  <a:pos x="1920" y="547"/>
                </a:cxn>
                <a:cxn ang="0">
                  <a:pos x="2182" y="542"/>
                </a:cxn>
                <a:cxn ang="0">
                  <a:pos x="1925" y="532"/>
                </a:cxn>
                <a:cxn ang="0">
                  <a:pos x="1700" y="452"/>
                </a:cxn>
                <a:cxn ang="0">
                  <a:pos x="1495" y="337"/>
                </a:cxn>
                <a:cxn ang="0">
                  <a:pos x="1307" y="205"/>
                </a:cxn>
                <a:cxn ang="0">
                  <a:pos x="1120" y="97"/>
                </a:cxn>
                <a:cxn ang="0">
                  <a:pos x="930" y="32"/>
                </a:cxn>
                <a:cxn ang="0">
                  <a:pos x="725" y="47"/>
                </a:cxn>
                <a:cxn ang="0">
                  <a:pos x="575" y="117"/>
                </a:cxn>
                <a:cxn ang="0">
                  <a:pos x="480" y="230"/>
                </a:cxn>
                <a:cxn ang="0">
                  <a:pos x="442" y="365"/>
                </a:cxn>
                <a:cxn ang="0">
                  <a:pos x="472" y="500"/>
                </a:cxn>
                <a:cxn ang="0">
                  <a:pos x="560" y="602"/>
                </a:cxn>
                <a:cxn ang="0">
                  <a:pos x="695" y="635"/>
                </a:cxn>
                <a:cxn ang="0">
                  <a:pos x="795" y="602"/>
                </a:cxn>
                <a:cxn ang="0">
                  <a:pos x="807" y="602"/>
                </a:cxn>
                <a:cxn ang="0">
                  <a:pos x="802" y="560"/>
                </a:cxn>
              </a:cxnLst>
              <a:rect l="0" t="0" r="r" b="b"/>
              <a:pathLst>
                <a:path w="2378" h="635">
                  <a:moveTo>
                    <a:pt x="802" y="560"/>
                  </a:moveTo>
                  <a:lnTo>
                    <a:pt x="807" y="500"/>
                  </a:lnTo>
                  <a:lnTo>
                    <a:pt x="797" y="527"/>
                  </a:lnTo>
                  <a:lnTo>
                    <a:pt x="797" y="565"/>
                  </a:lnTo>
                  <a:lnTo>
                    <a:pt x="802" y="585"/>
                  </a:lnTo>
                  <a:lnTo>
                    <a:pt x="757" y="617"/>
                  </a:lnTo>
                  <a:lnTo>
                    <a:pt x="690" y="630"/>
                  </a:lnTo>
                  <a:lnTo>
                    <a:pt x="625" y="622"/>
                  </a:lnTo>
                  <a:lnTo>
                    <a:pt x="565" y="592"/>
                  </a:lnTo>
                  <a:lnTo>
                    <a:pt x="512" y="552"/>
                  </a:lnTo>
                  <a:lnTo>
                    <a:pt x="475" y="495"/>
                  </a:lnTo>
                  <a:lnTo>
                    <a:pt x="457" y="425"/>
                  </a:lnTo>
                  <a:lnTo>
                    <a:pt x="452" y="360"/>
                  </a:lnTo>
                  <a:lnTo>
                    <a:pt x="467" y="300"/>
                  </a:lnTo>
                  <a:lnTo>
                    <a:pt x="490" y="237"/>
                  </a:lnTo>
                  <a:lnTo>
                    <a:pt x="527" y="182"/>
                  </a:lnTo>
                  <a:lnTo>
                    <a:pt x="580" y="130"/>
                  </a:lnTo>
                  <a:lnTo>
                    <a:pt x="645" y="85"/>
                  </a:lnTo>
                  <a:lnTo>
                    <a:pt x="725" y="55"/>
                  </a:lnTo>
                  <a:lnTo>
                    <a:pt x="817" y="37"/>
                  </a:lnTo>
                  <a:lnTo>
                    <a:pt x="905" y="47"/>
                  </a:lnTo>
                  <a:lnTo>
                    <a:pt x="990" y="65"/>
                  </a:lnTo>
                  <a:lnTo>
                    <a:pt x="1075" y="102"/>
                  </a:lnTo>
                  <a:lnTo>
                    <a:pt x="1152" y="150"/>
                  </a:lnTo>
                  <a:lnTo>
                    <a:pt x="1237" y="200"/>
                  </a:lnTo>
                  <a:lnTo>
                    <a:pt x="1322" y="262"/>
                  </a:lnTo>
                  <a:lnTo>
                    <a:pt x="1410" y="322"/>
                  </a:lnTo>
                  <a:lnTo>
                    <a:pt x="1500" y="377"/>
                  </a:lnTo>
                  <a:lnTo>
                    <a:pt x="1592" y="435"/>
                  </a:lnTo>
                  <a:lnTo>
                    <a:pt x="1695" y="482"/>
                  </a:lnTo>
                  <a:lnTo>
                    <a:pt x="1802" y="517"/>
                  </a:lnTo>
                  <a:lnTo>
                    <a:pt x="1920" y="547"/>
                  </a:lnTo>
                  <a:lnTo>
                    <a:pt x="2045" y="552"/>
                  </a:lnTo>
                  <a:lnTo>
                    <a:pt x="2182" y="542"/>
                  </a:lnTo>
                  <a:lnTo>
                    <a:pt x="2050" y="547"/>
                  </a:lnTo>
                  <a:lnTo>
                    <a:pt x="1925" y="532"/>
                  </a:lnTo>
                  <a:lnTo>
                    <a:pt x="1807" y="500"/>
                  </a:lnTo>
                  <a:lnTo>
                    <a:pt x="1700" y="452"/>
                  </a:lnTo>
                  <a:lnTo>
                    <a:pt x="1597" y="397"/>
                  </a:lnTo>
                  <a:lnTo>
                    <a:pt x="1495" y="337"/>
                  </a:lnTo>
                  <a:lnTo>
                    <a:pt x="1402" y="270"/>
                  </a:lnTo>
                  <a:lnTo>
                    <a:pt x="1307" y="205"/>
                  </a:lnTo>
                  <a:lnTo>
                    <a:pt x="1215" y="150"/>
                  </a:lnTo>
                  <a:lnTo>
                    <a:pt x="1120" y="97"/>
                  </a:lnTo>
                  <a:lnTo>
                    <a:pt x="1027" y="55"/>
                  </a:lnTo>
                  <a:lnTo>
                    <a:pt x="930" y="32"/>
                  </a:lnTo>
                  <a:lnTo>
                    <a:pt x="827" y="27"/>
                  </a:lnTo>
                  <a:lnTo>
                    <a:pt x="725" y="47"/>
                  </a:lnTo>
                  <a:lnTo>
                    <a:pt x="645" y="75"/>
                  </a:lnTo>
                  <a:lnTo>
                    <a:pt x="575" y="117"/>
                  </a:lnTo>
                  <a:lnTo>
                    <a:pt x="522" y="172"/>
                  </a:lnTo>
                  <a:lnTo>
                    <a:pt x="480" y="230"/>
                  </a:lnTo>
                  <a:lnTo>
                    <a:pt x="452" y="295"/>
                  </a:lnTo>
                  <a:lnTo>
                    <a:pt x="442" y="365"/>
                  </a:lnTo>
                  <a:lnTo>
                    <a:pt x="447" y="435"/>
                  </a:lnTo>
                  <a:lnTo>
                    <a:pt x="472" y="500"/>
                  </a:lnTo>
                  <a:lnTo>
                    <a:pt x="510" y="560"/>
                  </a:lnTo>
                  <a:lnTo>
                    <a:pt x="560" y="602"/>
                  </a:lnTo>
                  <a:lnTo>
                    <a:pt x="625" y="630"/>
                  </a:lnTo>
                  <a:lnTo>
                    <a:pt x="695" y="635"/>
                  </a:lnTo>
                  <a:lnTo>
                    <a:pt x="752" y="625"/>
                  </a:lnTo>
                  <a:lnTo>
                    <a:pt x="795" y="602"/>
                  </a:lnTo>
                  <a:lnTo>
                    <a:pt x="802" y="592"/>
                  </a:lnTo>
                  <a:lnTo>
                    <a:pt x="807" y="602"/>
                  </a:lnTo>
                  <a:lnTo>
                    <a:pt x="807" y="580"/>
                  </a:lnTo>
                  <a:lnTo>
                    <a:pt x="802" y="56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5" name="Freeform 113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382" y="192"/>
                </a:cxn>
                <a:cxn ang="0">
                  <a:pos x="355" y="195"/>
                </a:cxn>
                <a:cxn ang="0">
                  <a:pos x="307" y="242"/>
                </a:cxn>
                <a:cxn ang="0">
                  <a:pos x="265" y="290"/>
                </a:cxn>
                <a:cxn ang="0">
                  <a:pos x="210" y="345"/>
                </a:cxn>
                <a:cxn ang="0">
                  <a:pos x="157" y="377"/>
                </a:cxn>
                <a:cxn ang="0">
                  <a:pos x="155" y="375"/>
                </a:cxn>
                <a:cxn ang="0">
                  <a:pos x="155" y="387"/>
                </a:cxn>
                <a:cxn ang="0">
                  <a:pos x="167" y="387"/>
                </a:cxn>
                <a:cxn ang="0">
                  <a:pos x="227" y="355"/>
                </a:cxn>
                <a:cxn ang="0">
                  <a:pos x="295" y="295"/>
                </a:cxn>
                <a:cxn ang="0">
                  <a:pos x="340" y="237"/>
                </a:cxn>
                <a:cxn ang="0">
                  <a:pos x="382" y="192"/>
                </a:cxn>
              </a:cxnLst>
              <a:rect l="0" t="0" r="r" b="b"/>
              <a:pathLst>
                <a:path w="2378" h="635">
                  <a:moveTo>
                    <a:pt x="382" y="192"/>
                  </a:moveTo>
                  <a:lnTo>
                    <a:pt x="355" y="195"/>
                  </a:lnTo>
                  <a:lnTo>
                    <a:pt x="307" y="242"/>
                  </a:lnTo>
                  <a:lnTo>
                    <a:pt x="265" y="290"/>
                  </a:lnTo>
                  <a:lnTo>
                    <a:pt x="210" y="345"/>
                  </a:lnTo>
                  <a:lnTo>
                    <a:pt x="157" y="377"/>
                  </a:lnTo>
                  <a:lnTo>
                    <a:pt x="155" y="375"/>
                  </a:lnTo>
                  <a:lnTo>
                    <a:pt x="155" y="387"/>
                  </a:lnTo>
                  <a:lnTo>
                    <a:pt x="167" y="387"/>
                  </a:lnTo>
                  <a:lnTo>
                    <a:pt x="227" y="355"/>
                  </a:lnTo>
                  <a:lnTo>
                    <a:pt x="295" y="295"/>
                  </a:lnTo>
                  <a:lnTo>
                    <a:pt x="340" y="237"/>
                  </a:lnTo>
                  <a:lnTo>
                    <a:pt x="382" y="19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4" name="Freeform 112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405" y="192"/>
                </a:cxn>
                <a:cxn ang="0">
                  <a:pos x="440" y="195"/>
                </a:cxn>
                <a:cxn ang="0">
                  <a:pos x="397" y="252"/>
                </a:cxn>
                <a:cxn ang="0">
                  <a:pos x="365" y="312"/>
                </a:cxn>
                <a:cxn ang="0">
                  <a:pos x="340" y="375"/>
                </a:cxn>
                <a:cxn ang="0">
                  <a:pos x="312" y="430"/>
                </a:cxn>
                <a:cxn ang="0">
                  <a:pos x="285" y="537"/>
                </a:cxn>
                <a:cxn ang="0">
                  <a:pos x="297" y="517"/>
                </a:cxn>
                <a:cxn ang="0">
                  <a:pos x="335" y="440"/>
                </a:cxn>
                <a:cxn ang="0">
                  <a:pos x="355" y="377"/>
                </a:cxn>
                <a:cxn ang="0">
                  <a:pos x="377" y="317"/>
                </a:cxn>
                <a:cxn ang="0">
                  <a:pos x="410" y="257"/>
                </a:cxn>
                <a:cxn ang="0">
                  <a:pos x="447" y="195"/>
                </a:cxn>
                <a:cxn ang="0">
                  <a:pos x="495" y="145"/>
                </a:cxn>
                <a:cxn ang="0">
                  <a:pos x="555" y="92"/>
                </a:cxn>
                <a:cxn ang="0">
                  <a:pos x="490" y="140"/>
                </a:cxn>
                <a:cxn ang="0">
                  <a:pos x="440" y="192"/>
                </a:cxn>
                <a:cxn ang="0">
                  <a:pos x="405" y="192"/>
                </a:cxn>
              </a:cxnLst>
              <a:rect l="0" t="0" r="r" b="b"/>
              <a:pathLst>
                <a:path w="2378" h="635">
                  <a:moveTo>
                    <a:pt x="405" y="192"/>
                  </a:moveTo>
                  <a:lnTo>
                    <a:pt x="440" y="195"/>
                  </a:lnTo>
                  <a:lnTo>
                    <a:pt x="397" y="252"/>
                  </a:lnTo>
                  <a:lnTo>
                    <a:pt x="365" y="312"/>
                  </a:lnTo>
                  <a:lnTo>
                    <a:pt x="340" y="375"/>
                  </a:lnTo>
                  <a:lnTo>
                    <a:pt x="312" y="430"/>
                  </a:lnTo>
                  <a:lnTo>
                    <a:pt x="285" y="537"/>
                  </a:lnTo>
                  <a:lnTo>
                    <a:pt x="297" y="517"/>
                  </a:lnTo>
                  <a:lnTo>
                    <a:pt x="335" y="440"/>
                  </a:lnTo>
                  <a:lnTo>
                    <a:pt x="355" y="377"/>
                  </a:lnTo>
                  <a:lnTo>
                    <a:pt x="377" y="317"/>
                  </a:lnTo>
                  <a:lnTo>
                    <a:pt x="410" y="257"/>
                  </a:lnTo>
                  <a:lnTo>
                    <a:pt x="447" y="195"/>
                  </a:lnTo>
                  <a:lnTo>
                    <a:pt x="495" y="145"/>
                  </a:lnTo>
                  <a:lnTo>
                    <a:pt x="555" y="92"/>
                  </a:lnTo>
                  <a:lnTo>
                    <a:pt x="490" y="140"/>
                  </a:lnTo>
                  <a:lnTo>
                    <a:pt x="440" y="192"/>
                  </a:lnTo>
                  <a:lnTo>
                    <a:pt x="405" y="19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3" name="Freeform 111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210" y="602"/>
                </a:cxn>
                <a:cxn ang="0">
                  <a:pos x="252" y="570"/>
                </a:cxn>
                <a:cxn ang="0">
                  <a:pos x="280" y="537"/>
                </a:cxn>
                <a:cxn ang="0">
                  <a:pos x="285" y="537"/>
                </a:cxn>
                <a:cxn ang="0">
                  <a:pos x="312" y="430"/>
                </a:cxn>
                <a:cxn ang="0">
                  <a:pos x="275" y="515"/>
                </a:cxn>
                <a:cxn ang="0">
                  <a:pos x="265" y="532"/>
                </a:cxn>
                <a:cxn ang="0">
                  <a:pos x="232" y="527"/>
                </a:cxn>
                <a:cxn ang="0">
                  <a:pos x="195" y="505"/>
                </a:cxn>
                <a:cxn ang="0">
                  <a:pos x="172" y="472"/>
                </a:cxn>
                <a:cxn ang="0">
                  <a:pos x="155" y="425"/>
                </a:cxn>
                <a:cxn ang="0">
                  <a:pos x="155" y="375"/>
                </a:cxn>
                <a:cxn ang="0">
                  <a:pos x="162" y="317"/>
                </a:cxn>
                <a:cxn ang="0">
                  <a:pos x="190" y="267"/>
                </a:cxn>
                <a:cxn ang="0">
                  <a:pos x="237" y="225"/>
                </a:cxn>
                <a:cxn ang="0">
                  <a:pos x="295" y="200"/>
                </a:cxn>
                <a:cxn ang="0">
                  <a:pos x="360" y="192"/>
                </a:cxn>
                <a:cxn ang="0">
                  <a:pos x="355" y="195"/>
                </a:cxn>
                <a:cxn ang="0">
                  <a:pos x="382" y="192"/>
                </a:cxn>
                <a:cxn ang="0">
                  <a:pos x="440" y="192"/>
                </a:cxn>
                <a:cxn ang="0">
                  <a:pos x="402" y="187"/>
                </a:cxn>
                <a:cxn ang="0">
                  <a:pos x="387" y="187"/>
                </a:cxn>
                <a:cxn ang="0">
                  <a:pos x="387" y="182"/>
                </a:cxn>
                <a:cxn ang="0">
                  <a:pos x="440" y="135"/>
                </a:cxn>
                <a:cxn ang="0">
                  <a:pos x="502" y="89"/>
                </a:cxn>
                <a:cxn ang="0">
                  <a:pos x="495" y="92"/>
                </a:cxn>
                <a:cxn ang="0">
                  <a:pos x="415" y="140"/>
                </a:cxn>
                <a:cxn ang="0">
                  <a:pos x="367" y="182"/>
                </a:cxn>
                <a:cxn ang="0">
                  <a:pos x="355" y="182"/>
                </a:cxn>
                <a:cxn ang="0">
                  <a:pos x="297" y="187"/>
                </a:cxn>
                <a:cxn ang="0">
                  <a:pos x="252" y="200"/>
                </a:cxn>
                <a:cxn ang="0">
                  <a:pos x="205" y="225"/>
                </a:cxn>
                <a:cxn ang="0">
                  <a:pos x="172" y="257"/>
                </a:cxn>
                <a:cxn ang="0">
                  <a:pos x="145" y="302"/>
                </a:cxn>
                <a:cxn ang="0">
                  <a:pos x="130" y="370"/>
                </a:cxn>
                <a:cxn ang="0">
                  <a:pos x="130" y="382"/>
                </a:cxn>
                <a:cxn ang="0">
                  <a:pos x="107" y="392"/>
                </a:cxn>
                <a:cxn ang="0">
                  <a:pos x="65" y="387"/>
                </a:cxn>
                <a:cxn ang="0">
                  <a:pos x="27" y="377"/>
                </a:cxn>
                <a:cxn ang="0">
                  <a:pos x="0" y="360"/>
                </a:cxn>
                <a:cxn ang="0">
                  <a:pos x="22" y="377"/>
                </a:cxn>
                <a:cxn ang="0">
                  <a:pos x="60" y="392"/>
                </a:cxn>
                <a:cxn ang="0">
                  <a:pos x="112" y="397"/>
                </a:cxn>
                <a:cxn ang="0">
                  <a:pos x="135" y="392"/>
                </a:cxn>
                <a:cxn ang="0">
                  <a:pos x="140" y="425"/>
                </a:cxn>
                <a:cxn ang="0">
                  <a:pos x="162" y="477"/>
                </a:cxn>
                <a:cxn ang="0">
                  <a:pos x="195" y="510"/>
                </a:cxn>
                <a:cxn ang="0">
                  <a:pos x="232" y="532"/>
                </a:cxn>
                <a:cxn ang="0">
                  <a:pos x="260" y="537"/>
                </a:cxn>
                <a:cxn ang="0">
                  <a:pos x="237" y="565"/>
                </a:cxn>
                <a:cxn ang="0">
                  <a:pos x="200" y="597"/>
                </a:cxn>
                <a:cxn ang="0">
                  <a:pos x="162" y="607"/>
                </a:cxn>
                <a:cxn ang="0">
                  <a:pos x="140" y="607"/>
                </a:cxn>
                <a:cxn ang="0">
                  <a:pos x="120" y="597"/>
                </a:cxn>
                <a:cxn ang="0">
                  <a:pos x="107" y="580"/>
                </a:cxn>
                <a:cxn ang="0">
                  <a:pos x="98" y="561"/>
                </a:cxn>
                <a:cxn ang="0">
                  <a:pos x="97" y="565"/>
                </a:cxn>
                <a:cxn ang="0">
                  <a:pos x="107" y="590"/>
                </a:cxn>
                <a:cxn ang="0">
                  <a:pos x="130" y="607"/>
                </a:cxn>
                <a:cxn ang="0">
                  <a:pos x="162" y="612"/>
                </a:cxn>
                <a:cxn ang="0">
                  <a:pos x="210" y="602"/>
                </a:cxn>
              </a:cxnLst>
              <a:rect l="0" t="0" r="r" b="b"/>
              <a:pathLst>
                <a:path w="2378" h="635">
                  <a:moveTo>
                    <a:pt x="210" y="602"/>
                  </a:moveTo>
                  <a:lnTo>
                    <a:pt x="252" y="570"/>
                  </a:lnTo>
                  <a:lnTo>
                    <a:pt x="280" y="537"/>
                  </a:lnTo>
                  <a:lnTo>
                    <a:pt x="285" y="537"/>
                  </a:lnTo>
                  <a:lnTo>
                    <a:pt x="312" y="430"/>
                  </a:lnTo>
                  <a:lnTo>
                    <a:pt x="275" y="515"/>
                  </a:lnTo>
                  <a:lnTo>
                    <a:pt x="265" y="532"/>
                  </a:lnTo>
                  <a:lnTo>
                    <a:pt x="232" y="527"/>
                  </a:lnTo>
                  <a:lnTo>
                    <a:pt x="195" y="505"/>
                  </a:lnTo>
                  <a:lnTo>
                    <a:pt x="172" y="472"/>
                  </a:lnTo>
                  <a:lnTo>
                    <a:pt x="155" y="425"/>
                  </a:lnTo>
                  <a:lnTo>
                    <a:pt x="155" y="375"/>
                  </a:lnTo>
                  <a:lnTo>
                    <a:pt x="162" y="317"/>
                  </a:lnTo>
                  <a:lnTo>
                    <a:pt x="190" y="267"/>
                  </a:lnTo>
                  <a:lnTo>
                    <a:pt x="237" y="225"/>
                  </a:lnTo>
                  <a:lnTo>
                    <a:pt x="295" y="200"/>
                  </a:lnTo>
                  <a:lnTo>
                    <a:pt x="360" y="192"/>
                  </a:lnTo>
                  <a:lnTo>
                    <a:pt x="355" y="195"/>
                  </a:lnTo>
                  <a:lnTo>
                    <a:pt x="382" y="192"/>
                  </a:lnTo>
                  <a:lnTo>
                    <a:pt x="440" y="192"/>
                  </a:lnTo>
                  <a:lnTo>
                    <a:pt x="402" y="187"/>
                  </a:lnTo>
                  <a:lnTo>
                    <a:pt x="387" y="187"/>
                  </a:lnTo>
                  <a:lnTo>
                    <a:pt x="387" y="182"/>
                  </a:lnTo>
                  <a:lnTo>
                    <a:pt x="440" y="135"/>
                  </a:lnTo>
                  <a:lnTo>
                    <a:pt x="502" y="89"/>
                  </a:lnTo>
                  <a:lnTo>
                    <a:pt x="495" y="92"/>
                  </a:lnTo>
                  <a:lnTo>
                    <a:pt x="415" y="140"/>
                  </a:lnTo>
                  <a:lnTo>
                    <a:pt x="367" y="182"/>
                  </a:lnTo>
                  <a:lnTo>
                    <a:pt x="355" y="182"/>
                  </a:lnTo>
                  <a:lnTo>
                    <a:pt x="297" y="187"/>
                  </a:lnTo>
                  <a:lnTo>
                    <a:pt x="252" y="200"/>
                  </a:lnTo>
                  <a:lnTo>
                    <a:pt x="205" y="225"/>
                  </a:lnTo>
                  <a:lnTo>
                    <a:pt x="172" y="257"/>
                  </a:lnTo>
                  <a:lnTo>
                    <a:pt x="145" y="302"/>
                  </a:lnTo>
                  <a:lnTo>
                    <a:pt x="130" y="370"/>
                  </a:lnTo>
                  <a:lnTo>
                    <a:pt x="130" y="382"/>
                  </a:lnTo>
                  <a:lnTo>
                    <a:pt x="107" y="392"/>
                  </a:lnTo>
                  <a:lnTo>
                    <a:pt x="65" y="387"/>
                  </a:lnTo>
                  <a:lnTo>
                    <a:pt x="27" y="377"/>
                  </a:lnTo>
                  <a:lnTo>
                    <a:pt x="0" y="360"/>
                  </a:lnTo>
                  <a:lnTo>
                    <a:pt x="22" y="377"/>
                  </a:lnTo>
                  <a:lnTo>
                    <a:pt x="60" y="392"/>
                  </a:lnTo>
                  <a:lnTo>
                    <a:pt x="112" y="397"/>
                  </a:lnTo>
                  <a:lnTo>
                    <a:pt x="135" y="392"/>
                  </a:lnTo>
                  <a:lnTo>
                    <a:pt x="140" y="425"/>
                  </a:lnTo>
                  <a:lnTo>
                    <a:pt x="162" y="477"/>
                  </a:lnTo>
                  <a:lnTo>
                    <a:pt x="195" y="510"/>
                  </a:lnTo>
                  <a:lnTo>
                    <a:pt x="232" y="532"/>
                  </a:lnTo>
                  <a:lnTo>
                    <a:pt x="260" y="537"/>
                  </a:lnTo>
                  <a:lnTo>
                    <a:pt x="237" y="565"/>
                  </a:lnTo>
                  <a:lnTo>
                    <a:pt x="200" y="597"/>
                  </a:lnTo>
                  <a:lnTo>
                    <a:pt x="162" y="607"/>
                  </a:lnTo>
                  <a:lnTo>
                    <a:pt x="140" y="607"/>
                  </a:lnTo>
                  <a:lnTo>
                    <a:pt x="120" y="597"/>
                  </a:lnTo>
                  <a:lnTo>
                    <a:pt x="107" y="580"/>
                  </a:lnTo>
                  <a:lnTo>
                    <a:pt x="98" y="561"/>
                  </a:lnTo>
                  <a:lnTo>
                    <a:pt x="97" y="565"/>
                  </a:lnTo>
                  <a:lnTo>
                    <a:pt x="107" y="590"/>
                  </a:lnTo>
                  <a:lnTo>
                    <a:pt x="130" y="607"/>
                  </a:lnTo>
                  <a:lnTo>
                    <a:pt x="162" y="612"/>
                  </a:lnTo>
                  <a:lnTo>
                    <a:pt x="210" y="60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2" name="Freeform 110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635" y="52"/>
                </a:cxn>
                <a:cxn ang="0">
                  <a:pos x="555" y="92"/>
                </a:cxn>
                <a:cxn ang="0">
                  <a:pos x="635" y="55"/>
                </a:cxn>
                <a:cxn ang="0">
                  <a:pos x="732" y="17"/>
                </a:cxn>
                <a:cxn ang="0">
                  <a:pos x="635" y="52"/>
                </a:cxn>
              </a:cxnLst>
              <a:rect l="0" t="0" r="r" b="b"/>
              <a:pathLst>
                <a:path w="2378" h="635">
                  <a:moveTo>
                    <a:pt x="635" y="52"/>
                  </a:moveTo>
                  <a:lnTo>
                    <a:pt x="555" y="92"/>
                  </a:lnTo>
                  <a:lnTo>
                    <a:pt x="635" y="55"/>
                  </a:lnTo>
                  <a:lnTo>
                    <a:pt x="732" y="17"/>
                  </a:lnTo>
                  <a:lnTo>
                    <a:pt x="635" y="5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301" name="Freeform 109"/>
            <xdr:cNvSpPr>
              <a:spLocks/>
            </xdr:cNvSpPr>
          </xdr:nvSpPr>
          <xdr:spPr bwMode="auto">
            <a:xfrm>
              <a:off x="1809" y="272"/>
              <a:ext cx="2378" cy="635"/>
            </a:xfrm>
            <a:custGeom>
              <a:avLst/>
              <a:gdLst/>
              <a:ahLst/>
              <a:cxnLst>
                <a:cxn ang="0">
                  <a:pos x="372" y="472"/>
                </a:cxn>
                <a:cxn ang="0">
                  <a:pos x="355" y="505"/>
                </a:cxn>
                <a:cxn ang="0">
                  <a:pos x="322" y="527"/>
                </a:cxn>
                <a:cxn ang="0">
                  <a:pos x="285" y="537"/>
                </a:cxn>
                <a:cxn ang="0">
                  <a:pos x="297" y="537"/>
                </a:cxn>
                <a:cxn ang="0">
                  <a:pos x="332" y="527"/>
                </a:cxn>
                <a:cxn ang="0">
                  <a:pos x="360" y="510"/>
                </a:cxn>
                <a:cxn ang="0">
                  <a:pos x="372" y="477"/>
                </a:cxn>
                <a:cxn ang="0">
                  <a:pos x="382" y="430"/>
                </a:cxn>
                <a:cxn ang="0">
                  <a:pos x="377" y="430"/>
                </a:cxn>
                <a:cxn ang="0">
                  <a:pos x="372" y="472"/>
                </a:cxn>
              </a:cxnLst>
              <a:rect l="0" t="0" r="r" b="b"/>
              <a:pathLst>
                <a:path w="2378" h="635">
                  <a:moveTo>
                    <a:pt x="372" y="472"/>
                  </a:moveTo>
                  <a:lnTo>
                    <a:pt x="355" y="505"/>
                  </a:lnTo>
                  <a:lnTo>
                    <a:pt x="322" y="527"/>
                  </a:lnTo>
                  <a:lnTo>
                    <a:pt x="285" y="537"/>
                  </a:lnTo>
                  <a:lnTo>
                    <a:pt x="297" y="537"/>
                  </a:lnTo>
                  <a:lnTo>
                    <a:pt x="332" y="527"/>
                  </a:lnTo>
                  <a:lnTo>
                    <a:pt x="360" y="510"/>
                  </a:lnTo>
                  <a:lnTo>
                    <a:pt x="372" y="477"/>
                  </a:lnTo>
                  <a:lnTo>
                    <a:pt x="382" y="430"/>
                  </a:lnTo>
                  <a:lnTo>
                    <a:pt x="377" y="430"/>
                  </a:lnTo>
                  <a:lnTo>
                    <a:pt x="372" y="47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299" name="Rectangle 107"/>
          <xdr:cNvSpPr>
            <a:spLocks noChangeArrowheads="1"/>
          </xdr:cNvSpPr>
        </xdr:nvSpPr>
        <xdr:spPr bwMode="auto">
          <a:xfrm>
            <a:off x="6118" y="11297"/>
            <a:ext cx="3660" cy="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sp macro="" textlink="">
        <xdr:nvSpPr>
          <xdr:cNvPr id="8298" name="Freeform 106"/>
          <xdr:cNvSpPr>
            <a:spLocks/>
          </xdr:cNvSpPr>
        </xdr:nvSpPr>
        <xdr:spPr bwMode="auto">
          <a:xfrm>
            <a:off x="4198" y="11340"/>
            <a:ext cx="1015" cy="500"/>
          </a:xfrm>
          <a:custGeom>
            <a:avLst/>
            <a:gdLst/>
            <a:ahLst/>
            <a:cxnLst>
              <a:cxn ang="0">
                <a:pos x="200" y="145"/>
              </a:cxn>
              <a:cxn ang="0">
                <a:pos x="220" y="150"/>
              </a:cxn>
              <a:cxn ang="0">
                <a:pos x="220" y="170"/>
              </a:cxn>
              <a:cxn ang="0">
                <a:pos x="225" y="182"/>
              </a:cxn>
              <a:cxn ang="0">
                <a:pos x="237" y="187"/>
              </a:cxn>
              <a:cxn ang="0">
                <a:pos x="252" y="160"/>
              </a:cxn>
              <a:cxn ang="0">
                <a:pos x="215" y="122"/>
              </a:cxn>
              <a:cxn ang="0">
                <a:pos x="162" y="145"/>
              </a:cxn>
              <a:cxn ang="0">
                <a:pos x="157" y="202"/>
              </a:cxn>
              <a:cxn ang="0">
                <a:pos x="215" y="247"/>
              </a:cxn>
              <a:cxn ang="0">
                <a:pos x="300" y="242"/>
              </a:cxn>
              <a:cxn ang="0">
                <a:pos x="355" y="192"/>
              </a:cxn>
              <a:cxn ang="0">
                <a:pos x="370" y="112"/>
              </a:cxn>
              <a:cxn ang="0">
                <a:pos x="327" y="37"/>
              </a:cxn>
              <a:cxn ang="0">
                <a:pos x="210" y="0"/>
              </a:cxn>
              <a:cxn ang="0">
                <a:pos x="92" y="37"/>
              </a:cxn>
              <a:cxn ang="0">
                <a:pos x="17" y="132"/>
              </a:cxn>
              <a:cxn ang="0">
                <a:pos x="5" y="247"/>
              </a:cxn>
              <a:cxn ang="0">
                <a:pos x="60" y="360"/>
              </a:cxn>
              <a:cxn ang="0">
                <a:pos x="177" y="425"/>
              </a:cxn>
              <a:cxn ang="0">
                <a:pos x="345" y="417"/>
              </a:cxn>
              <a:cxn ang="0">
                <a:pos x="527" y="342"/>
              </a:cxn>
              <a:cxn ang="0">
                <a:pos x="687" y="310"/>
              </a:cxn>
              <a:cxn ang="0">
                <a:pos x="835" y="332"/>
              </a:cxn>
              <a:cxn ang="0">
                <a:pos x="962" y="425"/>
              </a:cxn>
              <a:cxn ang="0">
                <a:pos x="962" y="422"/>
              </a:cxn>
              <a:cxn ang="0">
                <a:pos x="835" y="317"/>
              </a:cxn>
              <a:cxn ang="0">
                <a:pos x="687" y="285"/>
              </a:cxn>
              <a:cxn ang="0">
                <a:pos x="532" y="310"/>
              </a:cxn>
              <a:cxn ang="0">
                <a:pos x="370" y="380"/>
              </a:cxn>
              <a:cxn ang="0">
                <a:pos x="215" y="397"/>
              </a:cxn>
              <a:cxn ang="0">
                <a:pos x="107" y="355"/>
              </a:cxn>
              <a:cxn ang="0">
                <a:pos x="47" y="280"/>
              </a:cxn>
              <a:cxn ang="0">
                <a:pos x="27" y="192"/>
              </a:cxn>
              <a:cxn ang="0">
                <a:pos x="75" y="75"/>
              </a:cxn>
              <a:cxn ang="0">
                <a:pos x="167" y="20"/>
              </a:cxn>
              <a:cxn ang="0">
                <a:pos x="275" y="25"/>
              </a:cxn>
              <a:cxn ang="0">
                <a:pos x="337" y="85"/>
              </a:cxn>
              <a:cxn ang="0">
                <a:pos x="337" y="170"/>
              </a:cxn>
              <a:cxn ang="0">
                <a:pos x="295" y="230"/>
              </a:cxn>
              <a:cxn ang="0">
                <a:pos x="220" y="240"/>
              </a:cxn>
              <a:cxn ang="0">
                <a:pos x="177" y="192"/>
              </a:cxn>
              <a:cxn ang="0">
                <a:pos x="192" y="150"/>
              </a:cxn>
            </a:cxnLst>
            <a:rect l="0" t="0" r="r" b="b"/>
            <a:pathLst>
              <a:path w="1015" h="500">
                <a:moveTo>
                  <a:pt x="192" y="150"/>
                </a:moveTo>
                <a:lnTo>
                  <a:pt x="200" y="145"/>
                </a:lnTo>
                <a:lnTo>
                  <a:pt x="210" y="145"/>
                </a:lnTo>
                <a:lnTo>
                  <a:pt x="220" y="150"/>
                </a:lnTo>
                <a:lnTo>
                  <a:pt x="225" y="155"/>
                </a:lnTo>
                <a:lnTo>
                  <a:pt x="220" y="170"/>
                </a:lnTo>
                <a:lnTo>
                  <a:pt x="220" y="177"/>
                </a:lnTo>
                <a:lnTo>
                  <a:pt x="225" y="182"/>
                </a:lnTo>
                <a:lnTo>
                  <a:pt x="230" y="187"/>
                </a:lnTo>
                <a:lnTo>
                  <a:pt x="237" y="187"/>
                </a:lnTo>
                <a:lnTo>
                  <a:pt x="242" y="177"/>
                </a:lnTo>
                <a:lnTo>
                  <a:pt x="252" y="160"/>
                </a:lnTo>
                <a:lnTo>
                  <a:pt x="237" y="135"/>
                </a:lnTo>
                <a:lnTo>
                  <a:pt x="215" y="122"/>
                </a:lnTo>
                <a:lnTo>
                  <a:pt x="192" y="122"/>
                </a:lnTo>
                <a:lnTo>
                  <a:pt x="162" y="145"/>
                </a:lnTo>
                <a:lnTo>
                  <a:pt x="155" y="172"/>
                </a:lnTo>
                <a:lnTo>
                  <a:pt x="157" y="202"/>
                </a:lnTo>
                <a:lnTo>
                  <a:pt x="182" y="230"/>
                </a:lnTo>
                <a:lnTo>
                  <a:pt x="215" y="247"/>
                </a:lnTo>
                <a:lnTo>
                  <a:pt x="262" y="257"/>
                </a:lnTo>
                <a:lnTo>
                  <a:pt x="300" y="242"/>
                </a:lnTo>
                <a:lnTo>
                  <a:pt x="332" y="220"/>
                </a:lnTo>
                <a:lnTo>
                  <a:pt x="355" y="192"/>
                </a:lnTo>
                <a:lnTo>
                  <a:pt x="370" y="150"/>
                </a:lnTo>
                <a:lnTo>
                  <a:pt x="370" y="112"/>
                </a:lnTo>
                <a:lnTo>
                  <a:pt x="355" y="70"/>
                </a:lnTo>
                <a:lnTo>
                  <a:pt x="327" y="37"/>
                </a:lnTo>
                <a:lnTo>
                  <a:pt x="280" y="15"/>
                </a:lnTo>
                <a:lnTo>
                  <a:pt x="210" y="0"/>
                </a:lnTo>
                <a:lnTo>
                  <a:pt x="150" y="10"/>
                </a:lnTo>
                <a:lnTo>
                  <a:pt x="92" y="37"/>
                </a:lnTo>
                <a:lnTo>
                  <a:pt x="47" y="80"/>
                </a:lnTo>
                <a:lnTo>
                  <a:pt x="17" y="132"/>
                </a:lnTo>
                <a:lnTo>
                  <a:pt x="0" y="187"/>
                </a:lnTo>
                <a:lnTo>
                  <a:pt x="5" y="247"/>
                </a:lnTo>
                <a:lnTo>
                  <a:pt x="22" y="310"/>
                </a:lnTo>
                <a:lnTo>
                  <a:pt x="60" y="360"/>
                </a:lnTo>
                <a:lnTo>
                  <a:pt x="112" y="397"/>
                </a:lnTo>
                <a:lnTo>
                  <a:pt x="177" y="425"/>
                </a:lnTo>
                <a:lnTo>
                  <a:pt x="257" y="430"/>
                </a:lnTo>
                <a:lnTo>
                  <a:pt x="345" y="417"/>
                </a:lnTo>
                <a:lnTo>
                  <a:pt x="447" y="380"/>
                </a:lnTo>
                <a:lnTo>
                  <a:pt x="527" y="342"/>
                </a:lnTo>
                <a:lnTo>
                  <a:pt x="612" y="317"/>
                </a:lnTo>
                <a:lnTo>
                  <a:pt x="687" y="310"/>
                </a:lnTo>
                <a:lnTo>
                  <a:pt x="765" y="315"/>
                </a:lnTo>
                <a:lnTo>
                  <a:pt x="835" y="332"/>
                </a:lnTo>
                <a:lnTo>
                  <a:pt x="902" y="370"/>
                </a:lnTo>
                <a:lnTo>
                  <a:pt x="962" y="425"/>
                </a:lnTo>
                <a:lnTo>
                  <a:pt x="1015" y="500"/>
                </a:lnTo>
                <a:lnTo>
                  <a:pt x="962" y="422"/>
                </a:lnTo>
                <a:lnTo>
                  <a:pt x="902" y="360"/>
                </a:lnTo>
                <a:lnTo>
                  <a:pt x="835" y="317"/>
                </a:lnTo>
                <a:lnTo>
                  <a:pt x="762" y="295"/>
                </a:lnTo>
                <a:lnTo>
                  <a:pt x="687" y="285"/>
                </a:lnTo>
                <a:lnTo>
                  <a:pt x="607" y="290"/>
                </a:lnTo>
                <a:lnTo>
                  <a:pt x="532" y="310"/>
                </a:lnTo>
                <a:lnTo>
                  <a:pt x="462" y="342"/>
                </a:lnTo>
                <a:lnTo>
                  <a:pt x="370" y="380"/>
                </a:lnTo>
                <a:lnTo>
                  <a:pt x="285" y="397"/>
                </a:lnTo>
                <a:lnTo>
                  <a:pt x="215" y="397"/>
                </a:lnTo>
                <a:lnTo>
                  <a:pt x="157" y="385"/>
                </a:lnTo>
                <a:lnTo>
                  <a:pt x="107" y="355"/>
                </a:lnTo>
                <a:lnTo>
                  <a:pt x="75" y="322"/>
                </a:lnTo>
                <a:lnTo>
                  <a:pt x="47" y="280"/>
                </a:lnTo>
                <a:lnTo>
                  <a:pt x="32" y="235"/>
                </a:lnTo>
                <a:lnTo>
                  <a:pt x="27" y="192"/>
                </a:lnTo>
                <a:lnTo>
                  <a:pt x="42" y="127"/>
                </a:lnTo>
                <a:lnTo>
                  <a:pt x="75" y="75"/>
                </a:lnTo>
                <a:lnTo>
                  <a:pt x="117" y="37"/>
                </a:lnTo>
                <a:lnTo>
                  <a:pt x="167" y="20"/>
                </a:lnTo>
                <a:lnTo>
                  <a:pt x="225" y="10"/>
                </a:lnTo>
                <a:lnTo>
                  <a:pt x="275" y="25"/>
                </a:lnTo>
                <a:lnTo>
                  <a:pt x="317" y="52"/>
                </a:lnTo>
                <a:lnTo>
                  <a:pt x="337" y="85"/>
                </a:lnTo>
                <a:lnTo>
                  <a:pt x="345" y="127"/>
                </a:lnTo>
                <a:lnTo>
                  <a:pt x="337" y="170"/>
                </a:lnTo>
                <a:lnTo>
                  <a:pt x="317" y="202"/>
                </a:lnTo>
                <a:lnTo>
                  <a:pt x="295" y="230"/>
                </a:lnTo>
                <a:lnTo>
                  <a:pt x="257" y="242"/>
                </a:lnTo>
                <a:lnTo>
                  <a:pt x="220" y="240"/>
                </a:lnTo>
                <a:lnTo>
                  <a:pt x="192" y="220"/>
                </a:lnTo>
                <a:lnTo>
                  <a:pt x="177" y="192"/>
                </a:lnTo>
                <a:lnTo>
                  <a:pt x="182" y="160"/>
                </a:lnTo>
                <a:lnTo>
                  <a:pt x="192" y="150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295" name="Group 103"/>
          <xdr:cNvGrpSpPr>
            <a:grpSpLocks/>
          </xdr:cNvGrpSpPr>
        </xdr:nvGrpSpPr>
        <xdr:grpSpPr bwMode="auto">
          <a:xfrm>
            <a:off x="4108" y="11312"/>
            <a:ext cx="75" cy="103"/>
            <a:chOff x="4108" y="11312"/>
            <a:chExt cx="75" cy="103"/>
          </a:xfrm>
        </xdr:grpSpPr>
        <xdr:sp macro="" textlink="">
          <xdr:nvSpPr>
            <xdr:cNvPr id="8297" name="Freeform 105"/>
            <xdr:cNvSpPr>
              <a:spLocks/>
            </xdr:cNvSpPr>
          </xdr:nvSpPr>
          <xdr:spPr bwMode="auto">
            <a:xfrm>
              <a:off x="4108" y="11312"/>
              <a:ext cx="75" cy="103"/>
            </a:xfrm>
            <a:custGeom>
              <a:avLst/>
              <a:gdLst/>
              <a:ahLst/>
              <a:cxnLst>
                <a:cxn ang="0">
                  <a:pos x="57" y="0"/>
                </a:cxn>
                <a:cxn ang="0">
                  <a:pos x="57" y="10"/>
                </a:cxn>
                <a:cxn ang="0">
                  <a:pos x="62" y="15"/>
                </a:cxn>
                <a:cxn ang="0">
                  <a:pos x="70" y="20"/>
                </a:cxn>
                <a:cxn ang="0">
                  <a:pos x="70" y="22"/>
                </a:cxn>
                <a:cxn ang="0">
                  <a:pos x="75" y="20"/>
                </a:cxn>
                <a:cxn ang="0">
                  <a:pos x="75" y="10"/>
                </a:cxn>
                <a:cxn ang="0">
                  <a:pos x="70" y="5"/>
                </a:cxn>
                <a:cxn ang="0">
                  <a:pos x="67" y="0"/>
                </a:cxn>
                <a:cxn ang="0">
                  <a:pos x="57" y="0"/>
                </a:cxn>
              </a:cxnLst>
              <a:rect l="0" t="0" r="r" b="b"/>
              <a:pathLst>
                <a:path w="75" h="103">
                  <a:moveTo>
                    <a:pt x="57" y="0"/>
                  </a:moveTo>
                  <a:lnTo>
                    <a:pt x="57" y="10"/>
                  </a:lnTo>
                  <a:lnTo>
                    <a:pt x="62" y="15"/>
                  </a:lnTo>
                  <a:lnTo>
                    <a:pt x="70" y="20"/>
                  </a:lnTo>
                  <a:lnTo>
                    <a:pt x="70" y="22"/>
                  </a:lnTo>
                  <a:lnTo>
                    <a:pt x="75" y="20"/>
                  </a:lnTo>
                  <a:lnTo>
                    <a:pt x="75" y="10"/>
                  </a:lnTo>
                  <a:lnTo>
                    <a:pt x="70" y="5"/>
                  </a:lnTo>
                  <a:lnTo>
                    <a:pt x="67" y="0"/>
                  </a:lnTo>
                  <a:lnTo>
                    <a:pt x="57" y="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96" name="Freeform 104"/>
            <xdr:cNvSpPr>
              <a:spLocks/>
            </xdr:cNvSpPr>
          </xdr:nvSpPr>
          <xdr:spPr bwMode="auto">
            <a:xfrm>
              <a:off x="4108" y="11312"/>
              <a:ext cx="75" cy="103"/>
            </a:xfrm>
            <a:custGeom>
              <a:avLst/>
              <a:gdLst/>
              <a:ahLst/>
              <a:cxnLst>
                <a:cxn ang="0">
                  <a:pos x="5" y="-22"/>
                </a:cxn>
                <a:cxn ang="0">
                  <a:pos x="0" y="5"/>
                </a:cxn>
                <a:cxn ang="0">
                  <a:pos x="5" y="20"/>
                </a:cxn>
                <a:cxn ang="0">
                  <a:pos x="15" y="32"/>
                </a:cxn>
                <a:cxn ang="0">
                  <a:pos x="25" y="37"/>
                </a:cxn>
                <a:cxn ang="0">
                  <a:pos x="35" y="42"/>
                </a:cxn>
                <a:cxn ang="0">
                  <a:pos x="57" y="42"/>
                </a:cxn>
                <a:cxn ang="0">
                  <a:pos x="67" y="37"/>
                </a:cxn>
                <a:cxn ang="0">
                  <a:pos x="70" y="32"/>
                </a:cxn>
                <a:cxn ang="0">
                  <a:pos x="70" y="22"/>
                </a:cxn>
                <a:cxn ang="0">
                  <a:pos x="62" y="32"/>
                </a:cxn>
                <a:cxn ang="0">
                  <a:pos x="42" y="32"/>
                </a:cxn>
                <a:cxn ang="0">
                  <a:pos x="30" y="27"/>
                </a:cxn>
                <a:cxn ang="0">
                  <a:pos x="25" y="20"/>
                </a:cxn>
                <a:cxn ang="0">
                  <a:pos x="20" y="5"/>
                </a:cxn>
                <a:cxn ang="0">
                  <a:pos x="20" y="-15"/>
                </a:cxn>
                <a:cxn ang="0">
                  <a:pos x="25" y="-27"/>
                </a:cxn>
                <a:cxn ang="0">
                  <a:pos x="37" y="-42"/>
                </a:cxn>
                <a:cxn ang="0">
                  <a:pos x="57" y="-52"/>
                </a:cxn>
                <a:cxn ang="0">
                  <a:pos x="75" y="-55"/>
                </a:cxn>
                <a:cxn ang="0">
                  <a:pos x="100" y="-55"/>
                </a:cxn>
                <a:cxn ang="0">
                  <a:pos x="122" y="-47"/>
                </a:cxn>
                <a:cxn ang="0">
                  <a:pos x="145" y="-27"/>
                </a:cxn>
                <a:cxn ang="0">
                  <a:pos x="155" y="-5"/>
                </a:cxn>
                <a:cxn ang="0">
                  <a:pos x="160" y="32"/>
                </a:cxn>
                <a:cxn ang="0">
                  <a:pos x="150" y="75"/>
                </a:cxn>
                <a:cxn ang="0">
                  <a:pos x="122" y="130"/>
                </a:cxn>
                <a:cxn ang="0">
                  <a:pos x="155" y="75"/>
                </a:cxn>
                <a:cxn ang="0">
                  <a:pos x="170" y="27"/>
                </a:cxn>
                <a:cxn ang="0">
                  <a:pos x="170" y="-15"/>
                </a:cxn>
                <a:cxn ang="0">
                  <a:pos x="155" y="-42"/>
                </a:cxn>
                <a:cxn ang="0">
                  <a:pos x="132" y="-65"/>
                </a:cxn>
                <a:cxn ang="0">
                  <a:pos x="105" y="-75"/>
                </a:cxn>
                <a:cxn ang="0">
                  <a:pos x="70" y="-80"/>
                </a:cxn>
                <a:cxn ang="0">
                  <a:pos x="42" y="-70"/>
                </a:cxn>
                <a:cxn ang="0">
                  <a:pos x="20" y="-52"/>
                </a:cxn>
                <a:cxn ang="0">
                  <a:pos x="5" y="-22"/>
                </a:cxn>
              </a:cxnLst>
              <a:rect l="0" t="0" r="r" b="b"/>
              <a:pathLst>
                <a:path w="75" h="103">
                  <a:moveTo>
                    <a:pt x="5" y="-22"/>
                  </a:moveTo>
                  <a:lnTo>
                    <a:pt x="0" y="5"/>
                  </a:lnTo>
                  <a:lnTo>
                    <a:pt x="5" y="20"/>
                  </a:lnTo>
                  <a:lnTo>
                    <a:pt x="15" y="32"/>
                  </a:lnTo>
                  <a:lnTo>
                    <a:pt x="25" y="37"/>
                  </a:lnTo>
                  <a:lnTo>
                    <a:pt x="35" y="42"/>
                  </a:lnTo>
                  <a:lnTo>
                    <a:pt x="57" y="42"/>
                  </a:lnTo>
                  <a:lnTo>
                    <a:pt x="67" y="37"/>
                  </a:lnTo>
                  <a:lnTo>
                    <a:pt x="70" y="32"/>
                  </a:lnTo>
                  <a:lnTo>
                    <a:pt x="70" y="22"/>
                  </a:lnTo>
                  <a:lnTo>
                    <a:pt x="62" y="32"/>
                  </a:lnTo>
                  <a:lnTo>
                    <a:pt x="42" y="32"/>
                  </a:lnTo>
                  <a:lnTo>
                    <a:pt x="30" y="27"/>
                  </a:lnTo>
                  <a:lnTo>
                    <a:pt x="25" y="20"/>
                  </a:lnTo>
                  <a:lnTo>
                    <a:pt x="20" y="5"/>
                  </a:lnTo>
                  <a:lnTo>
                    <a:pt x="20" y="-15"/>
                  </a:lnTo>
                  <a:lnTo>
                    <a:pt x="25" y="-27"/>
                  </a:lnTo>
                  <a:lnTo>
                    <a:pt x="37" y="-42"/>
                  </a:lnTo>
                  <a:lnTo>
                    <a:pt x="57" y="-52"/>
                  </a:lnTo>
                  <a:lnTo>
                    <a:pt x="75" y="-55"/>
                  </a:lnTo>
                  <a:lnTo>
                    <a:pt x="100" y="-55"/>
                  </a:lnTo>
                  <a:lnTo>
                    <a:pt x="122" y="-47"/>
                  </a:lnTo>
                  <a:lnTo>
                    <a:pt x="145" y="-27"/>
                  </a:lnTo>
                  <a:lnTo>
                    <a:pt x="155" y="-5"/>
                  </a:lnTo>
                  <a:lnTo>
                    <a:pt x="160" y="32"/>
                  </a:lnTo>
                  <a:lnTo>
                    <a:pt x="150" y="75"/>
                  </a:lnTo>
                  <a:lnTo>
                    <a:pt x="122" y="130"/>
                  </a:lnTo>
                  <a:lnTo>
                    <a:pt x="155" y="75"/>
                  </a:lnTo>
                  <a:lnTo>
                    <a:pt x="170" y="27"/>
                  </a:lnTo>
                  <a:lnTo>
                    <a:pt x="170" y="-15"/>
                  </a:lnTo>
                  <a:lnTo>
                    <a:pt x="155" y="-42"/>
                  </a:lnTo>
                  <a:lnTo>
                    <a:pt x="132" y="-65"/>
                  </a:lnTo>
                  <a:lnTo>
                    <a:pt x="105" y="-75"/>
                  </a:lnTo>
                  <a:lnTo>
                    <a:pt x="70" y="-80"/>
                  </a:lnTo>
                  <a:lnTo>
                    <a:pt x="42" y="-70"/>
                  </a:lnTo>
                  <a:lnTo>
                    <a:pt x="20" y="-52"/>
                  </a:lnTo>
                  <a:lnTo>
                    <a:pt x="5" y="-2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294" name="Freeform 102"/>
          <xdr:cNvSpPr>
            <a:spLocks/>
          </xdr:cNvSpPr>
        </xdr:nvSpPr>
        <xdr:spPr bwMode="auto">
          <a:xfrm>
            <a:off x="10670" y="11340"/>
            <a:ext cx="1013" cy="500"/>
          </a:xfrm>
          <a:custGeom>
            <a:avLst/>
            <a:gdLst/>
            <a:ahLst/>
            <a:cxnLst>
              <a:cxn ang="0">
                <a:pos x="667" y="127"/>
              </a:cxn>
              <a:cxn ang="0">
                <a:pos x="695" y="52"/>
              </a:cxn>
              <a:cxn ang="0">
                <a:pos x="787" y="10"/>
              </a:cxn>
              <a:cxn ang="0">
                <a:pos x="895" y="37"/>
              </a:cxn>
              <a:cxn ang="0">
                <a:pos x="970" y="127"/>
              </a:cxn>
              <a:cxn ang="0">
                <a:pos x="980" y="235"/>
              </a:cxn>
              <a:cxn ang="0">
                <a:pos x="937" y="322"/>
              </a:cxn>
              <a:cxn ang="0">
                <a:pos x="855" y="385"/>
              </a:cxn>
              <a:cxn ang="0">
                <a:pos x="727" y="397"/>
              </a:cxn>
              <a:cxn ang="0">
                <a:pos x="550" y="342"/>
              </a:cxn>
              <a:cxn ang="0">
                <a:pos x="400" y="290"/>
              </a:cxn>
              <a:cxn ang="0">
                <a:pos x="252" y="295"/>
              </a:cxn>
              <a:cxn ang="0">
                <a:pos x="110" y="360"/>
              </a:cxn>
              <a:cxn ang="0">
                <a:pos x="0" y="500"/>
              </a:cxn>
              <a:cxn ang="0">
                <a:pos x="110" y="370"/>
              </a:cxn>
              <a:cxn ang="0">
                <a:pos x="247" y="315"/>
              </a:cxn>
              <a:cxn ang="0">
                <a:pos x="400" y="317"/>
              </a:cxn>
              <a:cxn ang="0">
                <a:pos x="565" y="380"/>
              </a:cxn>
              <a:cxn ang="0">
                <a:pos x="755" y="430"/>
              </a:cxn>
              <a:cxn ang="0">
                <a:pos x="900" y="397"/>
              </a:cxn>
              <a:cxn ang="0">
                <a:pos x="990" y="310"/>
              </a:cxn>
              <a:cxn ang="0">
                <a:pos x="1012" y="187"/>
              </a:cxn>
              <a:cxn ang="0">
                <a:pos x="962" y="80"/>
              </a:cxn>
              <a:cxn ang="0">
                <a:pos x="862" y="10"/>
              </a:cxn>
              <a:cxn ang="0">
                <a:pos x="732" y="15"/>
              </a:cxn>
              <a:cxn ang="0">
                <a:pos x="657" y="70"/>
              </a:cxn>
              <a:cxn ang="0">
                <a:pos x="645" y="150"/>
              </a:cxn>
              <a:cxn ang="0">
                <a:pos x="682" y="220"/>
              </a:cxn>
              <a:cxn ang="0">
                <a:pos x="752" y="257"/>
              </a:cxn>
              <a:cxn ang="0">
                <a:pos x="830" y="230"/>
              </a:cxn>
              <a:cxn ang="0">
                <a:pos x="860" y="172"/>
              </a:cxn>
              <a:cxn ang="0">
                <a:pos x="822" y="122"/>
              </a:cxn>
              <a:cxn ang="0">
                <a:pos x="775" y="135"/>
              </a:cxn>
              <a:cxn ang="0">
                <a:pos x="770" y="177"/>
              </a:cxn>
              <a:cxn ang="0">
                <a:pos x="785" y="187"/>
              </a:cxn>
              <a:cxn ang="0">
                <a:pos x="792" y="177"/>
              </a:cxn>
              <a:cxn ang="0">
                <a:pos x="787" y="155"/>
              </a:cxn>
              <a:cxn ang="0">
                <a:pos x="802" y="145"/>
              </a:cxn>
              <a:cxn ang="0">
                <a:pos x="822" y="150"/>
              </a:cxn>
              <a:cxn ang="0">
                <a:pos x="835" y="192"/>
              </a:cxn>
              <a:cxn ang="0">
                <a:pos x="792" y="240"/>
              </a:cxn>
              <a:cxn ang="0">
                <a:pos x="717" y="230"/>
              </a:cxn>
              <a:cxn ang="0">
                <a:pos x="677" y="170"/>
              </a:cxn>
            </a:cxnLst>
            <a:rect l="0" t="0" r="r" b="b"/>
            <a:pathLst>
              <a:path w="1013" h="500">
                <a:moveTo>
                  <a:pt x="677" y="170"/>
                </a:moveTo>
                <a:lnTo>
                  <a:pt x="667" y="127"/>
                </a:lnTo>
                <a:lnTo>
                  <a:pt x="677" y="85"/>
                </a:lnTo>
                <a:lnTo>
                  <a:pt x="695" y="52"/>
                </a:lnTo>
                <a:lnTo>
                  <a:pt x="737" y="25"/>
                </a:lnTo>
                <a:lnTo>
                  <a:pt x="787" y="10"/>
                </a:lnTo>
                <a:lnTo>
                  <a:pt x="845" y="20"/>
                </a:lnTo>
                <a:lnTo>
                  <a:pt x="895" y="37"/>
                </a:lnTo>
                <a:lnTo>
                  <a:pt x="937" y="75"/>
                </a:lnTo>
                <a:lnTo>
                  <a:pt x="970" y="127"/>
                </a:lnTo>
                <a:lnTo>
                  <a:pt x="985" y="192"/>
                </a:lnTo>
                <a:lnTo>
                  <a:pt x="980" y="235"/>
                </a:lnTo>
                <a:lnTo>
                  <a:pt x="967" y="280"/>
                </a:lnTo>
                <a:lnTo>
                  <a:pt x="937" y="322"/>
                </a:lnTo>
                <a:lnTo>
                  <a:pt x="900" y="355"/>
                </a:lnTo>
                <a:lnTo>
                  <a:pt x="855" y="385"/>
                </a:lnTo>
                <a:lnTo>
                  <a:pt x="797" y="397"/>
                </a:lnTo>
                <a:lnTo>
                  <a:pt x="727" y="397"/>
                </a:lnTo>
                <a:lnTo>
                  <a:pt x="645" y="380"/>
                </a:lnTo>
                <a:lnTo>
                  <a:pt x="550" y="342"/>
                </a:lnTo>
                <a:lnTo>
                  <a:pt x="480" y="310"/>
                </a:lnTo>
                <a:lnTo>
                  <a:pt x="400" y="290"/>
                </a:lnTo>
                <a:lnTo>
                  <a:pt x="325" y="285"/>
                </a:lnTo>
                <a:lnTo>
                  <a:pt x="252" y="295"/>
                </a:lnTo>
                <a:lnTo>
                  <a:pt x="177" y="317"/>
                </a:lnTo>
                <a:lnTo>
                  <a:pt x="110" y="360"/>
                </a:lnTo>
                <a:lnTo>
                  <a:pt x="50" y="422"/>
                </a:lnTo>
                <a:lnTo>
                  <a:pt x="0" y="500"/>
                </a:lnTo>
                <a:lnTo>
                  <a:pt x="50" y="425"/>
                </a:lnTo>
                <a:lnTo>
                  <a:pt x="110" y="370"/>
                </a:lnTo>
                <a:lnTo>
                  <a:pt x="177" y="332"/>
                </a:lnTo>
                <a:lnTo>
                  <a:pt x="247" y="315"/>
                </a:lnTo>
                <a:lnTo>
                  <a:pt x="325" y="310"/>
                </a:lnTo>
                <a:lnTo>
                  <a:pt x="400" y="317"/>
                </a:lnTo>
                <a:lnTo>
                  <a:pt x="485" y="342"/>
                </a:lnTo>
                <a:lnTo>
                  <a:pt x="565" y="380"/>
                </a:lnTo>
                <a:lnTo>
                  <a:pt x="667" y="417"/>
                </a:lnTo>
                <a:lnTo>
                  <a:pt x="755" y="430"/>
                </a:lnTo>
                <a:lnTo>
                  <a:pt x="835" y="425"/>
                </a:lnTo>
                <a:lnTo>
                  <a:pt x="900" y="397"/>
                </a:lnTo>
                <a:lnTo>
                  <a:pt x="952" y="360"/>
                </a:lnTo>
                <a:lnTo>
                  <a:pt x="990" y="310"/>
                </a:lnTo>
                <a:lnTo>
                  <a:pt x="1007" y="247"/>
                </a:lnTo>
                <a:lnTo>
                  <a:pt x="1012" y="187"/>
                </a:lnTo>
                <a:lnTo>
                  <a:pt x="995" y="132"/>
                </a:lnTo>
                <a:lnTo>
                  <a:pt x="962" y="80"/>
                </a:lnTo>
                <a:lnTo>
                  <a:pt x="920" y="37"/>
                </a:lnTo>
                <a:lnTo>
                  <a:pt x="862" y="10"/>
                </a:lnTo>
                <a:lnTo>
                  <a:pt x="802" y="0"/>
                </a:lnTo>
                <a:lnTo>
                  <a:pt x="732" y="15"/>
                </a:lnTo>
                <a:lnTo>
                  <a:pt x="685" y="37"/>
                </a:lnTo>
                <a:lnTo>
                  <a:pt x="657" y="70"/>
                </a:lnTo>
                <a:lnTo>
                  <a:pt x="645" y="112"/>
                </a:lnTo>
                <a:lnTo>
                  <a:pt x="645" y="150"/>
                </a:lnTo>
                <a:lnTo>
                  <a:pt x="657" y="192"/>
                </a:lnTo>
                <a:lnTo>
                  <a:pt x="682" y="220"/>
                </a:lnTo>
                <a:lnTo>
                  <a:pt x="715" y="242"/>
                </a:lnTo>
                <a:lnTo>
                  <a:pt x="752" y="257"/>
                </a:lnTo>
                <a:lnTo>
                  <a:pt x="797" y="247"/>
                </a:lnTo>
                <a:lnTo>
                  <a:pt x="830" y="230"/>
                </a:lnTo>
                <a:lnTo>
                  <a:pt x="855" y="202"/>
                </a:lnTo>
                <a:lnTo>
                  <a:pt x="860" y="172"/>
                </a:lnTo>
                <a:lnTo>
                  <a:pt x="850" y="145"/>
                </a:lnTo>
                <a:lnTo>
                  <a:pt x="822" y="122"/>
                </a:lnTo>
                <a:lnTo>
                  <a:pt x="797" y="122"/>
                </a:lnTo>
                <a:lnTo>
                  <a:pt x="775" y="135"/>
                </a:lnTo>
                <a:lnTo>
                  <a:pt x="760" y="160"/>
                </a:lnTo>
                <a:lnTo>
                  <a:pt x="770" y="177"/>
                </a:lnTo>
                <a:lnTo>
                  <a:pt x="775" y="187"/>
                </a:lnTo>
                <a:lnTo>
                  <a:pt x="785" y="187"/>
                </a:lnTo>
                <a:lnTo>
                  <a:pt x="787" y="182"/>
                </a:lnTo>
                <a:lnTo>
                  <a:pt x="792" y="177"/>
                </a:lnTo>
                <a:lnTo>
                  <a:pt x="792" y="170"/>
                </a:lnTo>
                <a:lnTo>
                  <a:pt x="787" y="155"/>
                </a:lnTo>
                <a:lnTo>
                  <a:pt x="792" y="150"/>
                </a:lnTo>
                <a:lnTo>
                  <a:pt x="802" y="145"/>
                </a:lnTo>
                <a:lnTo>
                  <a:pt x="812" y="145"/>
                </a:lnTo>
                <a:lnTo>
                  <a:pt x="822" y="150"/>
                </a:lnTo>
                <a:lnTo>
                  <a:pt x="830" y="160"/>
                </a:lnTo>
                <a:lnTo>
                  <a:pt x="835" y="192"/>
                </a:lnTo>
                <a:lnTo>
                  <a:pt x="822" y="220"/>
                </a:lnTo>
                <a:lnTo>
                  <a:pt x="792" y="240"/>
                </a:lnTo>
                <a:lnTo>
                  <a:pt x="755" y="242"/>
                </a:lnTo>
                <a:lnTo>
                  <a:pt x="717" y="230"/>
                </a:lnTo>
                <a:lnTo>
                  <a:pt x="690" y="202"/>
                </a:lnTo>
                <a:lnTo>
                  <a:pt x="677" y="170"/>
                </a:lnTo>
                <a:close/>
              </a:path>
            </a:pathLst>
          </a:custGeom>
          <a:solidFill>
            <a:srgbClr val="322411"/>
          </a:solidFill>
          <a:ln w="9525">
            <a:noFill/>
            <a:round/>
            <a:headEnd/>
            <a:tailEnd/>
          </a:ln>
        </xdr:spPr>
      </xdr:sp>
      <xdr:grpSp>
        <xdr:nvGrpSpPr>
          <xdr:cNvPr id="8291" name="Group 99"/>
          <xdr:cNvGrpSpPr>
            <a:grpSpLocks/>
          </xdr:cNvGrpSpPr>
        </xdr:nvGrpSpPr>
        <xdr:grpSpPr bwMode="auto">
          <a:xfrm>
            <a:off x="11604" y="11312"/>
            <a:ext cx="112" cy="103"/>
            <a:chOff x="11604" y="11312"/>
            <a:chExt cx="112" cy="103"/>
          </a:xfrm>
        </xdr:grpSpPr>
        <xdr:sp macro="" textlink="">
          <xdr:nvSpPr>
            <xdr:cNvPr id="8293" name="Freeform 101"/>
            <xdr:cNvSpPr>
              <a:spLocks/>
            </xdr:cNvSpPr>
          </xdr:nvSpPr>
          <xdr:spPr bwMode="auto">
            <a:xfrm>
              <a:off x="11604" y="11312"/>
              <a:ext cx="112" cy="103"/>
            </a:xfrm>
            <a:custGeom>
              <a:avLst/>
              <a:gdLst/>
              <a:ahLst/>
              <a:cxnLst>
                <a:cxn ang="0">
                  <a:pos x="100" y="22"/>
                </a:cxn>
                <a:cxn ang="0">
                  <a:pos x="100" y="20"/>
                </a:cxn>
                <a:cxn ang="0">
                  <a:pos x="107" y="15"/>
                </a:cxn>
                <a:cxn ang="0">
                  <a:pos x="112" y="10"/>
                </a:cxn>
                <a:cxn ang="0">
                  <a:pos x="112" y="0"/>
                </a:cxn>
                <a:cxn ang="0">
                  <a:pos x="105" y="0"/>
                </a:cxn>
                <a:cxn ang="0">
                  <a:pos x="100" y="5"/>
                </a:cxn>
                <a:cxn ang="0">
                  <a:pos x="95" y="10"/>
                </a:cxn>
                <a:cxn ang="0">
                  <a:pos x="95" y="20"/>
                </a:cxn>
                <a:cxn ang="0">
                  <a:pos x="100" y="22"/>
                </a:cxn>
              </a:cxnLst>
              <a:rect l="0" t="0" r="r" b="b"/>
              <a:pathLst>
                <a:path w="112" h="103">
                  <a:moveTo>
                    <a:pt x="100" y="22"/>
                  </a:moveTo>
                  <a:lnTo>
                    <a:pt x="100" y="20"/>
                  </a:lnTo>
                  <a:lnTo>
                    <a:pt x="107" y="15"/>
                  </a:lnTo>
                  <a:lnTo>
                    <a:pt x="112" y="10"/>
                  </a:lnTo>
                  <a:lnTo>
                    <a:pt x="112" y="0"/>
                  </a:lnTo>
                  <a:lnTo>
                    <a:pt x="105" y="0"/>
                  </a:lnTo>
                  <a:lnTo>
                    <a:pt x="100" y="5"/>
                  </a:lnTo>
                  <a:lnTo>
                    <a:pt x="95" y="10"/>
                  </a:lnTo>
                  <a:lnTo>
                    <a:pt x="95" y="20"/>
                  </a:lnTo>
                  <a:lnTo>
                    <a:pt x="100" y="2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92" name="Freeform 100"/>
            <xdr:cNvSpPr>
              <a:spLocks/>
            </xdr:cNvSpPr>
          </xdr:nvSpPr>
          <xdr:spPr bwMode="auto">
            <a:xfrm>
              <a:off x="11604" y="11312"/>
              <a:ext cx="112" cy="103"/>
            </a:xfrm>
            <a:custGeom>
              <a:avLst/>
              <a:gdLst/>
              <a:ahLst/>
              <a:cxnLst>
                <a:cxn ang="0">
                  <a:pos x="150" y="-52"/>
                </a:cxn>
                <a:cxn ang="0">
                  <a:pos x="127" y="-70"/>
                </a:cxn>
                <a:cxn ang="0">
                  <a:pos x="100" y="-80"/>
                </a:cxn>
                <a:cxn ang="0">
                  <a:pos x="67" y="-75"/>
                </a:cxn>
                <a:cxn ang="0">
                  <a:pos x="37" y="-65"/>
                </a:cxn>
                <a:cxn ang="0">
                  <a:pos x="15" y="-42"/>
                </a:cxn>
                <a:cxn ang="0">
                  <a:pos x="0" y="-15"/>
                </a:cxn>
                <a:cxn ang="0">
                  <a:pos x="0" y="27"/>
                </a:cxn>
                <a:cxn ang="0">
                  <a:pos x="15" y="75"/>
                </a:cxn>
                <a:cxn ang="0">
                  <a:pos x="47" y="130"/>
                </a:cxn>
                <a:cxn ang="0">
                  <a:pos x="20" y="75"/>
                </a:cxn>
                <a:cxn ang="0">
                  <a:pos x="10" y="32"/>
                </a:cxn>
                <a:cxn ang="0">
                  <a:pos x="10" y="-5"/>
                </a:cxn>
                <a:cxn ang="0">
                  <a:pos x="25" y="-27"/>
                </a:cxn>
                <a:cxn ang="0">
                  <a:pos x="47" y="-47"/>
                </a:cxn>
                <a:cxn ang="0">
                  <a:pos x="70" y="-55"/>
                </a:cxn>
                <a:cxn ang="0">
                  <a:pos x="95" y="-55"/>
                </a:cxn>
                <a:cxn ang="0">
                  <a:pos x="112" y="-52"/>
                </a:cxn>
                <a:cxn ang="0">
                  <a:pos x="132" y="-42"/>
                </a:cxn>
                <a:cxn ang="0">
                  <a:pos x="145" y="-27"/>
                </a:cxn>
                <a:cxn ang="0">
                  <a:pos x="150" y="-15"/>
                </a:cxn>
                <a:cxn ang="0">
                  <a:pos x="150" y="5"/>
                </a:cxn>
                <a:cxn ang="0">
                  <a:pos x="145" y="20"/>
                </a:cxn>
                <a:cxn ang="0">
                  <a:pos x="142" y="27"/>
                </a:cxn>
                <a:cxn ang="0">
                  <a:pos x="127" y="32"/>
                </a:cxn>
                <a:cxn ang="0">
                  <a:pos x="105" y="32"/>
                </a:cxn>
                <a:cxn ang="0">
                  <a:pos x="100" y="22"/>
                </a:cxn>
                <a:cxn ang="0">
                  <a:pos x="100" y="32"/>
                </a:cxn>
                <a:cxn ang="0">
                  <a:pos x="105" y="37"/>
                </a:cxn>
                <a:cxn ang="0">
                  <a:pos x="112" y="42"/>
                </a:cxn>
                <a:cxn ang="0">
                  <a:pos x="132" y="42"/>
                </a:cxn>
                <a:cxn ang="0">
                  <a:pos x="145" y="37"/>
                </a:cxn>
                <a:cxn ang="0">
                  <a:pos x="155" y="32"/>
                </a:cxn>
                <a:cxn ang="0">
                  <a:pos x="165" y="20"/>
                </a:cxn>
                <a:cxn ang="0">
                  <a:pos x="170" y="5"/>
                </a:cxn>
                <a:cxn ang="0">
                  <a:pos x="165" y="-22"/>
                </a:cxn>
                <a:cxn ang="0">
                  <a:pos x="150" y="-52"/>
                </a:cxn>
              </a:cxnLst>
              <a:rect l="0" t="0" r="r" b="b"/>
              <a:pathLst>
                <a:path w="112" h="103">
                  <a:moveTo>
                    <a:pt x="150" y="-52"/>
                  </a:moveTo>
                  <a:lnTo>
                    <a:pt x="127" y="-70"/>
                  </a:lnTo>
                  <a:lnTo>
                    <a:pt x="100" y="-80"/>
                  </a:lnTo>
                  <a:lnTo>
                    <a:pt x="67" y="-75"/>
                  </a:lnTo>
                  <a:lnTo>
                    <a:pt x="37" y="-65"/>
                  </a:lnTo>
                  <a:lnTo>
                    <a:pt x="15" y="-42"/>
                  </a:lnTo>
                  <a:lnTo>
                    <a:pt x="0" y="-15"/>
                  </a:lnTo>
                  <a:lnTo>
                    <a:pt x="0" y="27"/>
                  </a:lnTo>
                  <a:lnTo>
                    <a:pt x="15" y="75"/>
                  </a:lnTo>
                  <a:lnTo>
                    <a:pt x="47" y="130"/>
                  </a:lnTo>
                  <a:lnTo>
                    <a:pt x="20" y="75"/>
                  </a:lnTo>
                  <a:lnTo>
                    <a:pt x="10" y="32"/>
                  </a:lnTo>
                  <a:lnTo>
                    <a:pt x="10" y="-5"/>
                  </a:lnTo>
                  <a:lnTo>
                    <a:pt x="25" y="-27"/>
                  </a:lnTo>
                  <a:lnTo>
                    <a:pt x="47" y="-47"/>
                  </a:lnTo>
                  <a:lnTo>
                    <a:pt x="70" y="-55"/>
                  </a:lnTo>
                  <a:lnTo>
                    <a:pt x="95" y="-55"/>
                  </a:lnTo>
                  <a:lnTo>
                    <a:pt x="112" y="-52"/>
                  </a:lnTo>
                  <a:lnTo>
                    <a:pt x="132" y="-42"/>
                  </a:lnTo>
                  <a:lnTo>
                    <a:pt x="145" y="-27"/>
                  </a:lnTo>
                  <a:lnTo>
                    <a:pt x="150" y="-15"/>
                  </a:lnTo>
                  <a:lnTo>
                    <a:pt x="150" y="5"/>
                  </a:lnTo>
                  <a:lnTo>
                    <a:pt x="145" y="20"/>
                  </a:lnTo>
                  <a:lnTo>
                    <a:pt x="142" y="27"/>
                  </a:lnTo>
                  <a:lnTo>
                    <a:pt x="127" y="32"/>
                  </a:lnTo>
                  <a:lnTo>
                    <a:pt x="105" y="32"/>
                  </a:lnTo>
                  <a:lnTo>
                    <a:pt x="100" y="22"/>
                  </a:lnTo>
                  <a:lnTo>
                    <a:pt x="100" y="32"/>
                  </a:lnTo>
                  <a:lnTo>
                    <a:pt x="105" y="37"/>
                  </a:lnTo>
                  <a:lnTo>
                    <a:pt x="112" y="42"/>
                  </a:lnTo>
                  <a:lnTo>
                    <a:pt x="132" y="42"/>
                  </a:lnTo>
                  <a:lnTo>
                    <a:pt x="145" y="37"/>
                  </a:lnTo>
                  <a:lnTo>
                    <a:pt x="155" y="32"/>
                  </a:lnTo>
                  <a:lnTo>
                    <a:pt x="165" y="20"/>
                  </a:lnTo>
                  <a:lnTo>
                    <a:pt x="170" y="5"/>
                  </a:lnTo>
                  <a:lnTo>
                    <a:pt x="165" y="-22"/>
                  </a:lnTo>
                  <a:lnTo>
                    <a:pt x="150" y="-5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279" name="Group 87"/>
          <xdr:cNvGrpSpPr>
            <a:grpSpLocks/>
          </xdr:cNvGrpSpPr>
        </xdr:nvGrpSpPr>
        <xdr:grpSpPr bwMode="auto">
          <a:xfrm>
            <a:off x="1898" y="11205"/>
            <a:ext cx="2385" cy="715"/>
            <a:chOff x="1898" y="11205"/>
            <a:chExt cx="2385" cy="715"/>
          </a:xfrm>
        </xdr:grpSpPr>
        <xdr:sp macro="" textlink="">
          <xdr:nvSpPr>
            <xdr:cNvPr id="8290" name="Freeform 98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387" y="450"/>
                </a:cxn>
                <a:cxn ang="0">
                  <a:pos x="365" y="445"/>
                </a:cxn>
                <a:cxn ang="0">
                  <a:pos x="332" y="392"/>
                </a:cxn>
                <a:cxn ang="0">
                  <a:pos x="295" y="332"/>
                </a:cxn>
                <a:cxn ang="0">
                  <a:pos x="245" y="270"/>
                </a:cxn>
                <a:cxn ang="0">
                  <a:pos x="197" y="235"/>
                </a:cxn>
                <a:cxn ang="0">
                  <a:pos x="165" y="220"/>
                </a:cxn>
                <a:cxn ang="0">
                  <a:pos x="187" y="135"/>
                </a:cxn>
                <a:cxn ang="0">
                  <a:pos x="160" y="177"/>
                </a:cxn>
                <a:cxn ang="0">
                  <a:pos x="150" y="210"/>
                </a:cxn>
                <a:cxn ang="0">
                  <a:pos x="102" y="205"/>
                </a:cxn>
                <a:cxn ang="0">
                  <a:pos x="80" y="205"/>
                </a:cxn>
                <a:cxn ang="0">
                  <a:pos x="122" y="210"/>
                </a:cxn>
                <a:cxn ang="0">
                  <a:pos x="145" y="220"/>
                </a:cxn>
                <a:cxn ang="0">
                  <a:pos x="140" y="235"/>
                </a:cxn>
                <a:cxn ang="0">
                  <a:pos x="145" y="305"/>
                </a:cxn>
                <a:cxn ang="0">
                  <a:pos x="170" y="350"/>
                </a:cxn>
                <a:cxn ang="0">
                  <a:pos x="197" y="387"/>
                </a:cxn>
                <a:cxn ang="0">
                  <a:pos x="170" y="290"/>
                </a:cxn>
                <a:cxn ang="0">
                  <a:pos x="165" y="230"/>
                </a:cxn>
                <a:cxn ang="0">
                  <a:pos x="170" y="230"/>
                </a:cxn>
                <a:cxn ang="0">
                  <a:pos x="220" y="270"/>
                </a:cxn>
                <a:cxn ang="0">
                  <a:pos x="267" y="332"/>
                </a:cxn>
                <a:cxn ang="0">
                  <a:pos x="300" y="382"/>
                </a:cxn>
                <a:cxn ang="0">
                  <a:pos x="342" y="440"/>
                </a:cxn>
                <a:cxn ang="0">
                  <a:pos x="347" y="445"/>
                </a:cxn>
                <a:cxn ang="0">
                  <a:pos x="337" y="450"/>
                </a:cxn>
                <a:cxn ang="0">
                  <a:pos x="352" y="450"/>
                </a:cxn>
                <a:cxn ang="0">
                  <a:pos x="397" y="500"/>
                </a:cxn>
                <a:cxn ang="0">
                  <a:pos x="467" y="560"/>
                </a:cxn>
                <a:cxn ang="0">
                  <a:pos x="552" y="612"/>
                </a:cxn>
                <a:cxn ang="0">
                  <a:pos x="477" y="560"/>
                </a:cxn>
                <a:cxn ang="0">
                  <a:pos x="417" y="510"/>
                </a:cxn>
                <a:cxn ang="0">
                  <a:pos x="370" y="452"/>
                </a:cxn>
                <a:cxn ang="0">
                  <a:pos x="425" y="452"/>
                </a:cxn>
                <a:cxn ang="0">
                  <a:pos x="422" y="450"/>
                </a:cxn>
                <a:cxn ang="0">
                  <a:pos x="387" y="450"/>
                </a:cxn>
              </a:cxnLst>
              <a:rect l="0" t="0" r="r" b="b"/>
              <a:pathLst>
                <a:path w="2385" h="715">
                  <a:moveTo>
                    <a:pt x="387" y="450"/>
                  </a:moveTo>
                  <a:lnTo>
                    <a:pt x="365" y="445"/>
                  </a:lnTo>
                  <a:lnTo>
                    <a:pt x="332" y="392"/>
                  </a:lnTo>
                  <a:lnTo>
                    <a:pt x="295" y="332"/>
                  </a:lnTo>
                  <a:lnTo>
                    <a:pt x="245" y="270"/>
                  </a:lnTo>
                  <a:lnTo>
                    <a:pt x="197" y="235"/>
                  </a:lnTo>
                  <a:lnTo>
                    <a:pt x="165" y="220"/>
                  </a:lnTo>
                  <a:lnTo>
                    <a:pt x="187" y="135"/>
                  </a:lnTo>
                  <a:lnTo>
                    <a:pt x="160" y="177"/>
                  </a:lnTo>
                  <a:lnTo>
                    <a:pt x="150" y="210"/>
                  </a:lnTo>
                  <a:lnTo>
                    <a:pt x="102" y="205"/>
                  </a:lnTo>
                  <a:lnTo>
                    <a:pt x="80" y="205"/>
                  </a:lnTo>
                  <a:lnTo>
                    <a:pt x="122" y="210"/>
                  </a:lnTo>
                  <a:lnTo>
                    <a:pt x="145" y="220"/>
                  </a:lnTo>
                  <a:lnTo>
                    <a:pt x="140" y="235"/>
                  </a:lnTo>
                  <a:lnTo>
                    <a:pt x="145" y="305"/>
                  </a:lnTo>
                  <a:lnTo>
                    <a:pt x="170" y="350"/>
                  </a:lnTo>
                  <a:lnTo>
                    <a:pt x="197" y="387"/>
                  </a:lnTo>
                  <a:lnTo>
                    <a:pt x="170" y="290"/>
                  </a:lnTo>
                  <a:lnTo>
                    <a:pt x="165" y="230"/>
                  </a:lnTo>
                  <a:lnTo>
                    <a:pt x="170" y="230"/>
                  </a:lnTo>
                  <a:lnTo>
                    <a:pt x="220" y="270"/>
                  </a:lnTo>
                  <a:lnTo>
                    <a:pt x="267" y="332"/>
                  </a:lnTo>
                  <a:lnTo>
                    <a:pt x="300" y="382"/>
                  </a:lnTo>
                  <a:lnTo>
                    <a:pt x="342" y="440"/>
                  </a:lnTo>
                  <a:lnTo>
                    <a:pt x="347" y="445"/>
                  </a:lnTo>
                  <a:lnTo>
                    <a:pt x="337" y="450"/>
                  </a:lnTo>
                  <a:lnTo>
                    <a:pt x="352" y="450"/>
                  </a:lnTo>
                  <a:lnTo>
                    <a:pt x="397" y="500"/>
                  </a:lnTo>
                  <a:lnTo>
                    <a:pt x="467" y="560"/>
                  </a:lnTo>
                  <a:lnTo>
                    <a:pt x="552" y="612"/>
                  </a:lnTo>
                  <a:lnTo>
                    <a:pt x="477" y="560"/>
                  </a:lnTo>
                  <a:lnTo>
                    <a:pt x="417" y="510"/>
                  </a:lnTo>
                  <a:lnTo>
                    <a:pt x="370" y="452"/>
                  </a:lnTo>
                  <a:lnTo>
                    <a:pt x="425" y="452"/>
                  </a:lnTo>
                  <a:lnTo>
                    <a:pt x="422" y="450"/>
                  </a:lnTo>
                  <a:lnTo>
                    <a:pt x="387" y="45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9" name="Freeform 97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337" y="450"/>
                </a:cxn>
                <a:cxn ang="0">
                  <a:pos x="347" y="445"/>
                </a:cxn>
                <a:cxn ang="0">
                  <a:pos x="280" y="425"/>
                </a:cxn>
                <a:cxn ang="0">
                  <a:pos x="230" y="392"/>
                </a:cxn>
                <a:cxn ang="0">
                  <a:pos x="192" y="345"/>
                </a:cxn>
                <a:cxn ang="0">
                  <a:pos x="170" y="290"/>
                </a:cxn>
                <a:cxn ang="0">
                  <a:pos x="197" y="387"/>
                </a:cxn>
                <a:cxn ang="0">
                  <a:pos x="240" y="420"/>
                </a:cxn>
                <a:cxn ang="0">
                  <a:pos x="285" y="440"/>
                </a:cxn>
                <a:cxn ang="0">
                  <a:pos x="337" y="450"/>
                </a:cxn>
              </a:cxnLst>
              <a:rect l="0" t="0" r="r" b="b"/>
              <a:pathLst>
                <a:path w="2385" h="715">
                  <a:moveTo>
                    <a:pt x="337" y="450"/>
                  </a:moveTo>
                  <a:lnTo>
                    <a:pt x="347" y="445"/>
                  </a:lnTo>
                  <a:lnTo>
                    <a:pt x="280" y="425"/>
                  </a:lnTo>
                  <a:lnTo>
                    <a:pt x="230" y="392"/>
                  </a:lnTo>
                  <a:lnTo>
                    <a:pt x="192" y="345"/>
                  </a:lnTo>
                  <a:lnTo>
                    <a:pt x="170" y="290"/>
                  </a:lnTo>
                  <a:lnTo>
                    <a:pt x="197" y="387"/>
                  </a:lnTo>
                  <a:lnTo>
                    <a:pt x="240" y="420"/>
                  </a:lnTo>
                  <a:lnTo>
                    <a:pt x="285" y="440"/>
                  </a:lnTo>
                  <a:lnTo>
                    <a:pt x="337" y="45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8" name="Freeform 96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887" y="710"/>
                </a:cxn>
                <a:cxn ang="0">
                  <a:pos x="1020" y="715"/>
                </a:cxn>
                <a:cxn ang="0">
                  <a:pos x="1145" y="700"/>
                </a:cxn>
                <a:cxn ang="0">
                  <a:pos x="1267" y="677"/>
                </a:cxn>
                <a:cxn ang="0">
                  <a:pos x="1380" y="635"/>
                </a:cxn>
                <a:cxn ang="0">
                  <a:pos x="1487" y="590"/>
                </a:cxn>
                <a:cxn ang="0">
                  <a:pos x="1590" y="537"/>
                </a:cxn>
                <a:cxn ang="0">
                  <a:pos x="1687" y="485"/>
                </a:cxn>
                <a:cxn ang="0">
                  <a:pos x="1785" y="440"/>
                </a:cxn>
                <a:cxn ang="0">
                  <a:pos x="1880" y="397"/>
                </a:cxn>
                <a:cxn ang="0">
                  <a:pos x="1972" y="370"/>
                </a:cxn>
                <a:cxn ang="0">
                  <a:pos x="2065" y="355"/>
                </a:cxn>
                <a:cxn ang="0">
                  <a:pos x="2160" y="360"/>
                </a:cxn>
                <a:cxn ang="0">
                  <a:pos x="2252" y="387"/>
                </a:cxn>
                <a:cxn ang="0">
                  <a:pos x="2285" y="407"/>
                </a:cxn>
                <a:cxn ang="0">
                  <a:pos x="2317" y="415"/>
                </a:cxn>
                <a:cxn ang="0">
                  <a:pos x="2342" y="425"/>
                </a:cxn>
                <a:cxn ang="0">
                  <a:pos x="2360" y="435"/>
                </a:cxn>
                <a:cxn ang="0">
                  <a:pos x="2370" y="435"/>
                </a:cxn>
                <a:cxn ang="0">
                  <a:pos x="2360" y="425"/>
                </a:cxn>
                <a:cxn ang="0">
                  <a:pos x="2342" y="415"/>
                </a:cxn>
                <a:cxn ang="0">
                  <a:pos x="2317" y="407"/>
                </a:cxn>
                <a:cxn ang="0">
                  <a:pos x="2290" y="397"/>
                </a:cxn>
                <a:cxn ang="0">
                  <a:pos x="2257" y="382"/>
                </a:cxn>
                <a:cxn ang="0">
                  <a:pos x="2155" y="350"/>
                </a:cxn>
                <a:cxn ang="0">
                  <a:pos x="2052" y="342"/>
                </a:cxn>
                <a:cxn ang="0">
                  <a:pos x="1955" y="350"/>
                </a:cxn>
                <a:cxn ang="0">
                  <a:pos x="1855" y="377"/>
                </a:cxn>
                <a:cxn ang="0">
                  <a:pos x="1757" y="415"/>
                </a:cxn>
                <a:cxn ang="0">
                  <a:pos x="1655" y="462"/>
                </a:cxn>
                <a:cxn ang="0">
                  <a:pos x="1557" y="515"/>
                </a:cxn>
                <a:cxn ang="0">
                  <a:pos x="1455" y="565"/>
                </a:cxn>
                <a:cxn ang="0">
                  <a:pos x="1347" y="612"/>
                </a:cxn>
                <a:cxn ang="0">
                  <a:pos x="1235" y="655"/>
                </a:cxn>
                <a:cxn ang="0">
                  <a:pos x="1122" y="687"/>
                </a:cxn>
                <a:cxn ang="0">
                  <a:pos x="1000" y="700"/>
                </a:cxn>
                <a:cxn ang="0">
                  <a:pos x="875" y="700"/>
                </a:cxn>
                <a:cxn ang="0">
                  <a:pos x="745" y="677"/>
                </a:cxn>
                <a:cxn ang="0">
                  <a:pos x="887" y="710"/>
                </a:cxn>
              </a:cxnLst>
              <a:rect l="0" t="0" r="r" b="b"/>
              <a:pathLst>
                <a:path w="2385" h="715">
                  <a:moveTo>
                    <a:pt x="887" y="710"/>
                  </a:moveTo>
                  <a:lnTo>
                    <a:pt x="1020" y="715"/>
                  </a:lnTo>
                  <a:lnTo>
                    <a:pt x="1145" y="700"/>
                  </a:lnTo>
                  <a:lnTo>
                    <a:pt x="1267" y="677"/>
                  </a:lnTo>
                  <a:lnTo>
                    <a:pt x="1380" y="635"/>
                  </a:lnTo>
                  <a:lnTo>
                    <a:pt x="1487" y="590"/>
                  </a:lnTo>
                  <a:lnTo>
                    <a:pt x="1590" y="537"/>
                  </a:lnTo>
                  <a:lnTo>
                    <a:pt x="1687" y="485"/>
                  </a:lnTo>
                  <a:lnTo>
                    <a:pt x="1785" y="440"/>
                  </a:lnTo>
                  <a:lnTo>
                    <a:pt x="1880" y="397"/>
                  </a:lnTo>
                  <a:lnTo>
                    <a:pt x="1972" y="370"/>
                  </a:lnTo>
                  <a:lnTo>
                    <a:pt x="2065" y="355"/>
                  </a:lnTo>
                  <a:lnTo>
                    <a:pt x="2160" y="360"/>
                  </a:lnTo>
                  <a:lnTo>
                    <a:pt x="2252" y="387"/>
                  </a:lnTo>
                  <a:lnTo>
                    <a:pt x="2285" y="407"/>
                  </a:lnTo>
                  <a:lnTo>
                    <a:pt x="2317" y="415"/>
                  </a:lnTo>
                  <a:lnTo>
                    <a:pt x="2342" y="425"/>
                  </a:lnTo>
                  <a:lnTo>
                    <a:pt x="2360" y="435"/>
                  </a:lnTo>
                  <a:lnTo>
                    <a:pt x="2370" y="435"/>
                  </a:lnTo>
                  <a:lnTo>
                    <a:pt x="2360" y="425"/>
                  </a:lnTo>
                  <a:lnTo>
                    <a:pt x="2342" y="415"/>
                  </a:lnTo>
                  <a:lnTo>
                    <a:pt x="2317" y="407"/>
                  </a:lnTo>
                  <a:lnTo>
                    <a:pt x="2290" y="397"/>
                  </a:lnTo>
                  <a:lnTo>
                    <a:pt x="2257" y="382"/>
                  </a:lnTo>
                  <a:lnTo>
                    <a:pt x="2155" y="350"/>
                  </a:lnTo>
                  <a:lnTo>
                    <a:pt x="2052" y="342"/>
                  </a:lnTo>
                  <a:lnTo>
                    <a:pt x="1955" y="350"/>
                  </a:lnTo>
                  <a:lnTo>
                    <a:pt x="1855" y="377"/>
                  </a:lnTo>
                  <a:lnTo>
                    <a:pt x="1757" y="415"/>
                  </a:lnTo>
                  <a:lnTo>
                    <a:pt x="1655" y="462"/>
                  </a:lnTo>
                  <a:lnTo>
                    <a:pt x="1557" y="515"/>
                  </a:lnTo>
                  <a:lnTo>
                    <a:pt x="1455" y="565"/>
                  </a:lnTo>
                  <a:lnTo>
                    <a:pt x="1347" y="612"/>
                  </a:lnTo>
                  <a:lnTo>
                    <a:pt x="1235" y="655"/>
                  </a:lnTo>
                  <a:lnTo>
                    <a:pt x="1122" y="687"/>
                  </a:lnTo>
                  <a:lnTo>
                    <a:pt x="1000" y="700"/>
                  </a:lnTo>
                  <a:lnTo>
                    <a:pt x="875" y="700"/>
                  </a:lnTo>
                  <a:lnTo>
                    <a:pt x="745" y="677"/>
                  </a:lnTo>
                  <a:lnTo>
                    <a:pt x="887" y="71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7" name="Freeform 95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2380" y="435"/>
                </a:cxn>
                <a:cxn ang="0">
                  <a:pos x="2370" y="435"/>
                </a:cxn>
                <a:cxn ang="0">
                  <a:pos x="2380" y="440"/>
                </a:cxn>
                <a:cxn ang="0">
                  <a:pos x="2385" y="440"/>
                </a:cxn>
                <a:cxn ang="0">
                  <a:pos x="2380" y="435"/>
                </a:cxn>
              </a:cxnLst>
              <a:rect l="0" t="0" r="r" b="b"/>
              <a:pathLst>
                <a:path w="2385" h="715">
                  <a:moveTo>
                    <a:pt x="2380" y="435"/>
                  </a:moveTo>
                  <a:lnTo>
                    <a:pt x="2370" y="435"/>
                  </a:lnTo>
                  <a:lnTo>
                    <a:pt x="2380" y="440"/>
                  </a:lnTo>
                  <a:lnTo>
                    <a:pt x="2385" y="440"/>
                  </a:lnTo>
                  <a:lnTo>
                    <a:pt x="2380" y="43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6" name="Freeform 94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837" y="112"/>
                </a:cxn>
                <a:cxn ang="0">
                  <a:pos x="827" y="130"/>
                </a:cxn>
                <a:cxn ang="0">
                  <a:pos x="827" y="167"/>
                </a:cxn>
                <a:cxn ang="0">
                  <a:pos x="832" y="197"/>
                </a:cxn>
                <a:cxn ang="0">
                  <a:pos x="847" y="220"/>
                </a:cxn>
                <a:cxn ang="0">
                  <a:pos x="852" y="205"/>
                </a:cxn>
                <a:cxn ang="0">
                  <a:pos x="842" y="197"/>
                </a:cxn>
                <a:cxn ang="0">
                  <a:pos x="832" y="167"/>
                </a:cxn>
                <a:cxn ang="0">
                  <a:pos x="832" y="135"/>
                </a:cxn>
                <a:cxn ang="0">
                  <a:pos x="842" y="117"/>
                </a:cxn>
                <a:cxn ang="0">
                  <a:pos x="837" y="112"/>
                </a:cxn>
              </a:cxnLst>
              <a:rect l="0" t="0" r="r" b="b"/>
              <a:pathLst>
                <a:path w="2385" h="715">
                  <a:moveTo>
                    <a:pt x="837" y="112"/>
                  </a:moveTo>
                  <a:lnTo>
                    <a:pt x="827" y="130"/>
                  </a:lnTo>
                  <a:lnTo>
                    <a:pt x="827" y="167"/>
                  </a:lnTo>
                  <a:lnTo>
                    <a:pt x="832" y="197"/>
                  </a:lnTo>
                  <a:lnTo>
                    <a:pt x="847" y="220"/>
                  </a:lnTo>
                  <a:lnTo>
                    <a:pt x="852" y="205"/>
                  </a:lnTo>
                  <a:lnTo>
                    <a:pt x="842" y="197"/>
                  </a:lnTo>
                  <a:lnTo>
                    <a:pt x="832" y="167"/>
                  </a:lnTo>
                  <a:lnTo>
                    <a:pt x="832" y="135"/>
                  </a:lnTo>
                  <a:lnTo>
                    <a:pt x="842" y="117"/>
                  </a:lnTo>
                  <a:lnTo>
                    <a:pt x="837" y="11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5" name="Freeform 93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785" y="655"/>
                </a:cxn>
                <a:cxn ang="0">
                  <a:pos x="612" y="585"/>
                </a:cxn>
                <a:cxn ang="0">
                  <a:pos x="510" y="477"/>
                </a:cxn>
                <a:cxn ang="0">
                  <a:pos x="462" y="350"/>
                </a:cxn>
                <a:cxn ang="0">
                  <a:pos x="472" y="220"/>
                </a:cxn>
                <a:cxn ang="0">
                  <a:pos x="547" y="107"/>
                </a:cxn>
                <a:cxn ang="0">
                  <a:pos x="665" y="52"/>
                </a:cxn>
                <a:cxn ang="0">
                  <a:pos x="785" y="70"/>
                </a:cxn>
                <a:cxn ang="0">
                  <a:pos x="837" y="112"/>
                </a:cxn>
                <a:cxn ang="0">
                  <a:pos x="852" y="130"/>
                </a:cxn>
                <a:cxn ang="0">
                  <a:pos x="855" y="200"/>
                </a:cxn>
                <a:cxn ang="0">
                  <a:pos x="847" y="220"/>
                </a:cxn>
                <a:cxn ang="0">
                  <a:pos x="870" y="205"/>
                </a:cxn>
                <a:cxn ang="0">
                  <a:pos x="860" y="130"/>
                </a:cxn>
                <a:cxn ang="0">
                  <a:pos x="847" y="97"/>
                </a:cxn>
                <a:cxn ang="0">
                  <a:pos x="847" y="92"/>
                </a:cxn>
                <a:cxn ang="0">
                  <a:pos x="832" y="92"/>
                </a:cxn>
                <a:cxn ang="0">
                  <a:pos x="740" y="47"/>
                </a:cxn>
                <a:cxn ang="0">
                  <a:pos x="600" y="60"/>
                </a:cxn>
                <a:cxn ang="0">
                  <a:pos x="500" y="150"/>
                </a:cxn>
                <a:cxn ang="0">
                  <a:pos x="450" y="285"/>
                </a:cxn>
                <a:cxn ang="0">
                  <a:pos x="472" y="420"/>
                </a:cxn>
                <a:cxn ang="0">
                  <a:pos x="552" y="542"/>
                </a:cxn>
                <a:cxn ang="0">
                  <a:pos x="687" y="635"/>
                </a:cxn>
                <a:cxn ang="0">
                  <a:pos x="887" y="672"/>
                </a:cxn>
                <a:cxn ang="0">
                  <a:pos x="1090" y="635"/>
                </a:cxn>
                <a:cxn ang="0">
                  <a:pos x="1285" y="552"/>
                </a:cxn>
                <a:cxn ang="0">
                  <a:pos x="1492" y="452"/>
                </a:cxn>
                <a:cxn ang="0">
                  <a:pos x="1707" y="360"/>
                </a:cxn>
                <a:cxn ang="0">
                  <a:pos x="1945" y="312"/>
                </a:cxn>
                <a:cxn ang="0">
                  <a:pos x="2202" y="337"/>
                </a:cxn>
                <a:cxn ang="0">
                  <a:pos x="1922" y="300"/>
                </a:cxn>
                <a:cxn ang="0">
                  <a:pos x="1677" y="342"/>
                </a:cxn>
                <a:cxn ang="0">
                  <a:pos x="1457" y="430"/>
                </a:cxn>
                <a:cxn ang="0">
                  <a:pos x="1257" y="527"/>
                </a:cxn>
                <a:cxn ang="0">
                  <a:pos x="1065" y="617"/>
                </a:cxn>
                <a:cxn ang="0">
                  <a:pos x="880" y="660"/>
                </a:cxn>
              </a:cxnLst>
              <a:rect l="0" t="0" r="r" b="b"/>
              <a:pathLst>
                <a:path w="2385" h="715">
                  <a:moveTo>
                    <a:pt x="880" y="660"/>
                  </a:moveTo>
                  <a:lnTo>
                    <a:pt x="785" y="655"/>
                  </a:lnTo>
                  <a:lnTo>
                    <a:pt x="692" y="627"/>
                  </a:lnTo>
                  <a:lnTo>
                    <a:pt x="612" y="585"/>
                  </a:lnTo>
                  <a:lnTo>
                    <a:pt x="552" y="532"/>
                  </a:lnTo>
                  <a:lnTo>
                    <a:pt x="510" y="477"/>
                  </a:lnTo>
                  <a:lnTo>
                    <a:pt x="482" y="412"/>
                  </a:lnTo>
                  <a:lnTo>
                    <a:pt x="462" y="350"/>
                  </a:lnTo>
                  <a:lnTo>
                    <a:pt x="462" y="290"/>
                  </a:lnTo>
                  <a:lnTo>
                    <a:pt x="472" y="220"/>
                  </a:lnTo>
                  <a:lnTo>
                    <a:pt x="505" y="160"/>
                  </a:lnTo>
                  <a:lnTo>
                    <a:pt x="547" y="107"/>
                  </a:lnTo>
                  <a:lnTo>
                    <a:pt x="602" y="70"/>
                  </a:lnTo>
                  <a:lnTo>
                    <a:pt x="665" y="52"/>
                  </a:lnTo>
                  <a:lnTo>
                    <a:pt x="735" y="52"/>
                  </a:lnTo>
                  <a:lnTo>
                    <a:pt x="785" y="70"/>
                  </a:lnTo>
                  <a:lnTo>
                    <a:pt x="822" y="97"/>
                  </a:lnTo>
                  <a:lnTo>
                    <a:pt x="837" y="112"/>
                  </a:lnTo>
                  <a:lnTo>
                    <a:pt x="842" y="117"/>
                  </a:lnTo>
                  <a:lnTo>
                    <a:pt x="852" y="130"/>
                  </a:lnTo>
                  <a:lnTo>
                    <a:pt x="860" y="162"/>
                  </a:lnTo>
                  <a:lnTo>
                    <a:pt x="855" y="200"/>
                  </a:lnTo>
                  <a:lnTo>
                    <a:pt x="852" y="205"/>
                  </a:lnTo>
                  <a:lnTo>
                    <a:pt x="847" y="220"/>
                  </a:lnTo>
                  <a:lnTo>
                    <a:pt x="860" y="225"/>
                  </a:lnTo>
                  <a:lnTo>
                    <a:pt x="870" y="205"/>
                  </a:lnTo>
                  <a:lnTo>
                    <a:pt x="875" y="167"/>
                  </a:lnTo>
                  <a:lnTo>
                    <a:pt x="860" y="130"/>
                  </a:lnTo>
                  <a:lnTo>
                    <a:pt x="842" y="107"/>
                  </a:lnTo>
                  <a:lnTo>
                    <a:pt x="847" y="97"/>
                  </a:lnTo>
                  <a:lnTo>
                    <a:pt x="880" y="65"/>
                  </a:lnTo>
                  <a:lnTo>
                    <a:pt x="847" y="92"/>
                  </a:lnTo>
                  <a:lnTo>
                    <a:pt x="842" y="102"/>
                  </a:lnTo>
                  <a:lnTo>
                    <a:pt x="832" y="92"/>
                  </a:lnTo>
                  <a:lnTo>
                    <a:pt x="790" y="65"/>
                  </a:lnTo>
                  <a:lnTo>
                    <a:pt x="740" y="47"/>
                  </a:lnTo>
                  <a:lnTo>
                    <a:pt x="665" y="42"/>
                  </a:lnTo>
                  <a:lnTo>
                    <a:pt x="600" y="60"/>
                  </a:lnTo>
                  <a:lnTo>
                    <a:pt x="542" y="97"/>
                  </a:lnTo>
                  <a:lnTo>
                    <a:pt x="500" y="150"/>
                  </a:lnTo>
                  <a:lnTo>
                    <a:pt x="467" y="215"/>
                  </a:lnTo>
                  <a:lnTo>
                    <a:pt x="450" y="285"/>
                  </a:lnTo>
                  <a:lnTo>
                    <a:pt x="455" y="350"/>
                  </a:lnTo>
                  <a:lnTo>
                    <a:pt x="472" y="420"/>
                  </a:lnTo>
                  <a:lnTo>
                    <a:pt x="500" y="485"/>
                  </a:lnTo>
                  <a:lnTo>
                    <a:pt x="552" y="542"/>
                  </a:lnTo>
                  <a:lnTo>
                    <a:pt x="612" y="592"/>
                  </a:lnTo>
                  <a:lnTo>
                    <a:pt x="687" y="635"/>
                  </a:lnTo>
                  <a:lnTo>
                    <a:pt x="790" y="667"/>
                  </a:lnTo>
                  <a:lnTo>
                    <a:pt x="887" y="672"/>
                  </a:lnTo>
                  <a:lnTo>
                    <a:pt x="987" y="665"/>
                  </a:lnTo>
                  <a:lnTo>
                    <a:pt x="1090" y="635"/>
                  </a:lnTo>
                  <a:lnTo>
                    <a:pt x="1187" y="597"/>
                  </a:lnTo>
                  <a:lnTo>
                    <a:pt x="1285" y="552"/>
                  </a:lnTo>
                  <a:lnTo>
                    <a:pt x="1387" y="505"/>
                  </a:lnTo>
                  <a:lnTo>
                    <a:pt x="1492" y="452"/>
                  </a:lnTo>
                  <a:lnTo>
                    <a:pt x="1600" y="402"/>
                  </a:lnTo>
                  <a:lnTo>
                    <a:pt x="1707" y="360"/>
                  </a:lnTo>
                  <a:lnTo>
                    <a:pt x="1822" y="332"/>
                  </a:lnTo>
                  <a:lnTo>
                    <a:pt x="1945" y="312"/>
                  </a:lnTo>
                  <a:lnTo>
                    <a:pt x="2065" y="317"/>
                  </a:lnTo>
                  <a:lnTo>
                    <a:pt x="2202" y="337"/>
                  </a:lnTo>
                  <a:lnTo>
                    <a:pt x="2057" y="307"/>
                  </a:lnTo>
                  <a:lnTo>
                    <a:pt x="1922" y="300"/>
                  </a:lnTo>
                  <a:lnTo>
                    <a:pt x="1795" y="312"/>
                  </a:lnTo>
                  <a:lnTo>
                    <a:pt x="1677" y="342"/>
                  </a:lnTo>
                  <a:lnTo>
                    <a:pt x="1565" y="377"/>
                  </a:lnTo>
                  <a:lnTo>
                    <a:pt x="1457" y="430"/>
                  </a:lnTo>
                  <a:lnTo>
                    <a:pt x="1355" y="482"/>
                  </a:lnTo>
                  <a:lnTo>
                    <a:pt x="1257" y="527"/>
                  </a:lnTo>
                  <a:lnTo>
                    <a:pt x="1160" y="580"/>
                  </a:lnTo>
                  <a:lnTo>
                    <a:pt x="1065" y="617"/>
                  </a:lnTo>
                  <a:lnTo>
                    <a:pt x="972" y="645"/>
                  </a:lnTo>
                  <a:lnTo>
                    <a:pt x="880" y="66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4" name="Freeform 92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5" y="230"/>
                </a:cxn>
                <a:cxn ang="0">
                  <a:pos x="0" y="235"/>
                </a:cxn>
                <a:cxn ang="0">
                  <a:pos x="5" y="235"/>
                </a:cxn>
                <a:cxn ang="0">
                  <a:pos x="10" y="230"/>
                </a:cxn>
                <a:cxn ang="0">
                  <a:pos x="5" y="230"/>
                </a:cxn>
              </a:cxnLst>
              <a:rect l="0" t="0" r="r" b="b"/>
              <a:pathLst>
                <a:path w="2385" h="715">
                  <a:moveTo>
                    <a:pt x="5" y="230"/>
                  </a:moveTo>
                  <a:lnTo>
                    <a:pt x="0" y="235"/>
                  </a:lnTo>
                  <a:lnTo>
                    <a:pt x="5" y="235"/>
                  </a:lnTo>
                  <a:lnTo>
                    <a:pt x="10" y="230"/>
                  </a:lnTo>
                  <a:lnTo>
                    <a:pt x="5" y="23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3" name="Freeform 91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42" y="215"/>
                </a:cxn>
                <a:cxn ang="0">
                  <a:pos x="80" y="205"/>
                </a:cxn>
                <a:cxn ang="0">
                  <a:pos x="67" y="205"/>
                </a:cxn>
                <a:cxn ang="0">
                  <a:pos x="32" y="215"/>
                </a:cxn>
                <a:cxn ang="0">
                  <a:pos x="10" y="230"/>
                </a:cxn>
                <a:cxn ang="0">
                  <a:pos x="42" y="215"/>
                </a:cxn>
              </a:cxnLst>
              <a:rect l="0" t="0" r="r" b="b"/>
              <a:pathLst>
                <a:path w="2385" h="715">
                  <a:moveTo>
                    <a:pt x="42" y="215"/>
                  </a:moveTo>
                  <a:lnTo>
                    <a:pt x="80" y="205"/>
                  </a:lnTo>
                  <a:lnTo>
                    <a:pt x="67" y="205"/>
                  </a:lnTo>
                  <a:lnTo>
                    <a:pt x="32" y="215"/>
                  </a:lnTo>
                  <a:lnTo>
                    <a:pt x="10" y="230"/>
                  </a:lnTo>
                  <a:lnTo>
                    <a:pt x="42" y="215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2" name="Freeform 90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397" y="162"/>
                </a:cxn>
                <a:cxn ang="0">
                  <a:pos x="385" y="127"/>
                </a:cxn>
                <a:cxn ang="0">
                  <a:pos x="360" y="102"/>
                </a:cxn>
                <a:cxn ang="0">
                  <a:pos x="327" y="90"/>
                </a:cxn>
                <a:cxn ang="0">
                  <a:pos x="315" y="90"/>
                </a:cxn>
                <a:cxn ang="0">
                  <a:pos x="355" y="102"/>
                </a:cxn>
                <a:cxn ang="0">
                  <a:pos x="385" y="130"/>
                </a:cxn>
                <a:cxn ang="0">
                  <a:pos x="397" y="162"/>
                </a:cxn>
              </a:cxnLst>
              <a:rect l="0" t="0" r="r" b="b"/>
              <a:pathLst>
                <a:path w="2385" h="715">
                  <a:moveTo>
                    <a:pt x="397" y="162"/>
                  </a:moveTo>
                  <a:lnTo>
                    <a:pt x="385" y="127"/>
                  </a:lnTo>
                  <a:lnTo>
                    <a:pt x="360" y="102"/>
                  </a:lnTo>
                  <a:lnTo>
                    <a:pt x="327" y="90"/>
                  </a:lnTo>
                  <a:lnTo>
                    <a:pt x="315" y="90"/>
                  </a:lnTo>
                  <a:lnTo>
                    <a:pt x="355" y="102"/>
                  </a:lnTo>
                  <a:lnTo>
                    <a:pt x="385" y="130"/>
                  </a:lnTo>
                  <a:lnTo>
                    <a:pt x="397" y="16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1" name="Freeform 89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397" y="210"/>
                </a:cxn>
                <a:cxn ang="0">
                  <a:pos x="397" y="162"/>
                </a:cxn>
                <a:cxn ang="0">
                  <a:pos x="392" y="205"/>
                </a:cxn>
                <a:cxn ang="0">
                  <a:pos x="392" y="210"/>
                </a:cxn>
                <a:cxn ang="0">
                  <a:pos x="397" y="210"/>
                </a:cxn>
              </a:cxnLst>
              <a:rect l="0" t="0" r="r" b="b"/>
              <a:pathLst>
                <a:path w="2385" h="715">
                  <a:moveTo>
                    <a:pt x="397" y="210"/>
                  </a:moveTo>
                  <a:lnTo>
                    <a:pt x="397" y="162"/>
                  </a:lnTo>
                  <a:lnTo>
                    <a:pt x="392" y="205"/>
                  </a:lnTo>
                  <a:lnTo>
                    <a:pt x="392" y="210"/>
                  </a:lnTo>
                  <a:lnTo>
                    <a:pt x="397" y="210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80" name="Freeform 88"/>
            <xdr:cNvSpPr>
              <a:spLocks/>
            </xdr:cNvSpPr>
          </xdr:nvSpPr>
          <xdr:spPr bwMode="auto">
            <a:xfrm>
              <a:off x="1898" y="11205"/>
              <a:ext cx="2385" cy="715"/>
            </a:xfrm>
            <a:custGeom>
              <a:avLst/>
              <a:gdLst/>
              <a:ahLst/>
              <a:cxnLst>
                <a:cxn ang="0">
                  <a:pos x="137" y="37"/>
                </a:cxn>
                <a:cxn ang="0">
                  <a:pos x="132" y="55"/>
                </a:cxn>
                <a:cxn ang="0">
                  <a:pos x="137" y="75"/>
                </a:cxn>
                <a:cxn ang="0">
                  <a:pos x="140" y="80"/>
                </a:cxn>
                <a:cxn ang="0">
                  <a:pos x="140" y="70"/>
                </a:cxn>
                <a:cxn ang="0">
                  <a:pos x="137" y="55"/>
                </a:cxn>
                <a:cxn ang="0">
                  <a:pos x="137" y="42"/>
                </a:cxn>
                <a:cxn ang="0">
                  <a:pos x="140" y="27"/>
                </a:cxn>
                <a:cxn ang="0">
                  <a:pos x="150" y="20"/>
                </a:cxn>
                <a:cxn ang="0">
                  <a:pos x="160" y="10"/>
                </a:cxn>
                <a:cxn ang="0">
                  <a:pos x="170" y="5"/>
                </a:cxn>
                <a:cxn ang="0">
                  <a:pos x="207" y="5"/>
                </a:cxn>
                <a:cxn ang="0">
                  <a:pos x="245" y="20"/>
                </a:cxn>
                <a:cxn ang="0">
                  <a:pos x="277" y="55"/>
                </a:cxn>
                <a:cxn ang="0">
                  <a:pos x="290" y="85"/>
                </a:cxn>
                <a:cxn ang="0">
                  <a:pos x="262" y="90"/>
                </a:cxn>
                <a:cxn ang="0">
                  <a:pos x="225" y="102"/>
                </a:cxn>
                <a:cxn ang="0">
                  <a:pos x="187" y="135"/>
                </a:cxn>
                <a:cxn ang="0">
                  <a:pos x="165" y="220"/>
                </a:cxn>
                <a:cxn ang="0">
                  <a:pos x="182" y="160"/>
                </a:cxn>
                <a:cxn ang="0">
                  <a:pos x="220" y="117"/>
                </a:cxn>
                <a:cxn ang="0">
                  <a:pos x="267" y="92"/>
                </a:cxn>
                <a:cxn ang="0">
                  <a:pos x="295" y="92"/>
                </a:cxn>
                <a:cxn ang="0">
                  <a:pos x="305" y="112"/>
                </a:cxn>
                <a:cxn ang="0">
                  <a:pos x="332" y="197"/>
                </a:cxn>
                <a:cxn ang="0">
                  <a:pos x="352" y="262"/>
                </a:cxn>
                <a:cxn ang="0">
                  <a:pos x="365" y="322"/>
                </a:cxn>
                <a:cxn ang="0">
                  <a:pos x="392" y="387"/>
                </a:cxn>
                <a:cxn ang="0">
                  <a:pos x="422" y="450"/>
                </a:cxn>
                <a:cxn ang="0">
                  <a:pos x="425" y="452"/>
                </a:cxn>
                <a:cxn ang="0">
                  <a:pos x="467" y="510"/>
                </a:cxn>
                <a:cxn ang="0">
                  <a:pos x="525" y="565"/>
                </a:cxn>
                <a:cxn ang="0">
                  <a:pos x="600" y="617"/>
                </a:cxn>
                <a:cxn ang="0">
                  <a:pos x="530" y="565"/>
                </a:cxn>
                <a:cxn ang="0">
                  <a:pos x="472" y="505"/>
                </a:cxn>
                <a:cxn ang="0">
                  <a:pos x="435" y="450"/>
                </a:cxn>
                <a:cxn ang="0">
                  <a:pos x="430" y="450"/>
                </a:cxn>
                <a:cxn ang="0">
                  <a:pos x="402" y="382"/>
                </a:cxn>
                <a:cxn ang="0">
                  <a:pos x="385" y="322"/>
                </a:cxn>
                <a:cxn ang="0">
                  <a:pos x="365" y="257"/>
                </a:cxn>
                <a:cxn ang="0">
                  <a:pos x="355" y="197"/>
                </a:cxn>
                <a:cxn ang="0">
                  <a:pos x="332" y="127"/>
                </a:cxn>
                <a:cxn ang="0">
                  <a:pos x="315" y="90"/>
                </a:cxn>
                <a:cxn ang="0">
                  <a:pos x="305" y="75"/>
                </a:cxn>
                <a:cxn ang="0">
                  <a:pos x="277" y="32"/>
                </a:cxn>
                <a:cxn ang="0">
                  <a:pos x="245" y="10"/>
                </a:cxn>
                <a:cxn ang="0">
                  <a:pos x="207" y="0"/>
                </a:cxn>
                <a:cxn ang="0">
                  <a:pos x="172" y="0"/>
                </a:cxn>
                <a:cxn ang="0">
                  <a:pos x="160" y="5"/>
                </a:cxn>
                <a:cxn ang="0">
                  <a:pos x="150" y="15"/>
                </a:cxn>
                <a:cxn ang="0">
                  <a:pos x="140" y="22"/>
                </a:cxn>
                <a:cxn ang="0">
                  <a:pos x="137" y="37"/>
                </a:cxn>
              </a:cxnLst>
              <a:rect l="0" t="0" r="r" b="b"/>
              <a:pathLst>
                <a:path w="2385" h="715">
                  <a:moveTo>
                    <a:pt x="137" y="37"/>
                  </a:moveTo>
                  <a:lnTo>
                    <a:pt x="132" y="55"/>
                  </a:lnTo>
                  <a:lnTo>
                    <a:pt x="137" y="75"/>
                  </a:lnTo>
                  <a:lnTo>
                    <a:pt x="140" y="80"/>
                  </a:lnTo>
                  <a:lnTo>
                    <a:pt x="140" y="70"/>
                  </a:lnTo>
                  <a:lnTo>
                    <a:pt x="137" y="55"/>
                  </a:lnTo>
                  <a:lnTo>
                    <a:pt x="137" y="42"/>
                  </a:lnTo>
                  <a:lnTo>
                    <a:pt x="140" y="27"/>
                  </a:lnTo>
                  <a:lnTo>
                    <a:pt x="150" y="20"/>
                  </a:lnTo>
                  <a:lnTo>
                    <a:pt x="160" y="10"/>
                  </a:lnTo>
                  <a:lnTo>
                    <a:pt x="170" y="5"/>
                  </a:lnTo>
                  <a:lnTo>
                    <a:pt x="207" y="5"/>
                  </a:lnTo>
                  <a:lnTo>
                    <a:pt x="245" y="20"/>
                  </a:lnTo>
                  <a:lnTo>
                    <a:pt x="277" y="55"/>
                  </a:lnTo>
                  <a:lnTo>
                    <a:pt x="290" y="85"/>
                  </a:lnTo>
                  <a:lnTo>
                    <a:pt x="262" y="90"/>
                  </a:lnTo>
                  <a:lnTo>
                    <a:pt x="225" y="102"/>
                  </a:lnTo>
                  <a:lnTo>
                    <a:pt x="187" y="135"/>
                  </a:lnTo>
                  <a:lnTo>
                    <a:pt x="165" y="220"/>
                  </a:lnTo>
                  <a:lnTo>
                    <a:pt x="182" y="160"/>
                  </a:lnTo>
                  <a:lnTo>
                    <a:pt x="220" y="117"/>
                  </a:lnTo>
                  <a:lnTo>
                    <a:pt x="267" y="92"/>
                  </a:lnTo>
                  <a:lnTo>
                    <a:pt x="295" y="92"/>
                  </a:lnTo>
                  <a:lnTo>
                    <a:pt x="305" y="112"/>
                  </a:lnTo>
                  <a:lnTo>
                    <a:pt x="332" y="197"/>
                  </a:lnTo>
                  <a:lnTo>
                    <a:pt x="352" y="262"/>
                  </a:lnTo>
                  <a:lnTo>
                    <a:pt x="365" y="322"/>
                  </a:lnTo>
                  <a:lnTo>
                    <a:pt x="392" y="387"/>
                  </a:lnTo>
                  <a:lnTo>
                    <a:pt x="422" y="450"/>
                  </a:lnTo>
                  <a:lnTo>
                    <a:pt x="425" y="452"/>
                  </a:lnTo>
                  <a:lnTo>
                    <a:pt x="467" y="510"/>
                  </a:lnTo>
                  <a:lnTo>
                    <a:pt x="525" y="565"/>
                  </a:lnTo>
                  <a:lnTo>
                    <a:pt x="600" y="617"/>
                  </a:lnTo>
                  <a:lnTo>
                    <a:pt x="530" y="565"/>
                  </a:lnTo>
                  <a:lnTo>
                    <a:pt x="472" y="505"/>
                  </a:lnTo>
                  <a:lnTo>
                    <a:pt x="435" y="450"/>
                  </a:lnTo>
                  <a:lnTo>
                    <a:pt x="430" y="450"/>
                  </a:lnTo>
                  <a:lnTo>
                    <a:pt x="402" y="382"/>
                  </a:lnTo>
                  <a:lnTo>
                    <a:pt x="385" y="322"/>
                  </a:lnTo>
                  <a:lnTo>
                    <a:pt x="365" y="257"/>
                  </a:lnTo>
                  <a:lnTo>
                    <a:pt x="355" y="197"/>
                  </a:lnTo>
                  <a:lnTo>
                    <a:pt x="332" y="127"/>
                  </a:lnTo>
                  <a:lnTo>
                    <a:pt x="315" y="90"/>
                  </a:lnTo>
                  <a:lnTo>
                    <a:pt x="305" y="75"/>
                  </a:lnTo>
                  <a:lnTo>
                    <a:pt x="277" y="32"/>
                  </a:lnTo>
                  <a:lnTo>
                    <a:pt x="245" y="10"/>
                  </a:lnTo>
                  <a:lnTo>
                    <a:pt x="207" y="0"/>
                  </a:lnTo>
                  <a:lnTo>
                    <a:pt x="172" y="0"/>
                  </a:lnTo>
                  <a:lnTo>
                    <a:pt x="160" y="5"/>
                  </a:lnTo>
                  <a:lnTo>
                    <a:pt x="150" y="15"/>
                  </a:lnTo>
                  <a:lnTo>
                    <a:pt x="140" y="22"/>
                  </a:lnTo>
                  <a:lnTo>
                    <a:pt x="137" y="3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271" name="Group 79"/>
          <xdr:cNvGrpSpPr>
            <a:grpSpLocks/>
          </xdr:cNvGrpSpPr>
        </xdr:nvGrpSpPr>
        <xdr:grpSpPr bwMode="auto">
          <a:xfrm>
            <a:off x="11633" y="11332"/>
            <a:ext cx="2382" cy="640"/>
            <a:chOff x="11633" y="11332"/>
            <a:chExt cx="2382" cy="640"/>
          </a:xfrm>
        </xdr:grpSpPr>
        <xdr:sp macro="" textlink="">
          <xdr:nvSpPr>
            <xdr:cNvPr id="8278" name="Freeform 86"/>
            <xdr:cNvSpPr>
              <a:spLocks/>
            </xdr:cNvSpPr>
          </xdr:nvSpPr>
          <xdr:spPr bwMode="auto">
            <a:xfrm>
              <a:off x="11633" y="11332"/>
              <a:ext cx="2382" cy="640"/>
            </a:xfrm>
            <a:custGeom>
              <a:avLst/>
              <a:gdLst/>
              <a:ahLst/>
              <a:cxnLst>
                <a:cxn ang="0">
                  <a:pos x="2222" y="247"/>
                </a:cxn>
                <a:cxn ang="0">
                  <a:pos x="2147" y="284"/>
                </a:cxn>
                <a:cxn ang="0">
                  <a:pos x="2037" y="399"/>
                </a:cxn>
                <a:cxn ang="0">
                  <a:pos x="2069" y="392"/>
                </a:cxn>
                <a:cxn ang="0">
                  <a:pos x="2162" y="292"/>
                </a:cxn>
                <a:cxn ang="0">
                  <a:pos x="2222" y="259"/>
                </a:cxn>
                <a:cxn ang="0">
                  <a:pos x="2182" y="372"/>
                </a:cxn>
                <a:cxn ang="0">
                  <a:pos x="2082" y="437"/>
                </a:cxn>
                <a:cxn ang="0">
                  <a:pos x="2074" y="452"/>
                </a:cxn>
                <a:cxn ang="0">
                  <a:pos x="2167" y="414"/>
                </a:cxn>
                <a:cxn ang="0">
                  <a:pos x="2232" y="334"/>
                </a:cxn>
                <a:cxn ang="0">
                  <a:pos x="2242" y="254"/>
                </a:cxn>
                <a:cxn ang="0">
                  <a:pos x="2312" y="249"/>
                </a:cxn>
                <a:cxn ang="0">
                  <a:pos x="2312" y="247"/>
                </a:cxn>
                <a:cxn ang="0">
                  <a:pos x="2242" y="247"/>
                </a:cxn>
                <a:cxn ang="0">
                  <a:pos x="2214" y="162"/>
                </a:cxn>
                <a:cxn ang="0">
                  <a:pos x="2144" y="107"/>
                </a:cxn>
                <a:cxn ang="0">
                  <a:pos x="2134" y="69"/>
                </a:cxn>
                <a:cxn ang="0">
                  <a:pos x="2214" y="32"/>
                </a:cxn>
                <a:cxn ang="0">
                  <a:pos x="2254" y="39"/>
                </a:cxn>
                <a:cxn ang="0">
                  <a:pos x="2274" y="77"/>
                </a:cxn>
                <a:cxn ang="0">
                  <a:pos x="2279" y="72"/>
                </a:cxn>
                <a:cxn ang="0">
                  <a:pos x="2242" y="32"/>
                </a:cxn>
                <a:cxn ang="0">
                  <a:pos x="2167" y="34"/>
                </a:cxn>
                <a:cxn ang="0">
                  <a:pos x="2097" y="97"/>
                </a:cxn>
                <a:cxn ang="0">
                  <a:pos x="2044" y="107"/>
                </a:cxn>
                <a:cxn ang="0">
                  <a:pos x="1999" y="162"/>
                </a:cxn>
                <a:cxn ang="0">
                  <a:pos x="1994" y="209"/>
                </a:cxn>
                <a:cxn ang="0">
                  <a:pos x="1999" y="204"/>
                </a:cxn>
                <a:cxn ang="0">
                  <a:pos x="2022" y="134"/>
                </a:cxn>
                <a:cxn ang="0">
                  <a:pos x="2092" y="102"/>
                </a:cxn>
                <a:cxn ang="0">
                  <a:pos x="2039" y="199"/>
                </a:cxn>
                <a:cxn ang="0">
                  <a:pos x="1994" y="322"/>
                </a:cxn>
                <a:cxn ang="0">
                  <a:pos x="1929" y="437"/>
                </a:cxn>
                <a:cxn ang="0">
                  <a:pos x="1897" y="432"/>
                </a:cxn>
                <a:cxn ang="0">
                  <a:pos x="1882" y="494"/>
                </a:cxn>
                <a:cxn ang="0">
                  <a:pos x="1737" y="582"/>
                </a:cxn>
                <a:cxn ang="0">
                  <a:pos x="1737" y="587"/>
                </a:cxn>
                <a:cxn ang="0">
                  <a:pos x="1887" y="499"/>
                </a:cxn>
                <a:cxn ang="0">
                  <a:pos x="1974" y="387"/>
                </a:cxn>
                <a:cxn ang="0">
                  <a:pos x="2037" y="264"/>
                </a:cxn>
                <a:cxn ang="0">
                  <a:pos x="2097" y="124"/>
                </a:cxn>
                <a:cxn ang="0">
                  <a:pos x="2139" y="109"/>
                </a:cxn>
                <a:cxn ang="0">
                  <a:pos x="2204" y="167"/>
                </a:cxn>
              </a:cxnLst>
              <a:rect l="0" t="0" r="r" b="b"/>
              <a:pathLst>
                <a:path w="2382" h="640">
                  <a:moveTo>
                    <a:pt x="2217" y="209"/>
                  </a:moveTo>
                  <a:lnTo>
                    <a:pt x="2222" y="247"/>
                  </a:lnTo>
                  <a:lnTo>
                    <a:pt x="2209" y="249"/>
                  </a:lnTo>
                  <a:lnTo>
                    <a:pt x="2147" y="284"/>
                  </a:lnTo>
                  <a:lnTo>
                    <a:pt x="2082" y="344"/>
                  </a:lnTo>
                  <a:lnTo>
                    <a:pt x="2037" y="399"/>
                  </a:lnTo>
                  <a:lnTo>
                    <a:pt x="2017" y="442"/>
                  </a:lnTo>
                  <a:lnTo>
                    <a:pt x="2069" y="392"/>
                  </a:lnTo>
                  <a:lnTo>
                    <a:pt x="2107" y="349"/>
                  </a:lnTo>
                  <a:lnTo>
                    <a:pt x="2162" y="292"/>
                  </a:lnTo>
                  <a:lnTo>
                    <a:pt x="2217" y="259"/>
                  </a:lnTo>
                  <a:lnTo>
                    <a:pt x="2222" y="259"/>
                  </a:lnTo>
                  <a:lnTo>
                    <a:pt x="2209" y="317"/>
                  </a:lnTo>
                  <a:lnTo>
                    <a:pt x="2182" y="372"/>
                  </a:lnTo>
                  <a:lnTo>
                    <a:pt x="2139" y="414"/>
                  </a:lnTo>
                  <a:lnTo>
                    <a:pt x="2082" y="437"/>
                  </a:lnTo>
                  <a:lnTo>
                    <a:pt x="2022" y="452"/>
                  </a:lnTo>
                  <a:lnTo>
                    <a:pt x="2074" y="452"/>
                  </a:lnTo>
                  <a:lnTo>
                    <a:pt x="2124" y="437"/>
                  </a:lnTo>
                  <a:lnTo>
                    <a:pt x="2167" y="414"/>
                  </a:lnTo>
                  <a:lnTo>
                    <a:pt x="2204" y="377"/>
                  </a:lnTo>
                  <a:lnTo>
                    <a:pt x="2232" y="334"/>
                  </a:lnTo>
                  <a:lnTo>
                    <a:pt x="2242" y="269"/>
                  </a:lnTo>
                  <a:lnTo>
                    <a:pt x="2242" y="254"/>
                  </a:lnTo>
                  <a:lnTo>
                    <a:pt x="2264" y="247"/>
                  </a:lnTo>
                  <a:lnTo>
                    <a:pt x="2312" y="249"/>
                  </a:lnTo>
                  <a:lnTo>
                    <a:pt x="2349" y="259"/>
                  </a:lnTo>
                  <a:lnTo>
                    <a:pt x="2312" y="247"/>
                  </a:lnTo>
                  <a:lnTo>
                    <a:pt x="2264" y="242"/>
                  </a:lnTo>
                  <a:lnTo>
                    <a:pt x="2242" y="247"/>
                  </a:lnTo>
                  <a:lnTo>
                    <a:pt x="2237" y="209"/>
                  </a:lnTo>
                  <a:lnTo>
                    <a:pt x="2214" y="162"/>
                  </a:lnTo>
                  <a:lnTo>
                    <a:pt x="2182" y="129"/>
                  </a:lnTo>
                  <a:lnTo>
                    <a:pt x="2144" y="107"/>
                  </a:lnTo>
                  <a:lnTo>
                    <a:pt x="2114" y="97"/>
                  </a:lnTo>
                  <a:lnTo>
                    <a:pt x="2134" y="69"/>
                  </a:lnTo>
                  <a:lnTo>
                    <a:pt x="2172" y="39"/>
                  </a:lnTo>
                  <a:lnTo>
                    <a:pt x="2214" y="32"/>
                  </a:lnTo>
                  <a:lnTo>
                    <a:pt x="2232" y="32"/>
                  </a:lnTo>
                  <a:lnTo>
                    <a:pt x="2254" y="39"/>
                  </a:lnTo>
                  <a:lnTo>
                    <a:pt x="2269" y="54"/>
                  </a:lnTo>
                  <a:lnTo>
                    <a:pt x="2274" y="77"/>
                  </a:lnTo>
                  <a:lnTo>
                    <a:pt x="2269" y="107"/>
                  </a:lnTo>
                  <a:lnTo>
                    <a:pt x="2279" y="72"/>
                  </a:lnTo>
                  <a:lnTo>
                    <a:pt x="2264" y="44"/>
                  </a:lnTo>
                  <a:lnTo>
                    <a:pt x="2242" y="32"/>
                  </a:lnTo>
                  <a:lnTo>
                    <a:pt x="2214" y="27"/>
                  </a:lnTo>
                  <a:lnTo>
                    <a:pt x="2167" y="34"/>
                  </a:lnTo>
                  <a:lnTo>
                    <a:pt x="2119" y="64"/>
                  </a:lnTo>
                  <a:lnTo>
                    <a:pt x="2097" y="97"/>
                  </a:lnTo>
                  <a:lnTo>
                    <a:pt x="2077" y="97"/>
                  </a:lnTo>
                  <a:lnTo>
                    <a:pt x="2044" y="107"/>
                  </a:lnTo>
                  <a:lnTo>
                    <a:pt x="2017" y="129"/>
                  </a:lnTo>
                  <a:lnTo>
                    <a:pt x="1999" y="162"/>
                  </a:lnTo>
                  <a:lnTo>
                    <a:pt x="1994" y="204"/>
                  </a:lnTo>
                  <a:lnTo>
                    <a:pt x="1994" y="209"/>
                  </a:lnTo>
                  <a:lnTo>
                    <a:pt x="1999" y="209"/>
                  </a:lnTo>
                  <a:lnTo>
                    <a:pt x="1999" y="204"/>
                  </a:lnTo>
                  <a:lnTo>
                    <a:pt x="2002" y="167"/>
                  </a:lnTo>
                  <a:lnTo>
                    <a:pt x="2022" y="134"/>
                  </a:lnTo>
                  <a:lnTo>
                    <a:pt x="2049" y="109"/>
                  </a:lnTo>
                  <a:lnTo>
                    <a:pt x="2092" y="102"/>
                  </a:lnTo>
                  <a:lnTo>
                    <a:pt x="2077" y="119"/>
                  </a:lnTo>
                  <a:lnTo>
                    <a:pt x="2039" y="199"/>
                  </a:lnTo>
                  <a:lnTo>
                    <a:pt x="2017" y="259"/>
                  </a:lnTo>
                  <a:lnTo>
                    <a:pt x="1994" y="322"/>
                  </a:lnTo>
                  <a:lnTo>
                    <a:pt x="1967" y="382"/>
                  </a:lnTo>
                  <a:lnTo>
                    <a:pt x="1929" y="437"/>
                  </a:lnTo>
                  <a:lnTo>
                    <a:pt x="1929" y="442"/>
                  </a:lnTo>
                  <a:lnTo>
                    <a:pt x="1897" y="432"/>
                  </a:lnTo>
                  <a:lnTo>
                    <a:pt x="1924" y="442"/>
                  </a:lnTo>
                  <a:lnTo>
                    <a:pt x="1882" y="494"/>
                  </a:lnTo>
                  <a:lnTo>
                    <a:pt x="1817" y="539"/>
                  </a:lnTo>
                  <a:lnTo>
                    <a:pt x="1737" y="582"/>
                  </a:lnTo>
                  <a:lnTo>
                    <a:pt x="1639" y="614"/>
                  </a:lnTo>
                  <a:lnTo>
                    <a:pt x="1737" y="587"/>
                  </a:lnTo>
                  <a:lnTo>
                    <a:pt x="1822" y="544"/>
                  </a:lnTo>
                  <a:lnTo>
                    <a:pt x="1887" y="499"/>
                  </a:lnTo>
                  <a:lnTo>
                    <a:pt x="1937" y="442"/>
                  </a:lnTo>
                  <a:lnTo>
                    <a:pt x="1974" y="387"/>
                  </a:lnTo>
                  <a:lnTo>
                    <a:pt x="2007" y="324"/>
                  </a:lnTo>
                  <a:lnTo>
                    <a:pt x="2037" y="264"/>
                  </a:lnTo>
                  <a:lnTo>
                    <a:pt x="2059" y="204"/>
                  </a:lnTo>
                  <a:lnTo>
                    <a:pt x="2097" y="124"/>
                  </a:lnTo>
                  <a:lnTo>
                    <a:pt x="2109" y="107"/>
                  </a:lnTo>
                  <a:lnTo>
                    <a:pt x="2139" y="109"/>
                  </a:lnTo>
                  <a:lnTo>
                    <a:pt x="2177" y="134"/>
                  </a:lnTo>
                  <a:lnTo>
                    <a:pt x="2204" y="167"/>
                  </a:lnTo>
                  <a:lnTo>
                    <a:pt x="2217" y="209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77" name="Freeform 85"/>
            <xdr:cNvSpPr>
              <a:spLocks/>
            </xdr:cNvSpPr>
          </xdr:nvSpPr>
          <xdr:spPr bwMode="auto">
            <a:xfrm>
              <a:off x="11633" y="11332"/>
              <a:ext cx="2382" cy="640"/>
            </a:xfrm>
            <a:custGeom>
              <a:avLst/>
              <a:gdLst/>
              <a:ahLst/>
              <a:cxnLst>
                <a:cxn ang="0">
                  <a:pos x="1559" y="134"/>
                </a:cxn>
                <a:cxn ang="0">
                  <a:pos x="1544" y="142"/>
                </a:cxn>
                <a:cxn ang="0">
                  <a:pos x="1539" y="139"/>
                </a:cxn>
                <a:cxn ang="0">
                  <a:pos x="1544" y="69"/>
                </a:cxn>
                <a:cxn ang="0">
                  <a:pos x="1527" y="107"/>
                </a:cxn>
                <a:cxn ang="0">
                  <a:pos x="1527" y="142"/>
                </a:cxn>
                <a:cxn ang="0">
                  <a:pos x="1537" y="162"/>
                </a:cxn>
                <a:cxn ang="0">
                  <a:pos x="1549" y="157"/>
                </a:cxn>
                <a:cxn ang="0">
                  <a:pos x="1559" y="134"/>
                </a:cxn>
              </a:cxnLst>
              <a:rect l="0" t="0" r="r" b="b"/>
              <a:pathLst>
                <a:path w="2382" h="640">
                  <a:moveTo>
                    <a:pt x="1559" y="134"/>
                  </a:moveTo>
                  <a:lnTo>
                    <a:pt x="1544" y="142"/>
                  </a:lnTo>
                  <a:lnTo>
                    <a:pt x="1539" y="139"/>
                  </a:lnTo>
                  <a:lnTo>
                    <a:pt x="1544" y="69"/>
                  </a:lnTo>
                  <a:lnTo>
                    <a:pt x="1527" y="107"/>
                  </a:lnTo>
                  <a:lnTo>
                    <a:pt x="1527" y="142"/>
                  </a:lnTo>
                  <a:lnTo>
                    <a:pt x="1537" y="162"/>
                  </a:lnTo>
                  <a:lnTo>
                    <a:pt x="1549" y="157"/>
                  </a:lnTo>
                  <a:lnTo>
                    <a:pt x="1559" y="13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76" name="Freeform 84"/>
            <xdr:cNvSpPr>
              <a:spLocks/>
            </xdr:cNvSpPr>
          </xdr:nvSpPr>
          <xdr:spPr bwMode="auto">
            <a:xfrm>
              <a:off x="11633" y="11332"/>
              <a:ext cx="2382" cy="640"/>
            </a:xfrm>
            <a:custGeom>
              <a:avLst/>
              <a:gdLst/>
              <a:ahLst/>
              <a:cxnLst>
                <a:cxn ang="0">
                  <a:pos x="324" y="92"/>
                </a:cxn>
                <a:cxn ang="0">
                  <a:pos x="564" y="139"/>
                </a:cxn>
                <a:cxn ang="0">
                  <a:pos x="779" y="242"/>
                </a:cxn>
                <a:cxn ang="0">
                  <a:pos x="974" y="367"/>
                </a:cxn>
                <a:cxn ang="0">
                  <a:pos x="1162" y="489"/>
                </a:cxn>
                <a:cxn ang="0">
                  <a:pos x="1349" y="577"/>
                </a:cxn>
                <a:cxn ang="0">
                  <a:pos x="1544" y="609"/>
                </a:cxn>
                <a:cxn ang="0">
                  <a:pos x="1732" y="564"/>
                </a:cxn>
                <a:cxn ang="0">
                  <a:pos x="1854" y="464"/>
                </a:cxn>
                <a:cxn ang="0">
                  <a:pos x="1919" y="344"/>
                </a:cxn>
                <a:cxn ang="0">
                  <a:pos x="1924" y="204"/>
                </a:cxn>
                <a:cxn ang="0">
                  <a:pos x="1862" y="77"/>
                </a:cxn>
                <a:cxn ang="0">
                  <a:pos x="1752" y="7"/>
                </a:cxn>
                <a:cxn ang="0">
                  <a:pos x="1624" y="12"/>
                </a:cxn>
                <a:cxn ang="0">
                  <a:pos x="1569" y="44"/>
                </a:cxn>
                <a:cxn ang="0">
                  <a:pos x="1537" y="2"/>
                </a:cxn>
                <a:cxn ang="0">
                  <a:pos x="1564" y="49"/>
                </a:cxn>
                <a:cxn ang="0">
                  <a:pos x="1539" y="139"/>
                </a:cxn>
                <a:cxn ang="0">
                  <a:pos x="1569" y="59"/>
                </a:cxn>
                <a:cxn ang="0">
                  <a:pos x="1569" y="109"/>
                </a:cxn>
                <a:cxn ang="0">
                  <a:pos x="1549" y="157"/>
                </a:cxn>
                <a:cxn ang="0">
                  <a:pos x="1574" y="109"/>
                </a:cxn>
                <a:cxn ang="0">
                  <a:pos x="1574" y="54"/>
                </a:cxn>
                <a:cxn ang="0">
                  <a:pos x="1682" y="7"/>
                </a:cxn>
                <a:cxn ang="0">
                  <a:pos x="1812" y="44"/>
                </a:cxn>
                <a:cxn ang="0">
                  <a:pos x="1897" y="142"/>
                </a:cxn>
                <a:cxn ang="0">
                  <a:pos x="1919" y="279"/>
                </a:cxn>
                <a:cxn ang="0">
                  <a:pos x="1887" y="399"/>
                </a:cxn>
                <a:cxn ang="0">
                  <a:pos x="1797" y="507"/>
                </a:cxn>
                <a:cxn ang="0">
                  <a:pos x="1647" y="582"/>
                </a:cxn>
                <a:cxn ang="0">
                  <a:pos x="1469" y="592"/>
                </a:cxn>
                <a:cxn ang="0">
                  <a:pos x="1302" y="537"/>
                </a:cxn>
                <a:cxn ang="0">
                  <a:pos x="1139" y="437"/>
                </a:cxn>
                <a:cxn ang="0">
                  <a:pos x="967" y="317"/>
                </a:cxn>
                <a:cxn ang="0">
                  <a:pos x="779" y="204"/>
                </a:cxn>
                <a:cxn ang="0">
                  <a:pos x="569" y="114"/>
                </a:cxn>
                <a:cxn ang="0">
                  <a:pos x="324" y="82"/>
                </a:cxn>
              </a:cxnLst>
              <a:rect l="0" t="0" r="r" b="b"/>
              <a:pathLst>
                <a:path w="2382" h="640">
                  <a:moveTo>
                    <a:pt x="189" y="97"/>
                  </a:moveTo>
                  <a:lnTo>
                    <a:pt x="324" y="92"/>
                  </a:lnTo>
                  <a:lnTo>
                    <a:pt x="447" y="107"/>
                  </a:lnTo>
                  <a:lnTo>
                    <a:pt x="564" y="139"/>
                  </a:lnTo>
                  <a:lnTo>
                    <a:pt x="677" y="184"/>
                  </a:lnTo>
                  <a:lnTo>
                    <a:pt x="779" y="242"/>
                  </a:lnTo>
                  <a:lnTo>
                    <a:pt x="877" y="302"/>
                  </a:lnTo>
                  <a:lnTo>
                    <a:pt x="974" y="367"/>
                  </a:lnTo>
                  <a:lnTo>
                    <a:pt x="1069" y="429"/>
                  </a:lnTo>
                  <a:lnTo>
                    <a:pt x="1162" y="489"/>
                  </a:lnTo>
                  <a:lnTo>
                    <a:pt x="1254" y="539"/>
                  </a:lnTo>
                  <a:lnTo>
                    <a:pt x="1349" y="577"/>
                  </a:lnTo>
                  <a:lnTo>
                    <a:pt x="1442" y="607"/>
                  </a:lnTo>
                  <a:lnTo>
                    <a:pt x="1544" y="609"/>
                  </a:lnTo>
                  <a:lnTo>
                    <a:pt x="1652" y="592"/>
                  </a:lnTo>
                  <a:lnTo>
                    <a:pt x="1732" y="564"/>
                  </a:lnTo>
                  <a:lnTo>
                    <a:pt x="1797" y="517"/>
                  </a:lnTo>
                  <a:lnTo>
                    <a:pt x="1854" y="464"/>
                  </a:lnTo>
                  <a:lnTo>
                    <a:pt x="1897" y="404"/>
                  </a:lnTo>
                  <a:lnTo>
                    <a:pt x="1919" y="344"/>
                  </a:lnTo>
                  <a:lnTo>
                    <a:pt x="1932" y="274"/>
                  </a:lnTo>
                  <a:lnTo>
                    <a:pt x="1924" y="204"/>
                  </a:lnTo>
                  <a:lnTo>
                    <a:pt x="1899" y="134"/>
                  </a:lnTo>
                  <a:lnTo>
                    <a:pt x="1862" y="77"/>
                  </a:lnTo>
                  <a:lnTo>
                    <a:pt x="1812" y="32"/>
                  </a:lnTo>
                  <a:lnTo>
                    <a:pt x="1752" y="7"/>
                  </a:lnTo>
                  <a:lnTo>
                    <a:pt x="1677" y="0"/>
                  </a:lnTo>
                  <a:lnTo>
                    <a:pt x="1624" y="12"/>
                  </a:lnTo>
                  <a:lnTo>
                    <a:pt x="1577" y="34"/>
                  </a:lnTo>
                  <a:lnTo>
                    <a:pt x="1569" y="44"/>
                  </a:lnTo>
                  <a:lnTo>
                    <a:pt x="1564" y="34"/>
                  </a:lnTo>
                  <a:lnTo>
                    <a:pt x="1537" y="2"/>
                  </a:lnTo>
                  <a:lnTo>
                    <a:pt x="1564" y="39"/>
                  </a:lnTo>
                  <a:lnTo>
                    <a:pt x="1564" y="49"/>
                  </a:lnTo>
                  <a:lnTo>
                    <a:pt x="1544" y="69"/>
                  </a:lnTo>
                  <a:lnTo>
                    <a:pt x="1539" y="139"/>
                  </a:lnTo>
                  <a:lnTo>
                    <a:pt x="1544" y="92"/>
                  </a:lnTo>
                  <a:lnTo>
                    <a:pt x="1569" y="59"/>
                  </a:lnTo>
                  <a:lnTo>
                    <a:pt x="1574" y="77"/>
                  </a:lnTo>
                  <a:lnTo>
                    <a:pt x="1569" y="109"/>
                  </a:lnTo>
                  <a:lnTo>
                    <a:pt x="1559" y="134"/>
                  </a:lnTo>
                  <a:lnTo>
                    <a:pt x="1549" y="157"/>
                  </a:lnTo>
                  <a:lnTo>
                    <a:pt x="1564" y="139"/>
                  </a:lnTo>
                  <a:lnTo>
                    <a:pt x="1574" y="109"/>
                  </a:lnTo>
                  <a:lnTo>
                    <a:pt x="1577" y="72"/>
                  </a:lnTo>
                  <a:lnTo>
                    <a:pt x="1574" y="54"/>
                  </a:lnTo>
                  <a:lnTo>
                    <a:pt x="1619" y="22"/>
                  </a:lnTo>
                  <a:lnTo>
                    <a:pt x="1682" y="7"/>
                  </a:lnTo>
                  <a:lnTo>
                    <a:pt x="1752" y="17"/>
                  </a:lnTo>
                  <a:lnTo>
                    <a:pt x="1812" y="44"/>
                  </a:lnTo>
                  <a:lnTo>
                    <a:pt x="1859" y="87"/>
                  </a:lnTo>
                  <a:lnTo>
                    <a:pt x="1897" y="142"/>
                  </a:lnTo>
                  <a:lnTo>
                    <a:pt x="1919" y="209"/>
                  </a:lnTo>
                  <a:lnTo>
                    <a:pt x="1919" y="279"/>
                  </a:lnTo>
                  <a:lnTo>
                    <a:pt x="1909" y="339"/>
                  </a:lnTo>
                  <a:lnTo>
                    <a:pt x="1887" y="399"/>
                  </a:lnTo>
                  <a:lnTo>
                    <a:pt x="1849" y="457"/>
                  </a:lnTo>
                  <a:lnTo>
                    <a:pt x="1797" y="507"/>
                  </a:lnTo>
                  <a:lnTo>
                    <a:pt x="1732" y="549"/>
                  </a:lnTo>
                  <a:lnTo>
                    <a:pt x="1647" y="582"/>
                  </a:lnTo>
                  <a:lnTo>
                    <a:pt x="1554" y="597"/>
                  </a:lnTo>
                  <a:lnTo>
                    <a:pt x="1469" y="592"/>
                  </a:lnTo>
                  <a:lnTo>
                    <a:pt x="1387" y="572"/>
                  </a:lnTo>
                  <a:lnTo>
                    <a:pt x="1302" y="537"/>
                  </a:lnTo>
                  <a:lnTo>
                    <a:pt x="1217" y="489"/>
                  </a:lnTo>
                  <a:lnTo>
                    <a:pt x="1139" y="437"/>
                  </a:lnTo>
                  <a:lnTo>
                    <a:pt x="1054" y="377"/>
                  </a:lnTo>
                  <a:lnTo>
                    <a:pt x="967" y="317"/>
                  </a:lnTo>
                  <a:lnTo>
                    <a:pt x="877" y="259"/>
                  </a:lnTo>
                  <a:lnTo>
                    <a:pt x="779" y="204"/>
                  </a:lnTo>
                  <a:lnTo>
                    <a:pt x="677" y="157"/>
                  </a:lnTo>
                  <a:lnTo>
                    <a:pt x="569" y="114"/>
                  </a:lnTo>
                  <a:lnTo>
                    <a:pt x="452" y="92"/>
                  </a:lnTo>
                  <a:lnTo>
                    <a:pt x="324" y="82"/>
                  </a:lnTo>
                  <a:lnTo>
                    <a:pt x="189" y="9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75" name="Freeform 83"/>
            <xdr:cNvSpPr>
              <a:spLocks/>
            </xdr:cNvSpPr>
          </xdr:nvSpPr>
          <xdr:spPr bwMode="auto">
            <a:xfrm>
              <a:off x="11633" y="11332"/>
              <a:ext cx="2382" cy="640"/>
            </a:xfrm>
            <a:custGeom>
              <a:avLst/>
              <a:gdLst/>
              <a:ahLst/>
              <a:cxnLst>
                <a:cxn ang="0">
                  <a:pos x="2381" y="279"/>
                </a:cxn>
                <a:cxn ang="0">
                  <a:pos x="2376" y="279"/>
                </a:cxn>
                <a:cxn ang="0">
                  <a:pos x="2381" y="284"/>
                </a:cxn>
                <a:cxn ang="0">
                  <a:pos x="2381" y="279"/>
                </a:cxn>
              </a:cxnLst>
              <a:rect l="0" t="0" r="r" b="b"/>
              <a:pathLst>
                <a:path w="2382" h="640">
                  <a:moveTo>
                    <a:pt x="2381" y="279"/>
                  </a:moveTo>
                  <a:lnTo>
                    <a:pt x="2376" y="279"/>
                  </a:lnTo>
                  <a:lnTo>
                    <a:pt x="2381" y="284"/>
                  </a:lnTo>
                  <a:lnTo>
                    <a:pt x="2381" y="279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74" name="Freeform 82"/>
            <xdr:cNvSpPr>
              <a:spLocks/>
            </xdr:cNvSpPr>
          </xdr:nvSpPr>
          <xdr:spPr bwMode="auto">
            <a:xfrm>
              <a:off x="11633" y="11332"/>
              <a:ext cx="2382" cy="640"/>
            </a:xfrm>
            <a:custGeom>
              <a:avLst/>
              <a:gdLst/>
              <a:ahLst/>
              <a:cxnLst>
                <a:cxn ang="0">
                  <a:pos x="2269" y="107"/>
                </a:cxn>
                <a:cxn ang="0">
                  <a:pos x="2264" y="114"/>
                </a:cxn>
                <a:cxn ang="0">
                  <a:pos x="2269" y="114"/>
                </a:cxn>
                <a:cxn ang="0">
                  <a:pos x="2269" y="107"/>
                </a:cxn>
              </a:cxnLst>
              <a:rect l="0" t="0" r="r" b="b"/>
              <a:pathLst>
                <a:path w="2382" h="640">
                  <a:moveTo>
                    <a:pt x="2269" y="107"/>
                  </a:moveTo>
                  <a:lnTo>
                    <a:pt x="2264" y="114"/>
                  </a:lnTo>
                  <a:lnTo>
                    <a:pt x="2269" y="114"/>
                  </a:lnTo>
                  <a:lnTo>
                    <a:pt x="2269" y="107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73" name="Freeform 81"/>
            <xdr:cNvSpPr>
              <a:spLocks/>
            </xdr:cNvSpPr>
          </xdr:nvSpPr>
          <xdr:spPr bwMode="auto">
            <a:xfrm>
              <a:off x="11633" y="11332"/>
              <a:ext cx="2382" cy="640"/>
            </a:xfrm>
            <a:custGeom>
              <a:avLst/>
              <a:gdLst/>
              <a:ahLst/>
              <a:cxnLst>
                <a:cxn ang="0">
                  <a:pos x="904" y="464"/>
                </a:cxn>
                <a:cxn ang="0">
                  <a:pos x="999" y="517"/>
                </a:cxn>
                <a:cxn ang="0">
                  <a:pos x="1102" y="569"/>
                </a:cxn>
                <a:cxn ang="0">
                  <a:pos x="1209" y="607"/>
                </a:cxn>
                <a:cxn ang="0">
                  <a:pos x="1324" y="629"/>
                </a:cxn>
                <a:cxn ang="0">
                  <a:pos x="1452" y="639"/>
                </a:cxn>
                <a:cxn ang="0">
                  <a:pos x="1587" y="624"/>
                </a:cxn>
                <a:cxn ang="0">
                  <a:pos x="1457" y="634"/>
                </a:cxn>
                <a:cxn ang="0">
                  <a:pos x="1329" y="614"/>
                </a:cxn>
                <a:cxn ang="0">
                  <a:pos x="1214" y="582"/>
                </a:cxn>
                <a:cxn ang="0">
                  <a:pos x="1107" y="537"/>
                </a:cxn>
                <a:cxn ang="0">
                  <a:pos x="1004" y="479"/>
                </a:cxn>
                <a:cxn ang="0">
                  <a:pos x="899" y="419"/>
                </a:cxn>
                <a:cxn ang="0">
                  <a:pos x="807" y="354"/>
                </a:cxn>
                <a:cxn ang="0">
                  <a:pos x="714" y="292"/>
                </a:cxn>
                <a:cxn ang="0">
                  <a:pos x="619" y="232"/>
                </a:cxn>
                <a:cxn ang="0">
                  <a:pos x="527" y="179"/>
                </a:cxn>
                <a:cxn ang="0">
                  <a:pos x="432" y="142"/>
                </a:cxn>
                <a:cxn ang="0">
                  <a:pos x="334" y="119"/>
                </a:cxn>
                <a:cxn ang="0">
                  <a:pos x="237" y="109"/>
                </a:cxn>
                <a:cxn ang="0">
                  <a:pos x="129" y="129"/>
                </a:cxn>
                <a:cxn ang="0">
                  <a:pos x="92" y="139"/>
                </a:cxn>
                <a:cxn ang="0">
                  <a:pos x="59" y="147"/>
                </a:cxn>
                <a:cxn ang="0">
                  <a:pos x="37" y="157"/>
                </a:cxn>
                <a:cxn ang="0">
                  <a:pos x="17" y="162"/>
                </a:cxn>
                <a:cxn ang="0">
                  <a:pos x="4" y="167"/>
                </a:cxn>
                <a:cxn ang="0">
                  <a:pos x="0" y="172"/>
                </a:cxn>
                <a:cxn ang="0">
                  <a:pos x="4" y="172"/>
                </a:cxn>
                <a:cxn ang="0">
                  <a:pos x="17" y="167"/>
                </a:cxn>
                <a:cxn ang="0">
                  <a:pos x="37" y="162"/>
                </a:cxn>
                <a:cxn ang="0">
                  <a:pos x="59" y="157"/>
                </a:cxn>
                <a:cxn ang="0">
                  <a:pos x="92" y="147"/>
                </a:cxn>
                <a:cxn ang="0">
                  <a:pos x="129" y="139"/>
                </a:cxn>
                <a:cxn ang="0">
                  <a:pos x="222" y="124"/>
                </a:cxn>
                <a:cxn ang="0">
                  <a:pos x="312" y="129"/>
                </a:cxn>
                <a:cxn ang="0">
                  <a:pos x="397" y="152"/>
                </a:cxn>
                <a:cxn ang="0">
                  <a:pos x="479" y="184"/>
                </a:cxn>
                <a:cxn ang="0">
                  <a:pos x="559" y="232"/>
                </a:cxn>
                <a:cxn ang="0">
                  <a:pos x="644" y="284"/>
                </a:cxn>
                <a:cxn ang="0">
                  <a:pos x="727" y="344"/>
                </a:cxn>
                <a:cxn ang="0">
                  <a:pos x="817" y="404"/>
                </a:cxn>
                <a:cxn ang="0">
                  <a:pos x="904" y="464"/>
                </a:cxn>
              </a:cxnLst>
              <a:rect l="0" t="0" r="r" b="b"/>
              <a:pathLst>
                <a:path w="2382" h="640">
                  <a:moveTo>
                    <a:pt x="904" y="464"/>
                  </a:moveTo>
                  <a:lnTo>
                    <a:pt x="999" y="517"/>
                  </a:lnTo>
                  <a:lnTo>
                    <a:pt x="1102" y="569"/>
                  </a:lnTo>
                  <a:lnTo>
                    <a:pt x="1209" y="607"/>
                  </a:lnTo>
                  <a:lnTo>
                    <a:pt x="1324" y="629"/>
                  </a:lnTo>
                  <a:lnTo>
                    <a:pt x="1452" y="639"/>
                  </a:lnTo>
                  <a:lnTo>
                    <a:pt x="1587" y="624"/>
                  </a:lnTo>
                  <a:lnTo>
                    <a:pt x="1457" y="634"/>
                  </a:lnTo>
                  <a:lnTo>
                    <a:pt x="1329" y="614"/>
                  </a:lnTo>
                  <a:lnTo>
                    <a:pt x="1214" y="582"/>
                  </a:lnTo>
                  <a:lnTo>
                    <a:pt x="1107" y="537"/>
                  </a:lnTo>
                  <a:lnTo>
                    <a:pt x="1004" y="479"/>
                  </a:lnTo>
                  <a:lnTo>
                    <a:pt x="899" y="419"/>
                  </a:lnTo>
                  <a:lnTo>
                    <a:pt x="807" y="354"/>
                  </a:lnTo>
                  <a:lnTo>
                    <a:pt x="714" y="292"/>
                  </a:lnTo>
                  <a:lnTo>
                    <a:pt x="619" y="232"/>
                  </a:lnTo>
                  <a:lnTo>
                    <a:pt x="527" y="179"/>
                  </a:lnTo>
                  <a:lnTo>
                    <a:pt x="432" y="142"/>
                  </a:lnTo>
                  <a:lnTo>
                    <a:pt x="334" y="119"/>
                  </a:lnTo>
                  <a:lnTo>
                    <a:pt x="237" y="109"/>
                  </a:lnTo>
                  <a:lnTo>
                    <a:pt x="129" y="129"/>
                  </a:lnTo>
                  <a:lnTo>
                    <a:pt x="92" y="139"/>
                  </a:lnTo>
                  <a:lnTo>
                    <a:pt x="59" y="147"/>
                  </a:lnTo>
                  <a:lnTo>
                    <a:pt x="37" y="157"/>
                  </a:lnTo>
                  <a:lnTo>
                    <a:pt x="17" y="162"/>
                  </a:lnTo>
                  <a:lnTo>
                    <a:pt x="4" y="167"/>
                  </a:lnTo>
                  <a:lnTo>
                    <a:pt x="0" y="172"/>
                  </a:lnTo>
                  <a:lnTo>
                    <a:pt x="4" y="172"/>
                  </a:lnTo>
                  <a:lnTo>
                    <a:pt x="17" y="167"/>
                  </a:lnTo>
                  <a:lnTo>
                    <a:pt x="37" y="162"/>
                  </a:lnTo>
                  <a:lnTo>
                    <a:pt x="59" y="157"/>
                  </a:lnTo>
                  <a:lnTo>
                    <a:pt x="92" y="147"/>
                  </a:lnTo>
                  <a:lnTo>
                    <a:pt x="129" y="139"/>
                  </a:lnTo>
                  <a:lnTo>
                    <a:pt x="222" y="124"/>
                  </a:lnTo>
                  <a:lnTo>
                    <a:pt x="312" y="129"/>
                  </a:lnTo>
                  <a:lnTo>
                    <a:pt x="397" y="152"/>
                  </a:lnTo>
                  <a:lnTo>
                    <a:pt x="479" y="184"/>
                  </a:lnTo>
                  <a:lnTo>
                    <a:pt x="559" y="232"/>
                  </a:lnTo>
                  <a:lnTo>
                    <a:pt x="644" y="284"/>
                  </a:lnTo>
                  <a:lnTo>
                    <a:pt x="727" y="344"/>
                  </a:lnTo>
                  <a:lnTo>
                    <a:pt x="817" y="404"/>
                  </a:lnTo>
                  <a:lnTo>
                    <a:pt x="904" y="464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72" name="Freeform 80"/>
            <xdr:cNvSpPr>
              <a:spLocks/>
            </xdr:cNvSpPr>
          </xdr:nvSpPr>
          <xdr:spPr bwMode="auto">
            <a:xfrm>
              <a:off x="11633" y="11332"/>
              <a:ext cx="2382" cy="640"/>
            </a:xfrm>
            <a:custGeom>
              <a:avLst/>
              <a:gdLst/>
              <a:ahLst/>
              <a:cxnLst>
                <a:cxn ang="0">
                  <a:pos x="1974" y="452"/>
                </a:cxn>
                <a:cxn ang="0">
                  <a:pos x="1989" y="452"/>
                </a:cxn>
                <a:cxn ang="0">
                  <a:pos x="1932" y="502"/>
                </a:cxn>
                <a:cxn ang="0">
                  <a:pos x="1867" y="544"/>
                </a:cxn>
                <a:cxn ang="0">
                  <a:pos x="1784" y="587"/>
                </a:cxn>
                <a:cxn ang="0">
                  <a:pos x="1882" y="544"/>
                </a:cxn>
                <a:cxn ang="0">
                  <a:pos x="1957" y="494"/>
                </a:cxn>
                <a:cxn ang="0">
                  <a:pos x="2007" y="452"/>
                </a:cxn>
                <a:cxn ang="0">
                  <a:pos x="2022" y="452"/>
                </a:cxn>
                <a:cxn ang="0">
                  <a:pos x="2082" y="437"/>
                </a:cxn>
                <a:cxn ang="0">
                  <a:pos x="2012" y="447"/>
                </a:cxn>
                <a:cxn ang="0">
                  <a:pos x="2017" y="442"/>
                </a:cxn>
                <a:cxn ang="0">
                  <a:pos x="2037" y="399"/>
                </a:cxn>
                <a:cxn ang="0">
                  <a:pos x="1994" y="447"/>
                </a:cxn>
                <a:cxn ang="0">
                  <a:pos x="1969" y="447"/>
                </a:cxn>
                <a:cxn ang="0">
                  <a:pos x="1937" y="442"/>
                </a:cxn>
                <a:cxn ang="0">
                  <a:pos x="1974" y="452"/>
                </a:cxn>
              </a:cxnLst>
              <a:rect l="0" t="0" r="r" b="b"/>
              <a:pathLst>
                <a:path w="2382" h="640">
                  <a:moveTo>
                    <a:pt x="1974" y="452"/>
                  </a:moveTo>
                  <a:lnTo>
                    <a:pt x="1989" y="452"/>
                  </a:lnTo>
                  <a:lnTo>
                    <a:pt x="1932" y="502"/>
                  </a:lnTo>
                  <a:lnTo>
                    <a:pt x="1867" y="544"/>
                  </a:lnTo>
                  <a:lnTo>
                    <a:pt x="1784" y="587"/>
                  </a:lnTo>
                  <a:lnTo>
                    <a:pt x="1882" y="544"/>
                  </a:lnTo>
                  <a:lnTo>
                    <a:pt x="1957" y="494"/>
                  </a:lnTo>
                  <a:lnTo>
                    <a:pt x="2007" y="452"/>
                  </a:lnTo>
                  <a:lnTo>
                    <a:pt x="2022" y="452"/>
                  </a:lnTo>
                  <a:lnTo>
                    <a:pt x="2082" y="437"/>
                  </a:lnTo>
                  <a:lnTo>
                    <a:pt x="2012" y="447"/>
                  </a:lnTo>
                  <a:lnTo>
                    <a:pt x="2017" y="442"/>
                  </a:lnTo>
                  <a:lnTo>
                    <a:pt x="2037" y="399"/>
                  </a:lnTo>
                  <a:lnTo>
                    <a:pt x="1994" y="447"/>
                  </a:lnTo>
                  <a:lnTo>
                    <a:pt x="1969" y="447"/>
                  </a:lnTo>
                  <a:lnTo>
                    <a:pt x="1937" y="442"/>
                  </a:lnTo>
                  <a:lnTo>
                    <a:pt x="1974" y="452"/>
                  </a:lnTo>
                  <a:close/>
                </a:path>
              </a:pathLst>
            </a:custGeom>
            <a:solidFill>
              <a:srgbClr val="322411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8210" name="Group 18"/>
          <xdr:cNvGrpSpPr>
            <a:grpSpLocks/>
          </xdr:cNvGrpSpPr>
        </xdr:nvGrpSpPr>
        <xdr:grpSpPr bwMode="auto">
          <a:xfrm>
            <a:off x="416" y="310"/>
            <a:ext cx="15066" cy="11591"/>
            <a:chOff x="416" y="310"/>
            <a:chExt cx="15066" cy="11591"/>
          </a:xfrm>
        </xdr:grpSpPr>
        <xdr:sp macro="" textlink="">
          <xdr:nvSpPr>
            <xdr:cNvPr id="8270" name="Freeform 78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5198" y="11010"/>
                </a:cxn>
                <a:cxn ang="0">
                  <a:pos x="5208" y="10992"/>
                </a:cxn>
                <a:cxn ang="0">
                  <a:pos x="5203" y="10987"/>
                </a:cxn>
                <a:cxn ang="0">
                  <a:pos x="5195" y="11005"/>
                </a:cxn>
                <a:cxn ang="0">
                  <a:pos x="5190" y="11042"/>
                </a:cxn>
                <a:cxn ang="0">
                  <a:pos x="5198" y="11075"/>
                </a:cxn>
                <a:cxn ang="0">
                  <a:pos x="5198" y="11010"/>
                </a:cxn>
              </a:cxnLst>
              <a:rect l="0" t="0" r="r" b="b"/>
              <a:pathLst>
                <a:path w="15066" h="11591">
                  <a:moveTo>
                    <a:pt x="5198" y="11010"/>
                  </a:moveTo>
                  <a:lnTo>
                    <a:pt x="5208" y="10992"/>
                  </a:lnTo>
                  <a:lnTo>
                    <a:pt x="5203" y="10987"/>
                  </a:lnTo>
                  <a:lnTo>
                    <a:pt x="5195" y="11005"/>
                  </a:lnTo>
                  <a:lnTo>
                    <a:pt x="5190" y="11042"/>
                  </a:lnTo>
                  <a:lnTo>
                    <a:pt x="5198" y="11075"/>
                  </a:lnTo>
                  <a:lnTo>
                    <a:pt x="5198" y="1101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9" name="Freeform 77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9873" y="10967"/>
                </a:cxn>
                <a:cxn ang="0">
                  <a:pos x="9836" y="10942"/>
                </a:cxn>
                <a:cxn ang="0">
                  <a:pos x="9868" y="10972"/>
                </a:cxn>
                <a:cxn ang="0">
                  <a:pos x="9873" y="10982"/>
                </a:cxn>
                <a:cxn ang="0">
                  <a:pos x="9873" y="10967"/>
                </a:cxn>
              </a:cxnLst>
              <a:rect l="0" t="0" r="r" b="b"/>
              <a:pathLst>
                <a:path w="15066" h="11591">
                  <a:moveTo>
                    <a:pt x="9873" y="10967"/>
                  </a:moveTo>
                  <a:lnTo>
                    <a:pt x="9836" y="10942"/>
                  </a:lnTo>
                  <a:lnTo>
                    <a:pt x="9868" y="10972"/>
                  </a:lnTo>
                  <a:lnTo>
                    <a:pt x="9873" y="10982"/>
                  </a:lnTo>
                  <a:lnTo>
                    <a:pt x="9873" y="1096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8" name="Freeform 76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8896" y="11182"/>
                </a:cxn>
                <a:cxn ang="0">
                  <a:pos x="8648" y="11182"/>
                </a:cxn>
                <a:cxn ang="0">
                  <a:pos x="8648" y="11192"/>
                </a:cxn>
                <a:cxn ang="0">
                  <a:pos x="8896" y="11205"/>
                </a:cxn>
                <a:cxn ang="0">
                  <a:pos x="9118" y="11280"/>
                </a:cxn>
                <a:cxn ang="0">
                  <a:pos x="9328" y="11380"/>
                </a:cxn>
                <a:cxn ang="0">
                  <a:pos x="9531" y="11475"/>
                </a:cxn>
                <a:cxn ang="0">
                  <a:pos x="9726" y="11540"/>
                </a:cxn>
                <a:cxn ang="0">
                  <a:pos x="9928" y="11545"/>
                </a:cxn>
                <a:cxn ang="0">
                  <a:pos x="10106" y="11470"/>
                </a:cxn>
                <a:cxn ang="0">
                  <a:pos x="10211" y="11362"/>
                </a:cxn>
                <a:cxn ang="0">
                  <a:pos x="10261" y="11230"/>
                </a:cxn>
                <a:cxn ang="0">
                  <a:pos x="10248" y="11087"/>
                </a:cxn>
                <a:cxn ang="0">
                  <a:pos x="10171" y="10972"/>
                </a:cxn>
                <a:cxn ang="0">
                  <a:pos x="10051" y="10917"/>
                </a:cxn>
                <a:cxn ang="0">
                  <a:pos x="9923" y="10942"/>
                </a:cxn>
                <a:cxn ang="0">
                  <a:pos x="9873" y="10982"/>
                </a:cxn>
                <a:cxn ang="0">
                  <a:pos x="9841" y="11042"/>
                </a:cxn>
                <a:cxn ang="0">
                  <a:pos x="9853" y="11097"/>
                </a:cxn>
                <a:cxn ang="0">
                  <a:pos x="9881" y="11075"/>
                </a:cxn>
                <a:cxn ang="0">
                  <a:pos x="9868" y="11082"/>
                </a:cxn>
                <a:cxn ang="0">
                  <a:pos x="9853" y="11042"/>
                </a:cxn>
                <a:cxn ang="0">
                  <a:pos x="9878" y="10992"/>
                </a:cxn>
                <a:cxn ang="0">
                  <a:pos x="9891" y="10972"/>
                </a:cxn>
                <a:cxn ang="0">
                  <a:pos x="9983" y="10927"/>
                </a:cxn>
                <a:cxn ang="0">
                  <a:pos x="10116" y="10945"/>
                </a:cxn>
                <a:cxn ang="0">
                  <a:pos x="10211" y="11032"/>
                </a:cxn>
                <a:cxn ang="0">
                  <a:pos x="10256" y="11165"/>
                </a:cxn>
                <a:cxn ang="0">
                  <a:pos x="10233" y="11287"/>
                </a:cxn>
                <a:cxn ang="0">
                  <a:pos x="10166" y="11407"/>
                </a:cxn>
                <a:cxn ang="0">
                  <a:pos x="10023" y="11502"/>
                </a:cxn>
                <a:cxn ang="0">
                  <a:pos x="9851" y="11535"/>
                </a:cxn>
                <a:cxn ang="0">
                  <a:pos x="9676" y="11502"/>
                </a:cxn>
                <a:cxn ang="0">
                  <a:pos x="9498" y="11425"/>
                </a:cxn>
                <a:cxn ang="0">
                  <a:pos x="9316" y="11330"/>
                </a:cxn>
                <a:cxn ang="0">
                  <a:pos x="9113" y="11242"/>
                </a:cxn>
              </a:cxnLst>
              <a:rect l="0" t="0" r="r" b="b"/>
              <a:pathLst>
                <a:path w="15066" h="11591">
                  <a:moveTo>
                    <a:pt x="9006" y="11205"/>
                  </a:moveTo>
                  <a:lnTo>
                    <a:pt x="8896" y="11182"/>
                  </a:lnTo>
                  <a:lnTo>
                    <a:pt x="8776" y="11175"/>
                  </a:lnTo>
                  <a:lnTo>
                    <a:pt x="8648" y="11182"/>
                  </a:lnTo>
                  <a:lnTo>
                    <a:pt x="8516" y="11215"/>
                  </a:lnTo>
                  <a:lnTo>
                    <a:pt x="8648" y="11192"/>
                  </a:lnTo>
                  <a:lnTo>
                    <a:pt x="8771" y="11187"/>
                  </a:lnTo>
                  <a:lnTo>
                    <a:pt x="8896" y="11205"/>
                  </a:lnTo>
                  <a:lnTo>
                    <a:pt x="9008" y="11237"/>
                  </a:lnTo>
                  <a:lnTo>
                    <a:pt x="9118" y="11280"/>
                  </a:lnTo>
                  <a:lnTo>
                    <a:pt x="9223" y="11325"/>
                  </a:lnTo>
                  <a:lnTo>
                    <a:pt x="9328" y="11380"/>
                  </a:lnTo>
                  <a:lnTo>
                    <a:pt x="9428" y="11430"/>
                  </a:lnTo>
                  <a:lnTo>
                    <a:pt x="9531" y="11475"/>
                  </a:lnTo>
                  <a:lnTo>
                    <a:pt x="9626" y="11512"/>
                  </a:lnTo>
                  <a:lnTo>
                    <a:pt x="9726" y="11540"/>
                  </a:lnTo>
                  <a:lnTo>
                    <a:pt x="9826" y="11550"/>
                  </a:lnTo>
                  <a:lnTo>
                    <a:pt x="9928" y="11545"/>
                  </a:lnTo>
                  <a:lnTo>
                    <a:pt x="10028" y="11512"/>
                  </a:lnTo>
                  <a:lnTo>
                    <a:pt x="10106" y="11470"/>
                  </a:lnTo>
                  <a:lnTo>
                    <a:pt x="10166" y="11420"/>
                  </a:lnTo>
                  <a:lnTo>
                    <a:pt x="10211" y="11362"/>
                  </a:lnTo>
                  <a:lnTo>
                    <a:pt x="10243" y="11292"/>
                  </a:lnTo>
                  <a:lnTo>
                    <a:pt x="10261" y="11230"/>
                  </a:lnTo>
                  <a:lnTo>
                    <a:pt x="10266" y="11160"/>
                  </a:lnTo>
                  <a:lnTo>
                    <a:pt x="10248" y="11087"/>
                  </a:lnTo>
                  <a:lnTo>
                    <a:pt x="10216" y="11022"/>
                  </a:lnTo>
                  <a:lnTo>
                    <a:pt x="10171" y="10972"/>
                  </a:lnTo>
                  <a:lnTo>
                    <a:pt x="10116" y="10937"/>
                  </a:lnTo>
                  <a:lnTo>
                    <a:pt x="10051" y="10917"/>
                  </a:lnTo>
                  <a:lnTo>
                    <a:pt x="9978" y="10917"/>
                  </a:lnTo>
                  <a:lnTo>
                    <a:pt x="9923" y="10942"/>
                  </a:lnTo>
                  <a:lnTo>
                    <a:pt x="9881" y="10967"/>
                  </a:lnTo>
                  <a:lnTo>
                    <a:pt x="9873" y="10982"/>
                  </a:lnTo>
                  <a:lnTo>
                    <a:pt x="9853" y="11005"/>
                  </a:lnTo>
                  <a:lnTo>
                    <a:pt x="9841" y="11042"/>
                  </a:lnTo>
                  <a:lnTo>
                    <a:pt x="9846" y="11082"/>
                  </a:lnTo>
                  <a:lnTo>
                    <a:pt x="9853" y="11097"/>
                  </a:lnTo>
                  <a:lnTo>
                    <a:pt x="9873" y="11092"/>
                  </a:lnTo>
                  <a:lnTo>
                    <a:pt x="9881" y="11075"/>
                  </a:lnTo>
                  <a:lnTo>
                    <a:pt x="9878" y="11070"/>
                  </a:lnTo>
                  <a:lnTo>
                    <a:pt x="9868" y="11082"/>
                  </a:lnTo>
                  <a:lnTo>
                    <a:pt x="9858" y="11077"/>
                  </a:lnTo>
                  <a:lnTo>
                    <a:pt x="9853" y="11042"/>
                  </a:lnTo>
                  <a:lnTo>
                    <a:pt x="9868" y="11005"/>
                  </a:lnTo>
                  <a:lnTo>
                    <a:pt x="9878" y="10992"/>
                  </a:lnTo>
                  <a:lnTo>
                    <a:pt x="9878" y="10987"/>
                  </a:lnTo>
                  <a:lnTo>
                    <a:pt x="9891" y="10972"/>
                  </a:lnTo>
                  <a:lnTo>
                    <a:pt x="9931" y="10945"/>
                  </a:lnTo>
                  <a:lnTo>
                    <a:pt x="9983" y="10927"/>
                  </a:lnTo>
                  <a:lnTo>
                    <a:pt x="10051" y="10927"/>
                  </a:lnTo>
                  <a:lnTo>
                    <a:pt x="10116" y="10945"/>
                  </a:lnTo>
                  <a:lnTo>
                    <a:pt x="10171" y="10982"/>
                  </a:lnTo>
                  <a:lnTo>
                    <a:pt x="10211" y="11032"/>
                  </a:lnTo>
                  <a:lnTo>
                    <a:pt x="10243" y="11097"/>
                  </a:lnTo>
                  <a:lnTo>
                    <a:pt x="10256" y="11165"/>
                  </a:lnTo>
                  <a:lnTo>
                    <a:pt x="10251" y="11225"/>
                  </a:lnTo>
                  <a:lnTo>
                    <a:pt x="10233" y="11287"/>
                  </a:lnTo>
                  <a:lnTo>
                    <a:pt x="10206" y="11347"/>
                  </a:lnTo>
                  <a:lnTo>
                    <a:pt x="10166" y="11407"/>
                  </a:lnTo>
                  <a:lnTo>
                    <a:pt x="10101" y="11462"/>
                  </a:lnTo>
                  <a:lnTo>
                    <a:pt x="10023" y="11502"/>
                  </a:lnTo>
                  <a:lnTo>
                    <a:pt x="9936" y="11530"/>
                  </a:lnTo>
                  <a:lnTo>
                    <a:pt x="9851" y="11535"/>
                  </a:lnTo>
                  <a:lnTo>
                    <a:pt x="9763" y="11525"/>
                  </a:lnTo>
                  <a:lnTo>
                    <a:pt x="9676" y="11502"/>
                  </a:lnTo>
                  <a:lnTo>
                    <a:pt x="9588" y="11467"/>
                  </a:lnTo>
                  <a:lnTo>
                    <a:pt x="9498" y="11425"/>
                  </a:lnTo>
                  <a:lnTo>
                    <a:pt x="9406" y="11380"/>
                  </a:lnTo>
                  <a:lnTo>
                    <a:pt x="9316" y="11330"/>
                  </a:lnTo>
                  <a:lnTo>
                    <a:pt x="9216" y="11285"/>
                  </a:lnTo>
                  <a:lnTo>
                    <a:pt x="9113" y="11242"/>
                  </a:lnTo>
                  <a:lnTo>
                    <a:pt x="9006" y="1120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7" name="Freeform 75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9878" y="11070"/>
                </a:cxn>
                <a:cxn ang="0">
                  <a:pos x="9881" y="11075"/>
                </a:cxn>
                <a:cxn ang="0">
                  <a:pos x="9891" y="11042"/>
                </a:cxn>
                <a:cxn ang="0">
                  <a:pos x="9886" y="11005"/>
                </a:cxn>
                <a:cxn ang="0">
                  <a:pos x="9878" y="10987"/>
                </a:cxn>
                <a:cxn ang="0">
                  <a:pos x="9878" y="10992"/>
                </a:cxn>
                <a:cxn ang="0">
                  <a:pos x="9881" y="11010"/>
                </a:cxn>
                <a:cxn ang="0">
                  <a:pos x="9881" y="11042"/>
                </a:cxn>
                <a:cxn ang="0">
                  <a:pos x="9878" y="11070"/>
                </a:cxn>
              </a:cxnLst>
              <a:rect l="0" t="0" r="r" b="b"/>
              <a:pathLst>
                <a:path w="15066" h="11591">
                  <a:moveTo>
                    <a:pt x="9878" y="11070"/>
                  </a:moveTo>
                  <a:lnTo>
                    <a:pt x="9881" y="11075"/>
                  </a:lnTo>
                  <a:lnTo>
                    <a:pt x="9891" y="11042"/>
                  </a:lnTo>
                  <a:lnTo>
                    <a:pt x="9886" y="11005"/>
                  </a:lnTo>
                  <a:lnTo>
                    <a:pt x="9878" y="10987"/>
                  </a:lnTo>
                  <a:lnTo>
                    <a:pt x="9878" y="10992"/>
                  </a:lnTo>
                  <a:lnTo>
                    <a:pt x="9881" y="11010"/>
                  </a:lnTo>
                  <a:lnTo>
                    <a:pt x="9881" y="11042"/>
                  </a:lnTo>
                  <a:lnTo>
                    <a:pt x="9878" y="1107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6" name="Freeform 74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576" y="10945"/>
                </a:cxn>
                <a:cxn ang="0">
                  <a:pos x="10571" y="10955"/>
                </a:cxn>
                <a:cxn ang="0">
                  <a:pos x="10576" y="10960"/>
                </a:cxn>
                <a:cxn ang="0">
                  <a:pos x="10576" y="10955"/>
                </a:cxn>
                <a:cxn ang="0">
                  <a:pos x="10581" y="10950"/>
                </a:cxn>
                <a:cxn ang="0">
                  <a:pos x="10581" y="10927"/>
                </a:cxn>
                <a:cxn ang="0">
                  <a:pos x="10576" y="10945"/>
                </a:cxn>
              </a:cxnLst>
              <a:rect l="0" t="0" r="r" b="b"/>
              <a:pathLst>
                <a:path w="15066" h="11591">
                  <a:moveTo>
                    <a:pt x="10576" y="10945"/>
                  </a:moveTo>
                  <a:lnTo>
                    <a:pt x="10571" y="10955"/>
                  </a:lnTo>
                  <a:lnTo>
                    <a:pt x="10576" y="10960"/>
                  </a:lnTo>
                  <a:lnTo>
                    <a:pt x="10576" y="10955"/>
                  </a:lnTo>
                  <a:lnTo>
                    <a:pt x="10581" y="10950"/>
                  </a:lnTo>
                  <a:lnTo>
                    <a:pt x="10581" y="10927"/>
                  </a:lnTo>
                  <a:lnTo>
                    <a:pt x="10576" y="1094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5" name="Freeform 73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383" y="11270"/>
                </a:cxn>
                <a:cxn ang="0">
                  <a:pos x="10348" y="11320"/>
                </a:cxn>
                <a:cxn ang="0">
                  <a:pos x="10326" y="11325"/>
                </a:cxn>
                <a:cxn ang="0">
                  <a:pos x="10293" y="11325"/>
                </a:cxn>
                <a:cxn ang="0">
                  <a:pos x="10328" y="11330"/>
                </a:cxn>
                <a:cxn ang="0">
                  <a:pos x="10343" y="11325"/>
                </a:cxn>
                <a:cxn ang="0">
                  <a:pos x="10343" y="11330"/>
                </a:cxn>
                <a:cxn ang="0">
                  <a:pos x="10298" y="11385"/>
                </a:cxn>
                <a:cxn ang="0">
                  <a:pos x="10238" y="11435"/>
                </a:cxn>
                <a:cxn ang="0">
                  <a:pos x="10161" y="11490"/>
                </a:cxn>
                <a:cxn ang="0">
                  <a:pos x="10248" y="11435"/>
                </a:cxn>
                <a:cxn ang="0">
                  <a:pos x="10321" y="11375"/>
                </a:cxn>
                <a:cxn ang="0">
                  <a:pos x="10361" y="11325"/>
                </a:cxn>
                <a:cxn ang="0">
                  <a:pos x="10381" y="11325"/>
                </a:cxn>
                <a:cxn ang="0">
                  <a:pos x="10431" y="11315"/>
                </a:cxn>
                <a:cxn ang="0">
                  <a:pos x="10476" y="11292"/>
                </a:cxn>
                <a:cxn ang="0">
                  <a:pos x="10433" y="11302"/>
                </a:cxn>
                <a:cxn ang="0">
                  <a:pos x="10371" y="11320"/>
                </a:cxn>
                <a:cxn ang="0">
                  <a:pos x="10383" y="11270"/>
                </a:cxn>
              </a:cxnLst>
              <a:rect l="0" t="0" r="r" b="b"/>
              <a:pathLst>
                <a:path w="15066" h="11591">
                  <a:moveTo>
                    <a:pt x="10383" y="11270"/>
                  </a:moveTo>
                  <a:lnTo>
                    <a:pt x="10348" y="11320"/>
                  </a:lnTo>
                  <a:lnTo>
                    <a:pt x="10326" y="11325"/>
                  </a:lnTo>
                  <a:lnTo>
                    <a:pt x="10293" y="11325"/>
                  </a:lnTo>
                  <a:lnTo>
                    <a:pt x="10328" y="11330"/>
                  </a:lnTo>
                  <a:lnTo>
                    <a:pt x="10343" y="11325"/>
                  </a:lnTo>
                  <a:lnTo>
                    <a:pt x="10343" y="11330"/>
                  </a:lnTo>
                  <a:lnTo>
                    <a:pt x="10298" y="11385"/>
                  </a:lnTo>
                  <a:lnTo>
                    <a:pt x="10238" y="11435"/>
                  </a:lnTo>
                  <a:lnTo>
                    <a:pt x="10161" y="11490"/>
                  </a:lnTo>
                  <a:lnTo>
                    <a:pt x="10248" y="11435"/>
                  </a:lnTo>
                  <a:lnTo>
                    <a:pt x="10321" y="11375"/>
                  </a:lnTo>
                  <a:lnTo>
                    <a:pt x="10361" y="11325"/>
                  </a:lnTo>
                  <a:lnTo>
                    <a:pt x="10381" y="11325"/>
                  </a:lnTo>
                  <a:lnTo>
                    <a:pt x="10431" y="11315"/>
                  </a:lnTo>
                  <a:lnTo>
                    <a:pt x="10476" y="11292"/>
                  </a:lnTo>
                  <a:lnTo>
                    <a:pt x="10433" y="11302"/>
                  </a:lnTo>
                  <a:lnTo>
                    <a:pt x="10371" y="11320"/>
                  </a:lnTo>
                  <a:lnTo>
                    <a:pt x="10383" y="1127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4" name="Freeform 72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535" y="10882"/>
                </a:cxn>
                <a:cxn ang="0">
                  <a:pos x="4573" y="10877"/>
                </a:cxn>
                <a:cxn ang="0">
                  <a:pos x="4643" y="10927"/>
                </a:cxn>
                <a:cxn ang="0">
                  <a:pos x="4633" y="10967"/>
                </a:cxn>
                <a:cxn ang="0">
                  <a:pos x="4673" y="10987"/>
                </a:cxn>
                <a:cxn ang="0">
                  <a:pos x="4715" y="11137"/>
                </a:cxn>
                <a:cxn ang="0">
                  <a:pos x="4755" y="11265"/>
                </a:cxn>
                <a:cxn ang="0">
                  <a:pos x="4755" y="11325"/>
                </a:cxn>
                <a:cxn ang="0">
                  <a:pos x="4695" y="11270"/>
                </a:cxn>
                <a:cxn ang="0">
                  <a:pos x="4610" y="11147"/>
                </a:cxn>
                <a:cxn ang="0">
                  <a:pos x="4533" y="11092"/>
                </a:cxn>
                <a:cxn ang="0">
                  <a:pos x="4523" y="11055"/>
                </a:cxn>
                <a:cxn ang="0">
                  <a:pos x="4468" y="11077"/>
                </a:cxn>
                <a:cxn ang="0">
                  <a:pos x="4400" y="11092"/>
                </a:cxn>
                <a:cxn ang="0">
                  <a:pos x="4373" y="11105"/>
                </a:cxn>
                <a:cxn ang="0">
                  <a:pos x="4408" y="11092"/>
                </a:cxn>
                <a:cxn ang="0">
                  <a:pos x="4490" y="11087"/>
                </a:cxn>
                <a:cxn ang="0">
                  <a:pos x="4510" y="11110"/>
                </a:cxn>
                <a:cxn ang="0">
                  <a:pos x="4533" y="11225"/>
                </a:cxn>
                <a:cxn ang="0">
                  <a:pos x="4605" y="11292"/>
                </a:cxn>
                <a:cxn ang="0">
                  <a:pos x="4645" y="11302"/>
                </a:cxn>
                <a:cxn ang="0">
                  <a:pos x="4555" y="11220"/>
                </a:cxn>
                <a:cxn ang="0">
                  <a:pos x="4533" y="11105"/>
                </a:cxn>
                <a:cxn ang="0">
                  <a:pos x="4588" y="11147"/>
                </a:cxn>
                <a:cxn ang="0">
                  <a:pos x="4665" y="11257"/>
                </a:cxn>
                <a:cxn ang="0">
                  <a:pos x="4715" y="11320"/>
                </a:cxn>
                <a:cxn ang="0">
                  <a:pos x="4760" y="11375"/>
                </a:cxn>
                <a:cxn ang="0">
                  <a:pos x="4920" y="11490"/>
                </a:cxn>
                <a:cxn ang="0">
                  <a:pos x="4783" y="11385"/>
                </a:cxn>
                <a:cxn ang="0">
                  <a:pos x="4738" y="11325"/>
                </a:cxn>
                <a:cxn ang="0">
                  <a:pos x="4793" y="11325"/>
                </a:cxn>
                <a:cxn ang="0">
                  <a:pos x="4893" y="11445"/>
                </a:cxn>
                <a:cxn ang="0">
                  <a:pos x="5063" y="11540"/>
                </a:cxn>
                <a:cxn ang="0">
                  <a:pos x="4893" y="11440"/>
                </a:cxn>
                <a:cxn ang="0">
                  <a:pos x="4800" y="11325"/>
                </a:cxn>
                <a:cxn ang="0">
                  <a:pos x="4798" y="11325"/>
                </a:cxn>
                <a:cxn ang="0">
                  <a:pos x="4770" y="11260"/>
                </a:cxn>
                <a:cxn ang="0">
                  <a:pos x="4733" y="11132"/>
                </a:cxn>
                <a:cxn ang="0">
                  <a:pos x="4700" y="11000"/>
                </a:cxn>
                <a:cxn ang="0">
                  <a:pos x="4720" y="10977"/>
                </a:cxn>
                <a:cxn ang="0">
                  <a:pos x="4760" y="11042"/>
                </a:cxn>
                <a:cxn ang="0">
                  <a:pos x="4765" y="11087"/>
                </a:cxn>
                <a:cxn ang="0">
                  <a:pos x="4750" y="11000"/>
                </a:cxn>
                <a:cxn ang="0">
                  <a:pos x="4695" y="10965"/>
                </a:cxn>
                <a:cxn ang="0">
                  <a:pos x="4673" y="10945"/>
                </a:cxn>
                <a:cxn ang="0">
                  <a:pos x="4610" y="10887"/>
                </a:cxn>
                <a:cxn ang="0">
                  <a:pos x="4540" y="10877"/>
                </a:cxn>
                <a:cxn ang="0">
                  <a:pos x="4500" y="10915"/>
                </a:cxn>
                <a:cxn ang="0">
                  <a:pos x="4505" y="10955"/>
                </a:cxn>
                <a:cxn ang="0">
                  <a:pos x="4510" y="10955"/>
                </a:cxn>
                <a:cxn ang="0">
                  <a:pos x="4505" y="10915"/>
                </a:cxn>
                <a:cxn ang="0">
                  <a:pos x="4513" y="10895"/>
                </a:cxn>
              </a:cxnLst>
              <a:rect l="0" t="0" r="r" b="b"/>
              <a:pathLst>
                <a:path w="15066" h="11591">
                  <a:moveTo>
                    <a:pt x="4523" y="10887"/>
                  </a:moveTo>
                  <a:lnTo>
                    <a:pt x="4535" y="10882"/>
                  </a:lnTo>
                  <a:lnTo>
                    <a:pt x="4545" y="10877"/>
                  </a:lnTo>
                  <a:lnTo>
                    <a:pt x="4573" y="10877"/>
                  </a:lnTo>
                  <a:lnTo>
                    <a:pt x="4610" y="10895"/>
                  </a:lnTo>
                  <a:lnTo>
                    <a:pt x="4643" y="10927"/>
                  </a:lnTo>
                  <a:lnTo>
                    <a:pt x="4660" y="10960"/>
                  </a:lnTo>
                  <a:lnTo>
                    <a:pt x="4633" y="10967"/>
                  </a:lnTo>
                  <a:lnTo>
                    <a:pt x="4660" y="10967"/>
                  </a:lnTo>
                  <a:lnTo>
                    <a:pt x="4673" y="10987"/>
                  </a:lnTo>
                  <a:lnTo>
                    <a:pt x="4700" y="11075"/>
                  </a:lnTo>
                  <a:lnTo>
                    <a:pt x="4715" y="11137"/>
                  </a:lnTo>
                  <a:lnTo>
                    <a:pt x="4733" y="11202"/>
                  </a:lnTo>
                  <a:lnTo>
                    <a:pt x="4755" y="11265"/>
                  </a:lnTo>
                  <a:lnTo>
                    <a:pt x="4788" y="11325"/>
                  </a:lnTo>
                  <a:lnTo>
                    <a:pt x="4755" y="11325"/>
                  </a:lnTo>
                  <a:lnTo>
                    <a:pt x="4733" y="11320"/>
                  </a:lnTo>
                  <a:lnTo>
                    <a:pt x="4695" y="11270"/>
                  </a:lnTo>
                  <a:lnTo>
                    <a:pt x="4660" y="11210"/>
                  </a:lnTo>
                  <a:lnTo>
                    <a:pt x="4610" y="11147"/>
                  </a:lnTo>
                  <a:lnTo>
                    <a:pt x="4563" y="11105"/>
                  </a:lnTo>
                  <a:lnTo>
                    <a:pt x="4533" y="11092"/>
                  </a:lnTo>
                  <a:lnTo>
                    <a:pt x="4555" y="11010"/>
                  </a:lnTo>
                  <a:lnTo>
                    <a:pt x="4523" y="11055"/>
                  </a:lnTo>
                  <a:lnTo>
                    <a:pt x="4513" y="11087"/>
                  </a:lnTo>
                  <a:lnTo>
                    <a:pt x="4468" y="11077"/>
                  </a:lnTo>
                  <a:lnTo>
                    <a:pt x="4430" y="11082"/>
                  </a:lnTo>
                  <a:lnTo>
                    <a:pt x="4400" y="11092"/>
                  </a:lnTo>
                  <a:lnTo>
                    <a:pt x="4378" y="11100"/>
                  </a:lnTo>
                  <a:lnTo>
                    <a:pt x="4373" y="11105"/>
                  </a:lnTo>
                  <a:lnTo>
                    <a:pt x="4378" y="11105"/>
                  </a:lnTo>
                  <a:lnTo>
                    <a:pt x="4408" y="11092"/>
                  </a:lnTo>
                  <a:lnTo>
                    <a:pt x="4445" y="11082"/>
                  </a:lnTo>
                  <a:lnTo>
                    <a:pt x="4490" y="11087"/>
                  </a:lnTo>
                  <a:lnTo>
                    <a:pt x="4513" y="11097"/>
                  </a:lnTo>
                  <a:lnTo>
                    <a:pt x="4510" y="11110"/>
                  </a:lnTo>
                  <a:lnTo>
                    <a:pt x="4513" y="11180"/>
                  </a:lnTo>
                  <a:lnTo>
                    <a:pt x="4533" y="11225"/>
                  </a:lnTo>
                  <a:lnTo>
                    <a:pt x="4563" y="11265"/>
                  </a:lnTo>
                  <a:lnTo>
                    <a:pt x="4605" y="11292"/>
                  </a:lnTo>
                  <a:lnTo>
                    <a:pt x="4650" y="11315"/>
                  </a:lnTo>
                  <a:lnTo>
                    <a:pt x="4645" y="11302"/>
                  </a:lnTo>
                  <a:lnTo>
                    <a:pt x="4595" y="11270"/>
                  </a:lnTo>
                  <a:lnTo>
                    <a:pt x="4555" y="11220"/>
                  </a:lnTo>
                  <a:lnTo>
                    <a:pt x="4535" y="11165"/>
                  </a:lnTo>
                  <a:lnTo>
                    <a:pt x="4533" y="11105"/>
                  </a:lnTo>
                  <a:lnTo>
                    <a:pt x="4535" y="11105"/>
                  </a:lnTo>
                  <a:lnTo>
                    <a:pt x="4588" y="11147"/>
                  </a:lnTo>
                  <a:lnTo>
                    <a:pt x="4633" y="11210"/>
                  </a:lnTo>
                  <a:lnTo>
                    <a:pt x="4665" y="11257"/>
                  </a:lnTo>
                  <a:lnTo>
                    <a:pt x="4705" y="11315"/>
                  </a:lnTo>
                  <a:lnTo>
                    <a:pt x="4715" y="11320"/>
                  </a:lnTo>
                  <a:lnTo>
                    <a:pt x="4720" y="11325"/>
                  </a:lnTo>
                  <a:lnTo>
                    <a:pt x="4760" y="11375"/>
                  </a:lnTo>
                  <a:lnTo>
                    <a:pt x="4833" y="11435"/>
                  </a:lnTo>
                  <a:lnTo>
                    <a:pt x="4920" y="11490"/>
                  </a:lnTo>
                  <a:lnTo>
                    <a:pt x="4843" y="11435"/>
                  </a:lnTo>
                  <a:lnTo>
                    <a:pt x="4783" y="11385"/>
                  </a:lnTo>
                  <a:lnTo>
                    <a:pt x="4738" y="11330"/>
                  </a:lnTo>
                  <a:lnTo>
                    <a:pt x="4738" y="11325"/>
                  </a:lnTo>
                  <a:lnTo>
                    <a:pt x="4750" y="11330"/>
                  </a:lnTo>
                  <a:lnTo>
                    <a:pt x="4793" y="11325"/>
                  </a:lnTo>
                  <a:lnTo>
                    <a:pt x="4833" y="11385"/>
                  </a:lnTo>
                  <a:lnTo>
                    <a:pt x="4893" y="11445"/>
                  </a:lnTo>
                  <a:lnTo>
                    <a:pt x="4965" y="11495"/>
                  </a:lnTo>
                  <a:lnTo>
                    <a:pt x="5063" y="11540"/>
                  </a:lnTo>
                  <a:lnTo>
                    <a:pt x="4965" y="11490"/>
                  </a:lnTo>
                  <a:lnTo>
                    <a:pt x="4893" y="11440"/>
                  </a:lnTo>
                  <a:lnTo>
                    <a:pt x="4838" y="11385"/>
                  </a:lnTo>
                  <a:lnTo>
                    <a:pt x="4800" y="11325"/>
                  </a:lnTo>
                  <a:lnTo>
                    <a:pt x="4828" y="11320"/>
                  </a:lnTo>
                  <a:lnTo>
                    <a:pt x="4798" y="11325"/>
                  </a:lnTo>
                  <a:lnTo>
                    <a:pt x="4798" y="11320"/>
                  </a:lnTo>
                  <a:lnTo>
                    <a:pt x="4770" y="11260"/>
                  </a:lnTo>
                  <a:lnTo>
                    <a:pt x="4748" y="11197"/>
                  </a:lnTo>
                  <a:lnTo>
                    <a:pt x="4733" y="11132"/>
                  </a:lnTo>
                  <a:lnTo>
                    <a:pt x="4720" y="11070"/>
                  </a:lnTo>
                  <a:lnTo>
                    <a:pt x="4700" y="11000"/>
                  </a:lnTo>
                  <a:lnTo>
                    <a:pt x="4683" y="10967"/>
                  </a:lnTo>
                  <a:lnTo>
                    <a:pt x="4720" y="10977"/>
                  </a:lnTo>
                  <a:lnTo>
                    <a:pt x="4748" y="11005"/>
                  </a:lnTo>
                  <a:lnTo>
                    <a:pt x="4760" y="11042"/>
                  </a:lnTo>
                  <a:lnTo>
                    <a:pt x="4760" y="11087"/>
                  </a:lnTo>
                  <a:lnTo>
                    <a:pt x="4765" y="11087"/>
                  </a:lnTo>
                  <a:lnTo>
                    <a:pt x="4765" y="11037"/>
                  </a:lnTo>
                  <a:lnTo>
                    <a:pt x="4750" y="11000"/>
                  </a:lnTo>
                  <a:lnTo>
                    <a:pt x="4728" y="10977"/>
                  </a:lnTo>
                  <a:lnTo>
                    <a:pt x="4695" y="10965"/>
                  </a:lnTo>
                  <a:lnTo>
                    <a:pt x="4678" y="10965"/>
                  </a:lnTo>
                  <a:lnTo>
                    <a:pt x="4673" y="10945"/>
                  </a:lnTo>
                  <a:lnTo>
                    <a:pt x="4643" y="10910"/>
                  </a:lnTo>
                  <a:lnTo>
                    <a:pt x="4610" y="10887"/>
                  </a:lnTo>
                  <a:lnTo>
                    <a:pt x="4573" y="10872"/>
                  </a:lnTo>
                  <a:lnTo>
                    <a:pt x="4540" y="10877"/>
                  </a:lnTo>
                  <a:lnTo>
                    <a:pt x="4513" y="10887"/>
                  </a:lnTo>
                  <a:lnTo>
                    <a:pt x="4500" y="10915"/>
                  </a:lnTo>
                  <a:lnTo>
                    <a:pt x="4505" y="10950"/>
                  </a:lnTo>
                  <a:lnTo>
                    <a:pt x="4505" y="10955"/>
                  </a:lnTo>
                  <a:lnTo>
                    <a:pt x="4510" y="10960"/>
                  </a:lnTo>
                  <a:lnTo>
                    <a:pt x="4510" y="10955"/>
                  </a:lnTo>
                  <a:lnTo>
                    <a:pt x="4505" y="10945"/>
                  </a:lnTo>
                  <a:lnTo>
                    <a:pt x="4505" y="10915"/>
                  </a:lnTo>
                  <a:lnTo>
                    <a:pt x="4510" y="10905"/>
                  </a:lnTo>
                  <a:lnTo>
                    <a:pt x="4513" y="10895"/>
                  </a:lnTo>
                  <a:lnTo>
                    <a:pt x="4523" y="1088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3" name="Freeform 71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710" y="11320"/>
                </a:cxn>
                <a:cxn ang="0">
                  <a:pos x="4645" y="11302"/>
                </a:cxn>
                <a:cxn ang="0">
                  <a:pos x="4650" y="11315"/>
                </a:cxn>
                <a:cxn ang="0">
                  <a:pos x="4705" y="11325"/>
                </a:cxn>
                <a:cxn ang="0">
                  <a:pos x="4720" y="11325"/>
                </a:cxn>
                <a:cxn ang="0">
                  <a:pos x="4715" y="11320"/>
                </a:cxn>
                <a:cxn ang="0">
                  <a:pos x="4710" y="11320"/>
                </a:cxn>
              </a:cxnLst>
              <a:rect l="0" t="0" r="r" b="b"/>
              <a:pathLst>
                <a:path w="15066" h="11591">
                  <a:moveTo>
                    <a:pt x="4710" y="11320"/>
                  </a:moveTo>
                  <a:lnTo>
                    <a:pt x="4645" y="11302"/>
                  </a:lnTo>
                  <a:lnTo>
                    <a:pt x="4650" y="11315"/>
                  </a:lnTo>
                  <a:lnTo>
                    <a:pt x="4705" y="11325"/>
                  </a:lnTo>
                  <a:lnTo>
                    <a:pt x="4720" y="11325"/>
                  </a:lnTo>
                  <a:lnTo>
                    <a:pt x="4715" y="11320"/>
                  </a:lnTo>
                  <a:lnTo>
                    <a:pt x="4710" y="1132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2" name="Freeform 70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533" y="11092"/>
                </a:cxn>
                <a:cxn ang="0">
                  <a:pos x="4550" y="11037"/>
                </a:cxn>
                <a:cxn ang="0">
                  <a:pos x="4583" y="10992"/>
                </a:cxn>
                <a:cxn ang="0">
                  <a:pos x="4633" y="10967"/>
                </a:cxn>
                <a:cxn ang="0">
                  <a:pos x="4660" y="10960"/>
                </a:cxn>
                <a:cxn ang="0">
                  <a:pos x="4628" y="10965"/>
                </a:cxn>
                <a:cxn ang="0">
                  <a:pos x="4590" y="10977"/>
                </a:cxn>
                <a:cxn ang="0">
                  <a:pos x="4555" y="11010"/>
                </a:cxn>
                <a:cxn ang="0">
                  <a:pos x="4533" y="11092"/>
                </a:cxn>
              </a:cxnLst>
              <a:rect l="0" t="0" r="r" b="b"/>
              <a:pathLst>
                <a:path w="15066" h="11591">
                  <a:moveTo>
                    <a:pt x="4533" y="11092"/>
                  </a:moveTo>
                  <a:lnTo>
                    <a:pt x="4550" y="11037"/>
                  </a:lnTo>
                  <a:lnTo>
                    <a:pt x="4583" y="10992"/>
                  </a:lnTo>
                  <a:lnTo>
                    <a:pt x="4633" y="10967"/>
                  </a:lnTo>
                  <a:lnTo>
                    <a:pt x="4660" y="10960"/>
                  </a:lnTo>
                  <a:lnTo>
                    <a:pt x="4628" y="10965"/>
                  </a:lnTo>
                  <a:lnTo>
                    <a:pt x="4590" y="10977"/>
                  </a:lnTo>
                  <a:lnTo>
                    <a:pt x="4555" y="11010"/>
                  </a:lnTo>
                  <a:lnTo>
                    <a:pt x="4533" y="11092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1" name="Freeform 69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3879" y="10452"/>
                </a:cxn>
                <a:cxn ang="0">
                  <a:pos x="13796" y="10380"/>
                </a:cxn>
                <a:cxn ang="0">
                  <a:pos x="13774" y="10255"/>
                </a:cxn>
                <a:cxn ang="0">
                  <a:pos x="13834" y="10165"/>
                </a:cxn>
                <a:cxn ang="0">
                  <a:pos x="13921" y="10147"/>
                </a:cxn>
                <a:cxn ang="0">
                  <a:pos x="13979" y="10187"/>
                </a:cxn>
                <a:cxn ang="0">
                  <a:pos x="13999" y="10255"/>
                </a:cxn>
                <a:cxn ang="0">
                  <a:pos x="13966" y="10315"/>
                </a:cxn>
                <a:cxn ang="0">
                  <a:pos x="13906" y="10320"/>
                </a:cxn>
                <a:cxn ang="0">
                  <a:pos x="13879" y="10280"/>
                </a:cxn>
                <a:cxn ang="0">
                  <a:pos x="13899" y="10247"/>
                </a:cxn>
                <a:cxn ang="0">
                  <a:pos x="13911" y="10247"/>
                </a:cxn>
                <a:cxn ang="0">
                  <a:pos x="13921" y="10255"/>
                </a:cxn>
                <a:cxn ang="0">
                  <a:pos x="13926" y="10270"/>
                </a:cxn>
                <a:cxn ang="0">
                  <a:pos x="13934" y="10280"/>
                </a:cxn>
                <a:cxn ang="0">
                  <a:pos x="13949" y="10260"/>
                </a:cxn>
                <a:cxn ang="0">
                  <a:pos x="13944" y="10242"/>
                </a:cxn>
                <a:cxn ang="0">
                  <a:pos x="13926" y="10232"/>
                </a:cxn>
                <a:cxn ang="0">
                  <a:pos x="13901" y="10232"/>
                </a:cxn>
                <a:cxn ang="0">
                  <a:pos x="13871" y="10265"/>
                </a:cxn>
                <a:cxn ang="0">
                  <a:pos x="13879" y="10325"/>
                </a:cxn>
                <a:cxn ang="0">
                  <a:pos x="13939" y="10357"/>
                </a:cxn>
                <a:cxn ang="0">
                  <a:pos x="14016" y="10310"/>
                </a:cxn>
                <a:cxn ang="0">
                  <a:pos x="14026" y="10227"/>
                </a:cxn>
                <a:cxn ang="0">
                  <a:pos x="13976" y="10160"/>
                </a:cxn>
                <a:cxn ang="0">
                  <a:pos x="13879" y="10137"/>
                </a:cxn>
                <a:cxn ang="0">
                  <a:pos x="13801" y="10182"/>
                </a:cxn>
                <a:cxn ang="0">
                  <a:pos x="13761" y="10275"/>
                </a:cxn>
                <a:cxn ang="0">
                  <a:pos x="13794" y="10392"/>
                </a:cxn>
                <a:cxn ang="0">
                  <a:pos x="13889" y="10480"/>
                </a:cxn>
                <a:cxn ang="0">
                  <a:pos x="14031" y="10490"/>
                </a:cxn>
                <a:cxn ang="0">
                  <a:pos x="14209" y="10430"/>
                </a:cxn>
                <a:cxn ang="0">
                  <a:pos x="14369" y="10342"/>
                </a:cxn>
                <a:cxn ang="0">
                  <a:pos x="14519" y="10315"/>
                </a:cxn>
                <a:cxn ang="0">
                  <a:pos x="14689" y="10330"/>
                </a:cxn>
                <a:cxn ang="0">
                  <a:pos x="14856" y="10397"/>
                </a:cxn>
                <a:cxn ang="0">
                  <a:pos x="14989" y="10540"/>
                </a:cxn>
                <a:cxn ang="0">
                  <a:pos x="14866" y="10385"/>
                </a:cxn>
                <a:cxn ang="0">
                  <a:pos x="14701" y="10305"/>
                </a:cxn>
                <a:cxn ang="0">
                  <a:pos x="14524" y="10282"/>
                </a:cxn>
                <a:cxn ang="0">
                  <a:pos x="14354" y="10320"/>
                </a:cxn>
                <a:cxn ang="0">
                  <a:pos x="14214" y="10397"/>
                </a:cxn>
                <a:cxn ang="0">
                  <a:pos x="14066" y="10452"/>
                </a:cxn>
                <a:cxn ang="0">
                  <a:pos x="13934" y="10465"/>
                </a:cxn>
              </a:cxnLst>
              <a:rect l="0" t="0" r="r" b="b"/>
              <a:pathLst>
                <a:path w="15066" h="11591">
                  <a:moveTo>
                    <a:pt x="13934" y="10465"/>
                  </a:moveTo>
                  <a:lnTo>
                    <a:pt x="13879" y="10452"/>
                  </a:lnTo>
                  <a:lnTo>
                    <a:pt x="13834" y="10420"/>
                  </a:lnTo>
                  <a:lnTo>
                    <a:pt x="13796" y="10380"/>
                  </a:lnTo>
                  <a:lnTo>
                    <a:pt x="13774" y="10315"/>
                  </a:lnTo>
                  <a:lnTo>
                    <a:pt x="13774" y="10255"/>
                  </a:lnTo>
                  <a:lnTo>
                    <a:pt x="13796" y="10205"/>
                  </a:lnTo>
                  <a:lnTo>
                    <a:pt x="13834" y="10165"/>
                  </a:lnTo>
                  <a:lnTo>
                    <a:pt x="13879" y="10147"/>
                  </a:lnTo>
                  <a:lnTo>
                    <a:pt x="13921" y="10147"/>
                  </a:lnTo>
                  <a:lnTo>
                    <a:pt x="13951" y="10165"/>
                  </a:lnTo>
                  <a:lnTo>
                    <a:pt x="13979" y="10187"/>
                  </a:lnTo>
                  <a:lnTo>
                    <a:pt x="13994" y="10220"/>
                  </a:lnTo>
                  <a:lnTo>
                    <a:pt x="13999" y="10255"/>
                  </a:lnTo>
                  <a:lnTo>
                    <a:pt x="13989" y="10287"/>
                  </a:lnTo>
                  <a:lnTo>
                    <a:pt x="13966" y="10315"/>
                  </a:lnTo>
                  <a:lnTo>
                    <a:pt x="13934" y="10325"/>
                  </a:lnTo>
                  <a:lnTo>
                    <a:pt x="13906" y="10320"/>
                  </a:lnTo>
                  <a:lnTo>
                    <a:pt x="13889" y="10302"/>
                  </a:lnTo>
                  <a:lnTo>
                    <a:pt x="13879" y="10280"/>
                  </a:lnTo>
                  <a:lnTo>
                    <a:pt x="13889" y="10255"/>
                  </a:lnTo>
                  <a:lnTo>
                    <a:pt x="13899" y="10247"/>
                  </a:lnTo>
                  <a:lnTo>
                    <a:pt x="13901" y="10242"/>
                  </a:lnTo>
                  <a:lnTo>
                    <a:pt x="13911" y="10247"/>
                  </a:lnTo>
                  <a:lnTo>
                    <a:pt x="13916" y="10252"/>
                  </a:lnTo>
                  <a:lnTo>
                    <a:pt x="13921" y="10255"/>
                  </a:lnTo>
                  <a:lnTo>
                    <a:pt x="13921" y="10265"/>
                  </a:lnTo>
                  <a:lnTo>
                    <a:pt x="13926" y="10270"/>
                  </a:lnTo>
                  <a:lnTo>
                    <a:pt x="13929" y="10280"/>
                  </a:lnTo>
                  <a:lnTo>
                    <a:pt x="13934" y="10280"/>
                  </a:lnTo>
                  <a:lnTo>
                    <a:pt x="13944" y="10270"/>
                  </a:lnTo>
                  <a:lnTo>
                    <a:pt x="13949" y="10260"/>
                  </a:lnTo>
                  <a:lnTo>
                    <a:pt x="13949" y="10252"/>
                  </a:lnTo>
                  <a:lnTo>
                    <a:pt x="13944" y="10242"/>
                  </a:lnTo>
                  <a:lnTo>
                    <a:pt x="13934" y="10237"/>
                  </a:lnTo>
                  <a:lnTo>
                    <a:pt x="13926" y="10232"/>
                  </a:lnTo>
                  <a:lnTo>
                    <a:pt x="13911" y="10227"/>
                  </a:lnTo>
                  <a:lnTo>
                    <a:pt x="13901" y="10232"/>
                  </a:lnTo>
                  <a:lnTo>
                    <a:pt x="13894" y="10237"/>
                  </a:lnTo>
                  <a:lnTo>
                    <a:pt x="13871" y="10265"/>
                  </a:lnTo>
                  <a:lnTo>
                    <a:pt x="13866" y="10297"/>
                  </a:lnTo>
                  <a:lnTo>
                    <a:pt x="13879" y="10325"/>
                  </a:lnTo>
                  <a:lnTo>
                    <a:pt x="13906" y="10347"/>
                  </a:lnTo>
                  <a:lnTo>
                    <a:pt x="13939" y="10357"/>
                  </a:lnTo>
                  <a:lnTo>
                    <a:pt x="13984" y="10342"/>
                  </a:lnTo>
                  <a:lnTo>
                    <a:pt x="14016" y="10310"/>
                  </a:lnTo>
                  <a:lnTo>
                    <a:pt x="14031" y="10275"/>
                  </a:lnTo>
                  <a:lnTo>
                    <a:pt x="14026" y="10227"/>
                  </a:lnTo>
                  <a:lnTo>
                    <a:pt x="14006" y="10192"/>
                  </a:lnTo>
                  <a:lnTo>
                    <a:pt x="13976" y="10160"/>
                  </a:lnTo>
                  <a:lnTo>
                    <a:pt x="13934" y="10142"/>
                  </a:lnTo>
                  <a:lnTo>
                    <a:pt x="13879" y="10137"/>
                  </a:lnTo>
                  <a:lnTo>
                    <a:pt x="13839" y="10155"/>
                  </a:lnTo>
                  <a:lnTo>
                    <a:pt x="13801" y="10182"/>
                  </a:lnTo>
                  <a:lnTo>
                    <a:pt x="13774" y="10225"/>
                  </a:lnTo>
                  <a:lnTo>
                    <a:pt x="13761" y="10275"/>
                  </a:lnTo>
                  <a:lnTo>
                    <a:pt x="13766" y="10332"/>
                  </a:lnTo>
                  <a:lnTo>
                    <a:pt x="13794" y="10392"/>
                  </a:lnTo>
                  <a:lnTo>
                    <a:pt x="13834" y="10447"/>
                  </a:lnTo>
                  <a:lnTo>
                    <a:pt x="13889" y="10480"/>
                  </a:lnTo>
                  <a:lnTo>
                    <a:pt x="13951" y="10492"/>
                  </a:lnTo>
                  <a:lnTo>
                    <a:pt x="14031" y="10490"/>
                  </a:lnTo>
                  <a:lnTo>
                    <a:pt x="14116" y="10465"/>
                  </a:lnTo>
                  <a:lnTo>
                    <a:pt x="14209" y="10430"/>
                  </a:lnTo>
                  <a:lnTo>
                    <a:pt x="14309" y="10370"/>
                  </a:lnTo>
                  <a:lnTo>
                    <a:pt x="14369" y="10342"/>
                  </a:lnTo>
                  <a:lnTo>
                    <a:pt x="14436" y="10325"/>
                  </a:lnTo>
                  <a:lnTo>
                    <a:pt x="14519" y="10315"/>
                  </a:lnTo>
                  <a:lnTo>
                    <a:pt x="14601" y="10315"/>
                  </a:lnTo>
                  <a:lnTo>
                    <a:pt x="14689" y="10330"/>
                  </a:lnTo>
                  <a:lnTo>
                    <a:pt x="14774" y="10357"/>
                  </a:lnTo>
                  <a:lnTo>
                    <a:pt x="14856" y="10397"/>
                  </a:lnTo>
                  <a:lnTo>
                    <a:pt x="14931" y="10457"/>
                  </a:lnTo>
                  <a:lnTo>
                    <a:pt x="14989" y="10540"/>
                  </a:lnTo>
                  <a:lnTo>
                    <a:pt x="14934" y="10452"/>
                  </a:lnTo>
                  <a:lnTo>
                    <a:pt x="14866" y="10385"/>
                  </a:lnTo>
                  <a:lnTo>
                    <a:pt x="14789" y="10337"/>
                  </a:lnTo>
                  <a:lnTo>
                    <a:pt x="14701" y="10305"/>
                  </a:lnTo>
                  <a:lnTo>
                    <a:pt x="14614" y="10287"/>
                  </a:lnTo>
                  <a:lnTo>
                    <a:pt x="14524" y="10282"/>
                  </a:lnTo>
                  <a:lnTo>
                    <a:pt x="14436" y="10297"/>
                  </a:lnTo>
                  <a:lnTo>
                    <a:pt x="14354" y="10320"/>
                  </a:lnTo>
                  <a:lnTo>
                    <a:pt x="14281" y="10357"/>
                  </a:lnTo>
                  <a:lnTo>
                    <a:pt x="14214" y="10397"/>
                  </a:lnTo>
                  <a:lnTo>
                    <a:pt x="14139" y="10430"/>
                  </a:lnTo>
                  <a:lnTo>
                    <a:pt x="14066" y="10452"/>
                  </a:lnTo>
                  <a:lnTo>
                    <a:pt x="13999" y="10465"/>
                  </a:lnTo>
                  <a:lnTo>
                    <a:pt x="13934" y="1046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60" name="Freeform 68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37" y="10275"/>
                </a:cxn>
                <a:cxn ang="0">
                  <a:pos x="1082" y="10342"/>
                </a:cxn>
                <a:cxn ang="0">
                  <a:pos x="1160" y="10347"/>
                </a:cxn>
                <a:cxn ang="0">
                  <a:pos x="1197" y="10297"/>
                </a:cxn>
                <a:cxn ang="0">
                  <a:pos x="1175" y="10237"/>
                </a:cxn>
                <a:cxn ang="0">
                  <a:pos x="1150" y="10227"/>
                </a:cxn>
                <a:cxn ang="0">
                  <a:pos x="1132" y="10237"/>
                </a:cxn>
                <a:cxn ang="0">
                  <a:pos x="1120" y="10252"/>
                </a:cxn>
                <a:cxn ang="0">
                  <a:pos x="1127" y="10280"/>
                </a:cxn>
                <a:cxn ang="0">
                  <a:pos x="1142" y="10270"/>
                </a:cxn>
                <a:cxn ang="0">
                  <a:pos x="1147" y="10255"/>
                </a:cxn>
                <a:cxn ang="0">
                  <a:pos x="1155" y="10247"/>
                </a:cxn>
                <a:cxn ang="0">
                  <a:pos x="1170" y="10247"/>
                </a:cxn>
                <a:cxn ang="0">
                  <a:pos x="1182" y="10280"/>
                </a:cxn>
                <a:cxn ang="0">
                  <a:pos x="1155" y="10320"/>
                </a:cxn>
                <a:cxn ang="0">
                  <a:pos x="1100" y="10315"/>
                </a:cxn>
                <a:cxn ang="0">
                  <a:pos x="1065" y="10255"/>
                </a:cxn>
                <a:cxn ang="0">
                  <a:pos x="1087" y="10187"/>
                </a:cxn>
                <a:cxn ang="0">
                  <a:pos x="1147" y="10147"/>
                </a:cxn>
                <a:cxn ang="0">
                  <a:pos x="1232" y="10165"/>
                </a:cxn>
                <a:cxn ang="0">
                  <a:pos x="1287" y="10255"/>
                </a:cxn>
                <a:cxn ang="0">
                  <a:pos x="1270" y="10380"/>
                </a:cxn>
                <a:cxn ang="0">
                  <a:pos x="1182" y="10452"/>
                </a:cxn>
                <a:cxn ang="0">
                  <a:pos x="1065" y="10465"/>
                </a:cxn>
                <a:cxn ang="0">
                  <a:pos x="927" y="10430"/>
                </a:cxn>
                <a:cxn ang="0">
                  <a:pos x="780" y="10357"/>
                </a:cxn>
                <a:cxn ang="0">
                  <a:pos x="625" y="10297"/>
                </a:cxn>
                <a:cxn ang="0">
                  <a:pos x="452" y="10287"/>
                </a:cxn>
                <a:cxn ang="0">
                  <a:pos x="277" y="10337"/>
                </a:cxn>
                <a:cxn ang="0">
                  <a:pos x="127" y="10452"/>
                </a:cxn>
                <a:cxn ang="0">
                  <a:pos x="132" y="10457"/>
                </a:cxn>
                <a:cxn ang="0">
                  <a:pos x="287" y="10357"/>
                </a:cxn>
                <a:cxn ang="0">
                  <a:pos x="462" y="10315"/>
                </a:cxn>
                <a:cxn ang="0">
                  <a:pos x="625" y="10325"/>
                </a:cxn>
                <a:cxn ang="0">
                  <a:pos x="755" y="10370"/>
                </a:cxn>
                <a:cxn ang="0">
                  <a:pos x="950" y="10465"/>
                </a:cxn>
                <a:cxn ang="0">
                  <a:pos x="1110" y="10492"/>
                </a:cxn>
                <a:cxn ang="0">
                  <a:pos x="1230" y="10447"/>
                </a:cxn>
                <a:cxn ang="0">
                  <a:pos x="1302" y="10332"/>
                </a:cxn>
                <a:cxn ang="0">
                  <a:pos x="1292" y="10225"/>
                </a:cxn>
                <a:cxn ang="0">
                  <a:pos x="1230" y="10155"/>
                </a:cxn>
                <a:cxn ang="0">
                  <a:pos x="1132" y="10142"/>
                </a:cxn>
                <a:cxn ang="0">
                  <a:pos x="1055" y="10192"/>
                </a:cxn>
              </a:cxnLst>
              <a:rect l="0" t="0" r="r" b="b"/>
              <a:pathLst>
                <a:path w="15066" h="11591">
                  <a:moveTo>
                    <a:pt x="1037" y="10227"/>
                  </a:moveTo>
                  <a:lnTo>
                    <a:pt x="1037" y="10275"/>
                  </a:lnTo>
                  <a:lnTo>
                    <a:pt x="1050" y="10310"/>
                  </a:lnTo>
                  <a:lnTo>
                    <a:pt x="1082" y="10342"/>
                  </a:lnTo>
                  <a:lnTo>
                    <a:pt x="1125" y="10357"/>
                  </a:lnTo>
                  <a:lnTo>
                    <a:pt x="1160" y="10347"/>
                  </a:lnTo>
                  <a:lnTo>
                    <a:pt x="1187" y="10325"/>
                  </a:lnTo>
                  <a:lnTo>
                    <a:pt x="1197" y="10297"/>
                  </a:lnTo>
                  <a:lnTo>
                    <a:pt x="1197" y="10265"/>
                  </a:lnTo>
                  <a:lnTo>
                    <a:pt x="1175" y="10237"/>
                  </a:lnTo>
                  <a:lnTo>
                    <a:pt x="1165" y="10232"/>
                  </a:lnTo>
                  <a:lnTo>
                    <a:pt x="1150" y="10227"/>
                  </a:lnTo>
                  <a:lnTo>
                    <a:pt x="1142" y="10232"/>
                  </a:lnTo>
                  <a:lnTo>
                    <a:pt x="1132" y="10237"/>
                  </a:lnTo>
                  <a:lnTo>
                    <a:pt x="1125" y="10242"/>
                  </a:lnTo>
                  <a:lnTo>
                    <a:pt x="1120" y="10252"/>
                  </a:lnTo>
                  <a:lnTo>
                    <a:pt x="1120" y="10270"/>
                  </a:lnTo>
                  <a:lnTo>
                    <a:pt x="1127" y="10280"/>
                  </a:lnTo>
                  <a:lnTo>
                    <a:pt x="1137" y="10280"/>
                  </a:lnTo>
                  <a:lnTo>
                    <a:pt x="1142" y="10270"/>
                  </a:lnTo>
                  <a:lnTo>
                    <a:pt x="1142" y="10265"/>
                  </a:lnTo>
                  <a:lnTo>
                    <a:pt x="1147" y="10255"/>
                  </a:lnTo>
                  <a:lnTo>
                    <a:pt x="1150" y="10252"/>
                  </a:lnTo>
                  <a:lnTo>
                    <a:pt x="1155" y="10247"/>
                  </a:lnTo>
                  <a:lnTo>
                    <a:pt x="1160" y="10242"/>
                  </a:lnTo>
                  <a:lnTo>
                    <a:pt x="1170" y="10247"/>
                  </a:lnTo>
                  <a:lnTo>
                    <a:pt x="1175" y="10255"/>
                  </a:lnTo>
                  <a:lnTo>
                    <a:pt x="1182" y="10280"/>
                  </a:lnTo>
                  <a:lnTo>
                    <a:pt x="1177" y="10302"/>
                  </a:lnTo>
                  <a:lnTo>
                    <a:pt x="1155" y="10320"/>
                  </a:lnTo>
                  <a:lnTo>
                    <a:pt x="1127" y="10325"/>
                  </a:lnTo>
                  <a:lnTo>
                    <a:pt x="1100" y="10315"/>
                  </a:lnTo>
                  <a:lnTo>
                    <a:pt x="1072" y="10287"/>
                  </a:lnTo>
                  <a:lnTo>
                    <a:pt x="1065" y="10255"/>
                  </a:lnTo>
                  <a:lnTo>
                    <a:pt x="1070" y="10220"/>
                  </a:lnTo>
                  <a:lnTo>
                    <a:pt x="1087" y="10187"/>
                  </a:lnTo>
                  <a:lnTo>
                    <a:pt x="1110" y="10165"/>
                  </a:lnTo>
                  <a:lnTo>
                    <a:pt x="1147" y="10147"/>
                  </a:lnTo>
                  <a:lnTo>
                    <a:pt x="1182" y="10147"/>
                  </a:lnTo>
                  <a:lnTo>
                    <a:pt x="1232" y="10165"/>
                  </a:lnTo>
                  <a:lnTo>
                    <a:pt x="1270" y="10205"/>
                  </a:lnTo>
                  <a:lnTo>
                    <a:pt x="1287" y="10255"/>
                  </a:lnTo>
                  <a:lnTo>
                    <a:pt x="1292" y="10315"/>
                  </a:lnTo>
                  <a:lnTo>
                    <a:pt x="1270" y="10380"/>
                  </a:lnTo>
                  <a:lnTo>
                    <a:pt x="1232" y="10420"/>
                  </a:lnTo>
                  <a:lnTo>
                    <a:pt x="1182" y="10452"/>
                  </a:lnTo>
                  <a:lnTo>
                    <a:pt x="1127" y="10465"/>
                  </a:lnTo>
                  <a:lnTo>
                    <a:pt x="1065" y="10465"/>
                  </a:lnTo>
                  <a:lnTo>
                    <a:pt x="1000" y="10452"/>
                  </a:lnTo>
                  <a:lnTo>
                    <a:pt x="927" y="10430"/>
                  </a:lnTo>
                  <a:lnTo>
                    <a:pt x="855" y="10397"/>
                  </a:lnTo>
                  <a:lnTo>
                    <a:pt x="780" y="10357"/>
                  </a:lnTo>
                  <a:lnTo>
                    <a:pt x="707" y="10320"/>
                  </a:lnTo>
                  <a:lnTo>
                    <a:pt x="625" y="10297"/>
                  </a:lnTo>
                  <a:lnTo>
                    <a:pt x="540" y="10282"/>
                  </a:lnTo>
                  <a:lnTo>
                    <a:pt x="452" y="10287"/>
                  </a:lnTo>
                  <a:lnTo>
                    <a:pt x="360" y="10305"/>
                  </a:lnTo>
                  <a:lnTo>
                    <a:pt x="277" y="10337"/>
                  </a:lnTo>
                  <a:lnTo>
                    <a:pt x="200" y="10385"/>
                  </a:lnTo>
                  <a:lnTo>
                    <a:pt x="127" y="10452"/>
                  </a:lnTo>
                  <a:lnTo>
                    <a:pt x="72" y="10540"/>
                  </a:lnTo>
                  <a:lnTo>
                    <a:pt x="132" y="10457"/>
                  </a:lnTo>
                  <a:lnTo>
                    <a:pt x="205" y="10397"/>
                  </a:lnTo>
                  <a:lnTo>
                    <a:pt x="287" y="10357"/>
                  </a:lnTo>
                  <a:lnTo>
                    <a:pt x="375" y="10330"/>
                  </a:lnTo>
                  <a:lnTo>
                    <a:pt x="462" y="10315"/>
                  </a:lnTo>
                  <a:lnTo>
                    <a:pt x="547" y="10315"/>
                  </a:lnTo>
                  <a:lnTo>
                    <a:pt x="625" y="10325"/>
                  </a:lnTo>
                  <a:lnTo>
                    <a:pt x="700" y="10342"/>
                  </a:lnTo>
                  <a:lnTo>
                    <a:pt x="755" y="10370"/>
                  </a:lnTo>
                  <a:lnTo>
                    <a:pt x="855" y="10430"/>
                  </a:lnTo>
                  <a:lnTo>
                    <a:pt x="950" y="10465"/>
                  </a:lnTo>
                  <a:lnTo>
                    <a:pt x="1037" y="10490"/>
                  </a:lnTo>
                  <a:lnTo>
                    <a:pt x="1110" y="10492"/>
                  </a:lnTo>
                  <a:lnTo>
                    <a:pt x="1175" y="10480"/>
                  </a:lnTo>
                  <a:lnTo>
                    <a:pt x="1230" y="10447"/>
                  </a:lnTo>
                  <a:lnTo>
                    <a:pt x="1275" y="10392"/>
                  </a:lnTo>
                  <a:lnTo>
                    <a:pt x="1302" y="10332"/>
                  </a:lnTo>
                  <a:lnTo>
                    <a:pt x="1307" y="10275"/>
                  </a:lnTo>
                  <a:lnTo>
                    <a:pt x="1292" y="10225"/>
                  </a:lnTo>
                  <a:lnTo>
                    <a:pt x="1265" y="10182"/>
                  </a:lnTo>
                  <a:lnTo>
                    <a:pt x="1230" y="10155"/>
                  </a:lnTo>
                  <a:lnTo>
                    <a:pt x="1187" y="10137"/>
                  </a:lnTo>
                  <a:lnTo>
                    <a:pt x="1132" y="10142"/>
                  </a:lnTo>
                  <a:lnTo>
                    <a:pt x="1087" y="10160"/>
                  </a:lnTo>
                  <a:lnTo>
                    <a:pt x="1055" y="10192"/>
                  </a:lnTo>
                  <a:lnTo>
                    <a:pt x="1037" y="1022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9" name="Freeform 67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296" y="10005"/>
                </a:cxn>
                <a:cxn ang="0">
                  <a:pos x="14281" y="10015"/>
                </a:cxn>
                <a:cxn ang="0">
                  <a:pos x="14296" y="10010"/>
                </a:cxn>
                <a:cxn ang="0">
                  <a:pos x="14336" y="10000"/>
                </a:cxn>
                <a:cxn ang="0">
                  <a:pos x="14376" y="10010"/>
                </a:cxn>
                <a:cxn ang="0">
                  <a:pos x="14409" y="10032"/>
                </a:cxn>
                <a:cxn ang="0">
                  <a:pos x="14429" y="10067"/>
                </a:cxn>
                <a:cxn ang="0">
                  <a:pos x="14431" y="10105"/>
                </a:cxn>
                <a:cxn ang="0">
                  <a:pos x="14414" y="10137"/>
                </a:cxn>
                <a:cxn ang="0">
                  <a:pos x="14386" y="10155"/>
                </a:cxn>
                <a:cxn ang="0">
                  <a:pos x="14356" y="10163"/>
                </a:cxn>
                <a:cxn ang="0">
                  <a:pos x="14369" y="10165"/>
                </a:cxn>
                <a:cxn ang="0">
                  <a:pos x="14409" y="10150"/>
                </a:cxn>
                <a:cxn ang="0">
                  <a:pos x="14431" y="10122"/>
                </a:cxn>
                <a:cxn ang="0">
                  <a:pos x="14441" y="10092"/>
                </a:cxn>
                <a:cxn ang="0">
                  <a:pos x="14436" y="10050"/>
                </a:cxn>
                <a:cxn ang="0">
                  <a:pos x="14409" y="10017"/>
                </a:cxn>
                <a:cxn ang="0">
                  <a:pos x="14374" y="9995"/>
                </a:cxn>
                <a:cxn ang="0">
                  <a:pos x="14331" y="9995"/>
                </a:cxn>
                <a:cxn ang="0">
                  <a:pos x="14296" y="10005"/>
                </a:cxn>
              </a:cxnLst>
              <a:rect l="0" t="0" r="r" b="b"/>
              <a:pathLst>
                <a:path w="15066" h="11591">
                  <a:moveTo>
                    <a:pt x="14296" y="10005"/>
                  </a:moveTo>
                  <a:lnTo>
                    <a:pt x="14281" y="10015"/>
                  </a:lnTo>
                  <a:lnTo>
                    <a:pt x="14296" y="10010"/>
                  </a:lnTo>
                  <a:lnTo>
                    <a:pt x="14336" y="10000"/>
                  </a:lnTo>
                  <a:lnTo>
                    <a:pt x="14376" y="10010"/>
                  </a:lnTo>
                  <a:lnTo>
                    <a:pt x="14409" y="10032"/>
                  </a:lnTo>
                  <a:lnTo>
                    <a:pt x="14429" y="10067"/>
                  </a:lnTo>
                  <a:lnTo>
                    <a:pt x="14431" y="10105"/>
                  </a:lnTo>
                  <a:lnTo>
                    <a:pt x="14414" y="10137"/>
                  </a:lnTo>
                  <a:lnTo>
                    <a:pt x="14386" y="10155"/>
                  </a:lnTo>
                  <a:lnTo>
                    <a:pt x="14356" y="10163"/>
                  </a:lnTo>
                  <a:lnTo>
                    <a:pt x="14369" y="10165"/>
                  </a:lnTo>
                  <a:lnTo>
                    <a:pt x="14409" y="10150"/>
                  </a:lnTo>
                  <a:lnTo>
                    <a:pt x="14431" y="10122"/>
                  </a:lnTo>
                  <a:lnTo>
                    <a:pt x="14441" y="10092"/>
                  </a:lnTo>
                  <a:lnTo>
                    <a:pt x="14436" y="10050"/>
                  </a:lnTo>
                  <a:lnTo>
                    <a:pt x="14409" y="10017"/>
                  </a:lnTo>
                  <a:lnTo>
                    <a:pt x="14374" y="9995"/>
                  </a:lnTo>
                  <a:lnTo>
                    <a:pt x="14331" y="9995"/>
                  </a:lnTo>
                  <a:lnTo>
                    <a:pt x="14296" y="1000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8" name="Freeform 66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226" y="10105"/>
                </a:cxn>
                <a:cxn ang="0">
                  <a:pos x="14231" y="10072"/>
                </a:cxn>
                <a:cxn ang="0">
                  <a:pos x="14244" y="10045"/>
                </a:cxn>
                <a:cxn ang="0">
                  <a:pos x="14269" y="10022"/>
                </a:cxn>
                <a:cxn ang="0">
                  <a:pos x="14281" y="10015"/>
                </a:cxn>
                <a:cxn ang="0">
                  <a:pos x="14259" y="10027"/>
                </a:cxn>
                <a:cxn ang="0">
                  <a:pos x="14226" y="10055"/>
                </a:cxn>
                <a:cxn ang="0">
                  <a:pos x="14214" y="10087"/>
                </a:cxn>
                <a:cxn ang="0">
                  <a:pos x="14209" y="10122"/>
                </a:cxn>
                <a:cxn ang="0">
                  <a:pos x="14214" y="10160"/>
                </a:cxn>
                <a:cxn ang="0">
                  <a:pos x="14231" y="10197"/>
                </a:cxn>
                <a:cxn ang="0">
                  <a:pos x="14269" y="10227"/>
                </a:cxn>
                <a:cxn ang="0">
                  <a:pos x="14314" y="10247"/>
                </a:cxn>
                <a:cxn ang="0">
                  <a:pos x="14364" y="10247"/>
                </a:cxn>
                <a:cxn ang="0">
                  <a:pos x="14414" y="10237"/>
                </a:cxn>
                <a:cxn ang="0">
                  <a:pos x="14469" y="10225"/>
                </a:cxn>
                <a:cxn ang="0">
                  <a:pos x="14524" y="10210"/>
                </a:cxn>
                <a:cxn ang="0">
                  <a:pos x="14586" y="10200"/>
                </a:cxn>
                <a:cxn ang="0">
                  <a:pos x="14651" y="10200"/>
                </a:cxn>
                <a:cxn ang="0">
                  <a:pos x="14724" y="10220"/>
                </a:cxn>
                <a:cxn ang="0">
                  <a:pos x="14799" y="10255"/>
                </a:cxn>
                <a:cxn ang="0">
                  <a:pos x="14729" y="10210"/>
                </a:cxn>
                <a:cxn ang="0">
                  <a:pos x="14666" y="10192"/>
                </a:cxn>
                <a:cxn ang="0">
                  <a:pos x="14606" y="10187"/>
                </a:cxn>
                <a:cxn ang="0">
                  <a:pos x="14546" y="10197"/>
                </a:cxn>
                <a:cxn ang="0">
                  <a:pos x="14491" y="10215"/>
                </a:cxn>
                <a:cxn ang="0">
                  <a:pos x="14441" y="10227"/>
                </a:cxn>
                <a:cxn ang="0">
                  <a:pos x="14391" y="10237"/>
                </a:cxn>
                <a:cxn ang="0">
                  <a:pos x="14336" y="10237"/>
                </a:cxn>
                <a:cxn ang="0">
                  <a:pos x="14286" y="10215"/>
                </a:cxn>
                <a:cxn ang="0">
                  <a:pos x="14249" y="10182"/>
                </a:cxn>
                <a:cxn ang="0">
                  <a:pos x="14231" y="10147"/>
                </a:cxn>
                <a:cxn ang="0">
                  <a:pos x="14226" y="10105"/>
                </a:cxn>
              </a:cxnLst>
              <a:rect l="0" t="0" r="r" b="b"/>
              <a:pathLst>
                <a:path w="15066" h="11591">
                  <a:moveTo>
                    <a:pt x="14226" y="10105"/>
                  </a:moveTo>
                  <a:lnTo>
                    <a:pt x="14231" y="10072"/>
                  </a:lnTo>
                  <a:lnTo>
                    <a:pt x="14244" y="10045"/>
                  </a:lnTo>
                  <a:lnTo>
                    <a:pt x="14269" y="10022"/>
                  </a:lnTo>
                  <a:lnTo>
                    <a:pt x="14281" y="10015"/>
                  </a:lnTo>
                  <a:lnTo>
                    <a:pt x="14259" y="10027"/>
                  </a:lnTo>
                  <a:lnTo>
                    <a:pt x="14226" y="10055"/>
                  </a:lnTo>
                  <a:lnTo>
                    <a:pt x="14214" y="10087"/>
                  </a:lnTo>
                  <a:lnTo>
                    <a:pt x="14209" y="10122"/>
                  </a:lnTo>
                  <a:lnTo>
                    <a:pt x="14214" y="10160"/>
                  </a:lnTo>
                  <a:lnTo>
                    <a:pt x="14231" y="10197"/>
                  </a:lnTo>
                  <a:lnTo>
                    <a:pt x="14269" y="10227"/>
                  </a:lnTo>
                  <a:lnTo>
                    <a:pt x="14314" y="10247"/>
                  </a:lnTo>
                  <a:lnTo>
                    <a:pt x="14364" y="10247"/>
                  </a:lnTo>
                  <a:lnTo>
                    <a:pt x="14414" y="10237"/>
                  </a:lnTo>
                  <a:lnTo>
                    <a:pt x="14469" y="10225"/>
                  </a:lnTo>
                  <a:lnTo>
                    <a:pt x="14524" y="10210"/>
                  </a:lnTo>
                  <a:lnTo>
                    <a:pt x="14586" y="10200"/>
                  </a:lnTo>
                  <a:lnTo>
                    <a:pt x="14651" y="10200"/>
                  </a:lnTo>
                  <a:lnTo>
                    <a:pt x="14724" y="10220"/>
                  </a:lnTo>
                  <a:lnTo>
                    <a:pt x="14799" y="10255"/>
                  </a:lnTo>
                  <a:lnTo>
                    <a:pt x="14729" y="10210"/>
                  </a:lnTo>
                  <a:lnTo>
                    <a:pt x="14666" y="10192"/>
                  </a:lnTo>
                  <a:lnTo>
                    <a:pt x="14606" y="10187"/>
                  </a:lnTo>
                  <a:lnTo>
                    <a:pt x="14546" y="10197"/>
                  </a:lnTo>
                  <a:lnTo>
                    <a:pt x="14491" y="10215"/>
                  </a:lnTo>
                  <a:lnTo>
                    <a:pt x="14441" y="10227"/>
                  </a:lnTo>
                  <a:lnTo>
                    <a:pt x="14391" y="10237"/>
                  </a:lnTo>
                  <a:lnTo>
                    <a:pt x="14336" y="10237"/>
                  </a:lnTo>
                  <a:lnTo>
                    <a:pt x="14286" y="10215"/>
                  </a:lnTo>
                  <a:lnTo>
                    <a:pt x="14249" y="10182"/>
                  </a:lnTo>
                  <a:lnTo>
                    <a:pt x="14231" y="10147"/>
                  </a:lnTo>
                  <a:lnTo>
                    <a:pt x="14226" y="1010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7" name="Freeform 65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568" y="625"/>
                </a:cxn>
                <a:cxn ang="0">
                  <a:pos x="4578" y="657"/>
                </a:cxn>
                <a:cxn ang="0">
                  <a:pos x="4510" y="707"/>
                </a:cxn>
                <a:cxn ang="0">
                  <a:pos x="4510" y="712"/>
                </a:cxn>
                <a:cxn ang="0">
                  <a:pos x="4578" y="680"/>
                </a:cxn>
                <a:cxn ang="0">
                  <a:pos x="4618" y="625"/>
                </a:cxn>
                <a:cxn ang="0">
                  <a:pos x="4665" y="612"/>
                </a:cxn>
                <a:cxn ang="0">
                  <a:pos x="4660" y="607"/>
                </a:cxn>
                <a:cxn ang="0">
                  <a:pos x="4638" y="590"/>
                </a:cxn>
                <a:cxn ang="0">
                  <a:pos x="4668" y="457"/>
                </a:cxn>
                <a:cxn ang="0">
                  <a:pos x="4705" y="327"/>
                </a:cxn>
                <a:cxn ang="0">
                  <a:pos x="4738" y="265"/>
                </a:cxn>
                <a:cxn ang="0">
                  <a:pos x="4828" y="150"/>
                </a:cxn>
                <a:cxn ang="0">
                  <a:pos x="4998" y="50"/>
                </a:cxn>
                <a:cxn ang="0">
                  <a:pos x="4828" y="145"/>
                </a:cxn>
                <a:cxn ang="0">
                  <a:pos x="4728" y="260"/>
                </a:cxn>
                <a:cxn ang="0">
                  <a:pos x="4668" y="270"/>
                </a:cxn>
                <a:cxn ang="0">
                  <a:pos x="4723" y="265"/>
                </a:cxn>
                <a:cxn ang="0">
                  <a:pos x="4668" y="387"/>
                </a:cxn>
                <a:cxn ang="0">
                  <a:pos x="4638" y="515"/>
                </a:cxn>
                <a:cxn ang="0">
                  <a:pos x="4600" y="620"/>
                </a:cxn>
                <a:cxn ang="0">
                  <a:pos x="4523" y="597"/>
                </a:cxn>
                <a:cxn ang="0">
                  <a:pos x="4468" y="492"/>
                </a:cxn>
                <a:cxn ang="0">
                  <a:pos x="4473" y="425"/>
                </a:cxn>
                <a:cxn ang="0">
                  <a:pos x="4468" y="365"/>
                </a:cxn>
                <a:cxn ang="0">
                  <a:pos x="4445" y="480"/>
                </a:cxn>
                <a:cxn ang="0">
                  <a:pos x="4428" y="502"/>
                </a:cxn>
                <a:cxn ang="0">
                  <a:pos x="4345" y="497"/>
                </a:cxn>
                <a:cxn ang="0">
                  <a:pos x="4308" y="480"/>
                </a:cxn>
                <a:cxn ang="0">
                  <a:pos x="4308" y="485"/>
                </a:cxn>
                <a:cxn ang="0">
                  <a:pos x="4335" y="497"/>
                </a:cxn>
                <a:cxn ang="0">
                  <a:pos x="4408" y="510"/>
                </a:cxn>
                <a:cxn ang="0">
                  <a:pos x="4455" y="502"/>
                </a:cxn>
                <a:cxn ang="0">
                  <a:pos x="4490" y="580"/>
                </a:cxn>
              </a:cxnLst>
              <a:rect l="0" t="0" r="r" b="b"/>
              <a:pathLst>
                <a:path w="15066" h="11591">
                  <a:moveTo>
                    <a:pt x="4528" y="607"/>
                  </a:moveTo>
                  <a:lnTo>
                    <a:pt x="4568" y="625"/>
                  </a:lnTo>
                  <a:lnTo>
                    <a:pt x="4595" y="630"/>
                  </a:lnTo>
                  <a:lnTo>
                    <a:pt x="4578" y="657"/>
                  </a:lnTo>
                  <a:lnTo>
                    <a:pt x="4545" y="695"/>
                  </a:lnTo>
                  <a:lnTo>
                    <a:pt x="4510" y="707"/>
                  </a:lnTo>
                  <a:lnTo>
                    <a:pt x="4495" y="712"/>
                  </a:lnTo>
                  <a:lnTo>
                    <a:pt x="4510" y="712"/>
                  </a:lnTo>
                  <a:lnTo>
                    <a:pt x="4545" y="702"/>
                  </a:lnTo>
                  <a:lnTo>
                    <a:pt x="4578" y="680"/>
                  </a:lnTo>
                  <a:lnTo>
                    <a:pt x="4610" y="640"/>
                  </a:lnTo>
                  <a:lnTo>
                    <a:pt x="4618" y="625"/>
                  </a:lnTo>
                  <a:lnTo>
                    <a:pt x="4633" y="625"/>
                  </a:lnTo>
                  <a:lnTo>
                    <a:pt x="4665" y="612"/>
                  </a:lnTo>
                  <a:lnTo>
                    <a:pt x="4688" y="585"/>
                  </a:lnTo>
                  <a:lnTo>
                    <a:pt x="4660" y="607"/>
                  </a:lnTo>
                  <a:lnTo>
                    <a:pt x="4618" y="620"/>
                  </a:lnTo>
                  <a:lnTo>
                    <a:pt x="4638" y="590"/>
                  </a:lnTo>
                  <a:lnTo>
                    <a:pt x="4655" y="520"/>
                  </a:lnTo>
                  <a:lnTo>
                    <a:pt x="4668" y="457"/>
                  </a:lnTo>
                  <a:lnTo>
                    <a:pt x="4688" y="392"/>
                  </a:lnTo>
                  <a:lnTo>
                    <a:pt x="4705" y="327"/>
                  </a:lnTo>
                  <a:lnTo>
                    <a:pt x="4733" y="265"/>
                  </a:lnTo>
                  <a:lnTo>
                    <a:pt x="4738" y="265"/>
                  </a:lnTo>
                  <a:lnTo>
                    <a:pt x="4775" y="205"/>
                  </a:lnTo>
                  <a:lnTo>
                    <a:pt x="4828" y="150"/>
                  </a:lnTo>
                  <a:lnTo>
                    <a:pt x="4903" y="100"/>
                  </a:lnTo>
                  <a:lnTo>
                    <a:pt x="4998" y="50"/>
                  </a:lnTo>
                  <a:lnTo>
                    <a:pt x="4903" y="95"/>
                  </a:lnTo>
                  <a:lnTo>
                    <a:pt x="4828" y="145"/>
                  </a:lnTo>
                  <a:lnTo>
                    <a:pt x="4770" y="205"/>
                  </a:lnTo>
                  <a:lnTo>
                    <a:pt x="4728" y="260"/>
                  </a:lnTo>
                  <a:lnTo>
                    <a:pt x="4673" y="260"/>
                  </a:lnTo>
                  <a:lnTo>
                    <a:pt x="4668" y="270"/>
                  </a:lnTo>
                  <a:lnTo>
                    <a:pt x="4693" y="265"/>
                  </a:lnTo>
                  <a:lnTo>
                    <a:pt x="4723" y="265"/>
                  </a:lnTo>
                  <a:lnTo>
                    <a:pt x="4695" y="325"/>
                  </a:lnTo>
                  <a:lnTo>
                    <a:pt x="4668" y="387"/>
                  </a:lnTo>
                  <a:lnTo>
                    <a:pt x="4650" y="452"/>
                  </a:lnTo>
                  <a:lnTo>
                    <a:pt x="4638" y="515"/>
                  </a:lnTo>
                  <a:lnTo>
                    <a:pt x="4610" y="602"/>
                  </a:lnTo>
                  <a:lnTo>
                    <a:pt x="4600" y="620"/>
                  </a:lnTo>
                  <a:lnTo>
                    <a:pt x="4568" y="620"/>
                  </a:lnTo>
                  <a:lnTo>
                    <a:pt x="4523" y="597"/>
                  </a:lnTo>
                  <a:lnTo>
                    <a:pt x="4485" y="552"/>
                  </a:lnTo>
                  <a:lnTo>
                    <a:pt x="4468" y="492"/>
                  </a:lnTo>
                  <a:lnTo>
                    <a:pt x="4468" y="485"/>
                  </a:lnTo>
                  <a:lnTo>
                    <a:pt x="4473" y="425"/>
                  </a:lnTo>
                  <a:lnTo>
                    <a:pt x="4500" y="325"/>
                  </a:lnTo>
                  <a:lnTo>
                    <a:pt x="4468" y="365"/>
                  </a:lnTo>
                  <a:lnTo>
                    <a:pt x="4450" y="410"/>
                  </a:lnTo>
                  <a:lnTo>
                    <a:pt x="4445" y="480"/>
                  </a:lnTo>
                  <a:lnTo>
                    <a:pt x="4450" y="492"/>
                  </a:lnTo>
                  <a:lnTo>
                    <a:pt x="4428" y="502"/>
                  </a:lnTo>
                  <a:lnTo>
                    <a:pt x="4380" y="507"/>
                  </a:lnTo>
                  <a:lnTo>
                    <a:pt x="4345" y="497"/>
                  </a:lnTo>
                  <a:lnTo>
                    <a:pt x="4313" y="485"/>
                  </a:lnTo>
                  <a:lnTo>
                    <a:pt x="4308" y="480"/>
                  </a:lnTo>
                  <a:lnTo>
                    <a:pt x="4303" y="480"/>
                  </a:lnTo>
                  <a:lnTo>
                    <a:pt x="4308" y="485"/>
                  </a:lnTo>
                  <a:lnTo>
                    <a:pt x="4313" y="487"/>
                  </a:lnTo>
                  <a:lnTo>
                    <a:pt x="4335" y="497"/>
                  </a:lnTo>
                  <a:lnTo>
                    <a:pt x="4368" y="507"/>
                  </a:lnTo>
                  <a:lnTo>
                    <a:pt x="4408" y="510"/>
                  </a:lnTo>
                  <a:lnTo>
                    <a:pt x="4450" y="502"/>
                  </a:lnTo>
                  <a:lnTo>
                    <a:pt x="4455" y="502"/>
                  </a:lnTo>
                  <a:lnTo>
                    <a:pt x="4458" y="535"/>
                  </a:lnTo>
                  <a:lnTo>
                    <a:pt x="4490" y="580"/>
                  </a:lnTo>
                  <a:lnTo>
                    <a:pt x="4528" y="60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6" name="Freeform 64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473" y="485"/>
                </a:cxn>
                <a:cxn ang="0">
                  <a:pos x="4468" y="485"/>
                </a:cxn>
                <a:cxn ang="0">
                  <a:pos x="4468" y="492"/>
                </a:cxn>
                <a:cxn ang="0">
                  <a:pos x="4500" y="485"/>
                </a:cxn>
                <a:cxn ang="0">
                  <a:pos x="4550" y="442"/>
                </a:cxn>
                <a:cxn ang="0">
                  <a:pos x="4595" y="380"/>
                </a:cxn>
                <a:cxn ang="0">
                  <a:pos x="4633" y="320"/>
                </a:cxn>
                <a:cxn ang="0">
                  <a:pos x="4668" y="270"/>
                </a:cxn>
                <a:cxn ang="0">
                  <a:pos x="4673" y="260"/>
                </a:cxn>
                <a:cxn ang="0">
                  <a:pos x="4720" y="205"/>
                </a:cxn>
                <a:cxn ang="0">
                  <a:pos x="4777" y="150"/>
                </a:cxn>
                <a:cxn ang="0">
                  <a:pos x="4770" y="155"/>
                </a:cxn>
                <a:cxn ang="0">
                  <a:pos x="4700" y="215"/>
                </a:cxn>
                <a:cxn ang="0">
                  <a:pos x="4655" y="265"/>
                </a:cxn>
                <a:cxn ang="0">
                  <a:pos x="4643" y="265"/>
                </a:cxn>
                <a:cxn ang="0">
                  <a:pos x="4590" y="272"/>
                </a:cxn>
                <a:cxn ang="0">
                  <a:pos x="4540" y="292"/>
                </a:cxn>
                <a:cxn ang="0">
                  <a:pos x="4500" y="325"/>
                </a:cxn>
                <a:cxn ang="0">
                  <a:pos x="4473" y="425"/>
                </a:cxn>
                <a:cxn ang="0">
                  <a:pos x="4495" y="365"/>
                </a:cxn>
                <a:cxn ang="0">
                  <a:pos x="4533" y="320"/>
                </a:cxn>
                <a:cxn ang="0">
                  <a:pos x="4583" y="287"/>
                </a:cxn>
                <a:cxn ang="0">
                  <a:pos x="4645" y="270"/>
                </a:cxn>
                <a:cxn ang="0">
                  <a:pos x="4650" y="270"/>
                </a:cxn>
                <a:cxn ang="0">
                  <a:pos x="4645" y="272"/>
                </a:cxn>
                <a:cxn ang="0">
                  <a:pos x="4600" y="332"/>
                </a:cxn>
                <a:cxn ang="0">
                  <a:pos x="4573" y="380"/>
                </a:cxn>
                <a:cxn ang="0">
                  <a:pos x="4523" y="442"/>
                </a:cxn>
                <a:cxn ang="0">
                  <a:pos x="4473" y="485"/>
                </a:cxn>
              </a:cxnLst>
              <a:rect l="0" t="0" r="r" b="b"/>
              <a:pathLst>
                <a:path w="15066" h="11591">
                  <a:moveTo>
                    <a:pt x="4473" y="485"/>
                  </a:moveTo>
                  <a:lnTo>
                    <a:pt x="4468" y="485"/>
                  </a:lnTo>
                  <a:lnTo>
                    <a:pt x="4468" y="492"/>
                  </a:lnTo>
                  <a:lnTo>
                    <a:pt x="4500" y="485"/>
                  </a:lnTo>
                  <a:lnTo>
                    <a:pt x="4550" y="442"/>
                  </a:lnTo>
                  <a:lnTo>
                    <a:pt x="4595" y="380"/>
                  </a:lnTo>
                  <a:lnTo>
                    <a:pt x="4633" y="320"/>
                  </a:lnTo>
                  <a:lnTo>
                    <a:pt x="4668" y="270"/>
                  </a:lnTo>
                  <a:lnTo>
                    <a:pt x="4673" y="260"/>
                  </a:lnTo>
                  <a:lnTo>
                    <a:pt x="4720" y="205"/>
                  </a:lnTo>
                  <a:lnTo>
                    <a:pt x="4777" y="150"/>
                  </a:lnTo>
                  <a:lnTo>
                    <a:pt x="4770" y="155"/>
                  </a:lnTo>
                  <a:lnTo>
                    <a:pt x="4700" y="215"/>
                  </a:lnTo>
                  <a:lnTo>
                    <a:pt x="4655" y="265"/>
                  </a:lnTo>
                  <a:lnTo>
                    <a:pt x="4643" y="265"/>
                  </a:lnTo>
                  <a:lnTo>
                    <a:pt x="4590" y="272"/>
                  </a:lnTo>
                  <a:lnTo>
                    <a:pt x="4540" y="292"/>
                  </a:lnTo>
                  <a:lnTo>
                    <a:pt x="4500" y="325"/>
                  </a:lnTo>
                  <a:lnTo>
                    <a:pt x="4473" y="425"/>
                  </a:lnTo>
                  <a:lnTo>
                    <a:pt x="4495" y="365"/>
                  </a:lnTo>
                  <a:lnTo>
                    <a:pt x="4533" y="320"/>
                  </a:lnTo>
                  <a:lnTo>
                    <a:pt x="4583" y="287"/>
                  </a:lnTo>
                  <a:lnTo>
                    <a:pt x="4645" y="270"/>
                  </a:lnTo>
                  <a:lnTo>
                    <a:pt x="4650" y="270"/>
                  </a:lnTo>
                  <a:lnTo>
                    <a:pt x="4645" y="272"/>
                  </a:lnTo>
                  <a:lnTo>
                    <a:pt x="4600" y="332"/>
                  </a:lnTo>
                  <a:lnTo>
                    <a:pt x="4573" y="380"/>
                  </a:lnTo>
                  <a:lnTo>
                    <a:pt x="4523" y="442"/>
                  </a:lnTo>
                  <a:lnTo>
                    <a:pt x="4473" y="48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5" name="Freeform 63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700" y="547"/>
                </a:cxn>
                <a:cxn ang="0">
                  <a:pos x="4700" y="502"/>
                </a:cxn>
                <a:cxn ang="0">
                  <a:pos x="4695" y="502"/>
                </a:cxn>
                <a:cxn ang="0">
                  <a:pos x="4695" y="507"/>
                </a:cxn>
                <a:cxn ang="0">
                  <a:pos x="4700" y="547"/>
                </a:cxn>
              </a:cxnLst>
              <a:rect l="0" t="0" r="r" b="b"/>
              <a:pathLst>
                <a:path w="15066" h="11591">
                  <a:moveTo>
                    <a:pt x="4700" y="547"/>
                  </a:moveTo>
                  <a:lnTo>
                    <a:pt x="4700" y="502"/>
                  </a:lnTo>
                  <a:lnTo>
                    <a:pt x="4695" y="502"/>
                  </a:lnTo>
                  <a:lnTo>
                    <a:pt x="4695" y="507"/>
                  </a:lnTo>
                  <a:lnTo>
                    <a:pt x="4700" y="54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4" name="Freeform 62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473" y="707"/>
                </a:cxn>
                <a:cxn ang="0">
                  <a:pos x="4463" y="702"/>
                </a:cxn>
                <a:cxn ang="0">
                  <a:pos x="4478" y="712"/>
                </a:cxn>
                <a:cxn ang="0">
                  <a:pos x="4485" y="712"/>
                </a:cxn>
                <a:cxn ang="0">
                  <a:pos x="4473" y="707"/>
                </a:cxn>
              </a:cxnLst>
              <a:rect l="0" t="0" r="r" b="b"/>
              <a:pathLst>
                <a:path w="15066" h="11591">
                  <a:moveTo>
                    <a:pt x="4473" y="707"/>
                  </a:moveTo>
                  <a:lnTo>
                    <a:pt x="4463" y="702"/>
                  </a:lnTo>
                  <a:lnTo>
                    <a:pt x="4478" y="712"/>
                  </a:lnTo>
                  <a:lnTo>
                    <a:pt x="4485" y="712"/>
                  </a:lnTo>
                  <a:lnTo>
                    <a:pt x="4473" y="70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3" name="Freeform 61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455" y="697"/>
                </a:cxn>
                <a:cxn ang="0">
                  <a:pos x="4447" y="687"/>
                </a:cxn>
                <a:cxn ang="0">
                  <a:pos x="4450" y="695"/>
                </a:cxn>
                <a:cxn ang="0">
                  <a:pos x="4463" y="702"/>
                </a:cxn>
                <a:cxn ang="0">
                  <a:pos x="4455" y="697"/>
                </a:cxn>
              </a:cxnLst>
              <a:rect l="0" t="0" r="r" b="b"/>
              <a:pathLst>
                <a:path w="15066" h="11591">
                  <a:moveTo>
                    <a:pt x="4455" y="697"/>
                  </a:moveTo>
                  <a:lnTo>
                    <a:pt x="4447" y="687"/>
                  </a:lnTo>
                  <a:lnTo>
                    <a:pt x="4450" y="695"/>
                  </a:lnTo>
                  <a:lnTo>
                    <a:pt x="4463" y="702"/>
                  </a:lnTo>
                  <a:lnTo>
                    <a:pt x="4455" y="69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2" name="Freeform 60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652" y="10032"/>
                </a:cxn>
                <a:cxn ang="0">
                  <a:pos x="690" y="10010"/>
                </a:cxn>
                <a:cxn ang="0">
                  <a:pos x="727" y="10000"/>
                </a:cxn>
                <a:cxn ang="0">
                  <a:pos x="767" y="10010"/>
                </a:cxn>
                <a:cxn ang="0">
                  <a:pos x="780" y="10015"/>
                </a:cxn>
                <a:cxn ang="0">
                  <a:pos x="767" y="10005"/>
                </a:cxn>
                <a:cxn ang="0">
                  <a:pos x="730" y="9995"/>
                </a:cxn>
                <a:cxn ang="0">
                  <a:pos x="695" y="9995"/>
                </a:cxn>
                <a:cxn ang="0">
                  <a:pos x="652" y="10017"/>
                </a:cxn>
                <a:cxn ang="0">
                  <a:pos x="630" y="10050"/>
                </a:cxn>
                <a:cxn ang="0">
                  <a:pos x="622" y="10092"/>
                </a:cxn>
                <a:cxn ang="0">
                  <a:pos x="630" y="10122"/>
                </a:cxn>
                <a:cxn ang="0">
                  <a:pos x="657" y="10150"/>
                </a:cxn>
                <a:cxn ang="0">
                  <a:pos x="695" y="10165"/>
                </a:cxn>
                <a:cxn ang="0">
                  <a:pos x="710" y="10163"/>
                </a:cxn>
                <a:cxn ang="0">
                  <a:pos x="680" y="10155"/>
                </a:cxn>
                <a:cxn ang="0">
                  <a:pos x="647" y="10137"/>
                </a:cxn>
                <a:cxn ang="0">
                  <a:pos x="635" y="10105"/>
                </a:cxn>
                <a:cxn ang="0">
                  <a:pos x="635" y="10067"/>
                </a:cxn>
                <a:cxn ang="0">
                  <a:pos x="652" y="10032"/>
                </a:cxn>
              </a:cxnLst>
              <a:rect l="0" t="0" r="r" b="b"/>
              <a:pathLst>
                <a:path w="15066" h="11591">
                  <a:moveTo>
                    <a:pt x="652" y="10032"/>
                  </a:moveTo>
                  <a:lnTo>
                    <a:pt x="690" y="10010"/>
                  </a:lnTo>
                  <a:lnTo>
                    <a:pt x="727" y="10000"/>
                  </a:lnTo>
                  <a:lnTo>
                    <a:pt x="767" y="10010"/>
                  </a:lnTo>
                  <a:lnTo>
                    <a:pt x="780" y="10015"/>
                  </a:lnTo>
                  <a:lnTo>
                    <a:pt x="767" y="10005"/>
                  </a:lnTo>
                  <a:lnTo>
                    <a:pt x="730" y="9995"/>
                  </a:lnTo>
                  <a:lnTo>
                    <a:pt x="695" y="9995"/>
                  </a:lnTo>
                  <a:lnTo>
                    <a:pt x="652" y="10017"/>
                  </a:lnTo>
                  <a:lnTo>
                    <a:pt x="630" y="10050"/>
                  </a:lnTo>
                  <a:lnTo>
                    <a:pt x="622" y="10092"/>
                  </a:lnTo>
                  <a:lnTo>
                    <a:pt x="630" y="10122"/>
                  </a:lnTo>
                  <a:lnTo>
                    <a:pt x="657" y="10150"/>
                  </a:lnTo>
                  <a:lnTo>
                    <a:pt x="695" y="10165"/>
                  </a:lnTo>
                  <a:lnTo>
                    <a:pt x="710" y="10163"/>
                  </a:lnTo>
                  <a:lnTo>
                    <a:pt x="680" y="10155"/>
                  </a:lnTo>
                  <a:lnTo>
                    <a:pt x="647" y="10137"/>
                  </a:lnTo>
                  <a:lnTo>
                    <a:pt x="635" y="10105"/>
                  </a:lnTo>
                  <a:lnTo>
                    <a:pt x="635" y="10067"/>
                  </a:lnTo>
                  <a:lnTo>
                    <a:pt x="652" y="10032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1" name="Freeform 59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695" y="10115"/>
                </a:cxn>
                <a:cxn ang="0">
                  <a:pos x="700" y="10122"/>
                </a:cxn>
                <a:cxn ang="0">
                  <a:pos x="707" y="10127"/>
                </a:cxn>
                <a:cxn ang="0">
                  <a:pos x="722" y="10132"/>
                </a:cxn>
                <a:cxn ang="0">
                  <a:pos x="735" y="10127"/>
                </a:cxn>
                <a:cxn ang="0">
                  <a:pos x="740" y="10122"/>
                </a:cxn>
                <a:cxn ang="0">
                  <a:pos x="745" y="10120"/>
                </a:cxn>
                <a:cxn ang="0">
                  <a:pos x="740" y="10115"/>
                </a:cxn>
                <a:cxn ang="0">
                  <a:pos x="735" y="10110"/>
                </a:cxn>
                <a:cxn ang="0">
                  <a:pos x="730" y="10110"/>
                </a:cxn>
                <a:cxn ang="0">
                  <a:pos x="727" y="10115"/>
                </a:cxn>
                <a:cxn ang="0">
                  <a:pos x="722" y="10120"/>
                </a:cxn>
                <a:cxn ang="0">
                  <a:pos x="717" y="10120"/>
                </a:cxn>
                <a:cxn ang="0">
                  <a:pos x="712" y="10122"/>
                </a:cxn>
                <a:cxn ang="0">
                  <a:pos x="707" y="10120"/>
                </a:cxn>
                <a:cxn ang="0">
                  <a:pos x="700" y="10105"/>
                </a:cxn>
                <a:cxn ang="0">
                  <a:pos x="700" y="10095"/>
                </a:cxn>
                <a:cxn ang="0">
                  <a:pos x="702" y="10087"/>
                </a:cxn>
                <a:cxn ang="0">
                  <a:pos x="712" y="10077"/>
                </a:cxn>
                <a:cxn ang="0">
                  <a:pos x="722" y="10072"/>
                </a:cxn>
                <a:cxn ang="0">
                  <a:pos x="735" y="10072"/>
                </a:cxn>
                <a:cxn ang="0">
                  <a:pos x="757" y="10087"/>
                </a:cxn>
                <a:cxn ang="0">
                  <a:pos x="767" y="10110"/>
                </a:cxn>
                <a:cxn ang="0">
                  <a:pos x="767" y="10095"/>
                </a:cxn>
                <a:cxn ang="0">
                  <a:pos x="755" y="10072"/>
                </a:cxn>
                <a:cxn ang="0">
                  <a:pos x="730" y="10065"/>
                </a:cxn>
                <a:cxn ang="0">
                  <a:pos x="712" y="10067"/>
                </a:cxn>
                <a:cxn ang="0">
                  <a:pos x="702" y="10072"/>
                </a:cxn>
                <a:cxn ang="0">
                  <a:pos x="695" y="10082"/>
                </a:cxn>
                <a:cxn ang="0">
                  <a:pos x="690" y="10092"/>
                </a:cxn>
                <a:cxn ang="0">
                  <a:pos x="690" y="10105"/>
                </a:cxn>
                <a:cxn ang="0">
                  <a:pos x="695" y="10115"/>
                </a:cxn>
              </a:cxnLst>
              <a:rect l="0" t="0" r="r" b="b"/>
              <a:pathLst>
                <a:path w="15066" h="11591">
                  <a:moveTo>
                    <a:pt x="695" y="10115"/>
                  </a:moveTo>
                  <a:lnTo>
                    <a:pt x="700" y="10122"/>
                  </a:lnTo>
                  <a:lnTo>
                    <a:pt x="707" y="10127"/>
                  </a:lnTo>
                  <a:lnTo>
                    <a:pt x="722" y="10132"/>
                  </a:lnTo>
                  <a:lnTo>
                    <a:pt x="735" y="10127"/>
                  </a:lnTo>
                  <a:lnTo>
                    <a:pt x="740" y="10122"/>
                  </a:lnTo>
                  <a:lnTo>
                    <a:pt x="745" y="10120"/>
                  </a:lnTo>
                  <a:lnTo>
                    <a:pt x="740" y="10115"/>
                  </a:lnTo>
                  <a:lnTo>
                    <a:pt x="735" y="10110"/>
                  </a:lnTo>
                  <a:lnTo>
                    <a:pt x="730" y="10110"/>
                  </a:lnTo>
                  <a:lnTo>
                    <a:pt x="727" y="10115"/>
                  </a:lnTo>
                  <a:lnTo>
                    <a:pt x="722" y="10120"/>
                  </a:lnTo>
                  <a:lnTo>
                    <a:pt x="717" y="10120"/>
                  </a:lnTo>
                  <a:lnTo>
                    <a:pt x="712" y="10122"/>
                  </a:lnTo>
                  <a:lnTo>
                    <a:pt x="707" y="10120"/>
                  </a:lnTo>
                  <a:lnTo>
                    <a:pt x="700" y="10105"/>
                  </a:lnTo>
                  <a:lnTo>
                    <a:pt x="700" y="10095"/>
                  </a:lnTo>
                  <a:lnTo>
                    <a:pt x="702" y="10087"/>
                  </a:lnTo>
                  <a:lnTo>
                    <a:pt x="712" y="10077"/>
                  </a:lnTo>
                  <a:lnTo>
                    <a:pt x="722" y="10072"/>
                  </a:lnTo>
                  <a:lnTo>
                    <a:pt x="735" y="10072"/>
                  </a:lnTo>
                  <a:lnTo>
                    <a:pt x="757" y="10087"/>
                  </a:lnTo>
                  <a:lnTo>
                    <a:pt x="767" y="10110"/>
                  </a:lnTo>
                  <a:lnTo>
                    <a:pt x="767" y="10095"/>
                  </a:lnTo>
                  <a:lnTo>
                    <a:pt x="755" y="10072"/>
                  </a:lnTo>
                  <a:lnTo>
                    <a:pt x="730" y="10065"/>
                  </a:lnTo>
                  <a:lnTo>
                    <a:pt x="712" y="10067"/>
                  </a:lnTo>
                  <a:lnTo>
                    <a:pt x="702" y="10072"/>
                  </a:lnTo>
                  <a:lnTo>
                    <a:pt x="695" y="10082"/>
                  </a:lnTo>
                  <a:lnTo>
                    <a:pt x="690" y="10092"/>
                  </a:lnTo>
                  <a:lnTo>
                    <a:pt x="690" y="10105"/>
                  </a:lnTo>
                  <a:lnTo>
                    <a:pt x="695" y="1011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50" name="Freeform 58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745" y="10150"/>
                </a:cxn>
                <a:cxn ang="0">
                  <a:pos x="724" y="10161"/>
                </a:cxn>
                <a:cxn ang="0">
                  <a:pos x="735" y="10160"/>
                </a:cxn>
                <a:cxn ang="0">
                  <a:pos x="757" y="10142"/>
                </a:cxn>
                <a:cxn ang="0">
                  <a:pos x="761" y="10133"/>
                </a:cxn>
                <a:cxn ang="0">
                  <a:pos x="745" y="10150"/>
                </a:cxn>
              </a:cxnLst>
              <a:rect l="0" t="0" r="r" b="b"/>
              <a:pathLst>
                <a:path w="15066" h="11591">
                  <a:moveTo>
                    <a:pt x="745" y="10150"/>
                  </a:moveTo>
                  <a:lnTo>
                    <a:pt x="724" y="10161"/>
                  </a:lnTo>
                  <a:lnTo>
                    <a:pt x="735" y="10160"/>
                  </a:lnTo>
                  <a:lnTo>
                    <a:pt x="757" y="10142"/>
                  </a:lnTo>
                  <a:lnTo>
                    <a:pt x="761" y="10133"/>
                  </a:lnTo>
                  <a:lnTo>
                    <a:pt x="745" y="1015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9" name="Freeform 57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331" y="10127"/>
                </a:cxn>
                <a:cxn ang="0">
                  <a:pos x="14346" y="10132"/>
                </a:cxn>
                <a:cxn ang="0">
                  <a:pos x="14354" y="10127"/>
                </a:cxn>
                <a:cxn ang="0">
                  <a:pos x="14364" y="10122"/>
                </a:cxn>
                <a:cxn ang="0">
                  <a:pos x="14374" y="10115"/>
                </a:cxn>
                <a:cxn ang="0">
                  <a:pos x="14374" y="10092"/>
                </a:cxn>
                <a:cxn ang="0">
                  <a:pos x="14369" y="10082"/>
                </a:cxn>
                <a:cxn ang="0">
                  <a:pos x="14364" y="10072"/>
                </a:cxn>
                <a:cxn ang="0">
                  <a:pos x="14349" y="10067"/>
                </a:cxn>
                <a:cxn ang="0">
                  <a:pos x="14336" y="10065"/>
                </a:cxn>
                <a:cxn ang="0">
                  <a:pos x="14309" y="10072"/>
                </a:cxn>
                <a:cxn ang="0">
                  <a:pos x="14299" y="10095"/>
                </a:cxn>
                <a:cxn ang="0">
                  <a:pos x="14296" y="10120"/>
                </a:cxn>
                <a:cxn ang="0">
                  <a:pos x="14309" y="10142"/>
                </a:cxn>
                <a:cxn ang="0">
                  <a:pos x="14331" y="10160"/>
                </a:cxn>
                <a:cxn ang="0">
                  <a:pos x="14343" y="10161"/>
                </a:cxn>
                <a:cxn ang="0">
                  <a:pos x="14324" y="10150"/>
                </a:cxn>
                <a:cxn ang="0">
                  <a:pos x="14304" y="10132"/>
                </a:cxn>
                <a:cxn ang="0">
                  <a:pos x="14299" y="10110"/>
                </a:cxn>
                <a:cxn ang="0">
                  <a:pos x="14309" y="10087"/>
                </a:cxn>
                <a:cxn ang="0">
                  <a:pos x="14326" y="10072"/>
                </a:cxn>
                <a:cxn ang="0">
                  <a:pos x="14341" y="10072"/>
                </a:cxn>
                <a:cxn ang="0">
                  <a:pos x="14354" y="10077"/>
                </a:cxn>
                <a:cxn ang="0">
                  <a:pos x="14359" y="10087"/>
                </a:cxn>
                <a:cxn ang="0">
                  <a:pos x="14369" y="10095"/>
                </a:cxn>
                <a:cxn ang="0">
                  <a:pos x="14364" y="10105"/>
                </a:cxn>
                <a:cxn ang="0">
                  <a:pos x="14359" y="10120"/>
                </a:cxn>
                <a:cxn ang="0">
                  <a:pos x="14354" y="10122"/>
                </a:cxn>
                <a:cxn ang="0">
                  <a:pos x="14349" y="10120"/>
                </a:cxn>
                <a:cxn ang="0">
                  <a:pos x="14346" y="10120"/>
                </a:cxn>
                <a:cxn ang="0">
                  <a:pos x="14341" y="10115"/>
                </a:cxn>
                <a:cxn ang="0">
                  <a:pos x="14331" y="10110"/>
                </a:cxn>
                <a:cxn ang="0">
                  <a:pos x="14326" y="10110"/>
                </a:cxn>
                <a:cxn ang="0">
                  <a:pos x="14324" y="10115"/>
                </a:cxn>
                <a:cxn ang="0">
                  <a:pos x="14324" y="10122"/>
                </a:cxn>
                <a:cxn ang="0">
                  <a:pos x="14331" y="10127"/>
                </a:cxn>
              </a:cxnLst>
              <a:rect l="0" t="0" r="r" b="b"/>
              <a:pathLst>
                <a:path w="15066" h="11591">
                  <a:moveTo>
                    <a:pt x="14331" y="10127"/>
                  </a:moveTo>
                  <a:lnTo>
                    <a:pt x="14346" y="10132"/>
                  </a:lnTo>
                  <a:lnTo>
                    <a:pt x="14354" y="10127"/>
                  </a:lnTo>
                  <a:lnTo>
                    <a:pt x="14364" y="10122"/>
                  </a:lnTo>
                  <a:lnTo>
                    <a:pt x="14374" y="10115"/>
                  </a:lnTo>
                  <a:lnTo>
                    <a:pt x="14374" y="10092"/>
                  </a:lnTo>
                  <a:lnTo>
                    <a:pt x="14369" y="10082"/>
                  </a:lnTo>
                  <a:lnTo>
                    <a:pt x="14364" y="10072"/>
                  </a:lnTo>
                  <a:lnTo>
                    <a:pt x="14349" y="10067"/>
                  </a:lnTo>
                  <a:lnTo>
                    <a:pt x="14336" y="10065"/>
                  </a:lnTo>
                  <a:lnTo>
                    <a:pt x="14309" y="10072"/>
                  </a:lnTo>
                  <a:lnTo>
                    <a:pt x="14299" y="10095"/>
                  </a:lnTo>
                  <a:lnTo>
                    <a:pt x="14296" y="10120"/>
                  </a:lnTo>
                  <a:lnTo>
                    <a:pt x="14309" y="10142"/>
                  </a:lnTo>
                  <a:lnTo>
                    <a:pt x="14331" y="10160"/>
                  </a:lnTo>
                  <a:lnTo>
                    <a:pt x="14343" y="10161"/>
                  </a:lnTo>
                  <a:lnTo>
                    <a:pt x="14324" y="10150"/>
                  </a:lnTo>
                  <a:lnTo>
                    <a:pt x="14304" y="10132"/>
                  </a:lnTo>
                  <a:lnTo>
                    <a:pt x="14299" y="10110"/>
                  </a:lnTo>
                  <a:lnTo>
                    <a:pt x="14309" y="10087"/>
                  </a:lnTo>
                  <a:lnTo>
                    <a:pt x="14326" y="10072"/>
                  </a:lnTo>
                  <a:lnTo>
                    <a:pt x="14341" y="10072"/>
                  </a:lnTo>
                  <a:lnTo>
                    <a:pt x="14354" y="10077"/>
                  </a:lnTo>
                  <a:lnTo>
                    <a:pt x="14359" y="10087"/>
                  </a:lnTo>
                  <a:lnTo>
                    <a:pt x="14369" y="10095"/>
                  </a:lnTo>
                  <a:lnTo>
                    <a:pt x="14364" y="10105"/>
                  </a:lnTo>
                  <a:lnTo>
                    <a:pt x="14359" y="10120"/>
                  </a:lnTo>
                  <a:lnTo>
                    <a:pt x="14354" y="10122"/>
                  </a:lnTo>
                  <a:lnTo>
                    <a:pt x="14349" y="10120"/>
                  </a:lnTo>
                  <a:lnTo>
                    <a:pt x="14346" y="10120"/>
                  </a:lnTo>
                  <a:lnTo>
                    <a:pt x="14341" y="10115"/>
                  </a:lnTo>
                  <a:lnTo>
                    <a:pt x="14331" y="10110"/>
                  </a:lnTo>
                  <a:lnTo>
                    <a:pt x="14326" y="10110"/>
                  </a:lnTo>
                  <a:lnTo>
                    <a:pt x="14324" y="10115"/>
                  </a:lnTo>
                  <a:lnTo>
                    <a:pt x="14324" y="10122"/>
                  </a:lnTo>
                  <a:lnTo>
                    <a:pt x="14331" y="1012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8" name="Freeform 56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287" y="9437"/>
                </a:cxn>
                <a:cxn ang="0">
                  <a:pos x="277" y="9432"/>
                </a:cxn>
                <a:cxn ang="0">
                  <a:pos x="282" y="9437"/>
                </a:cxn>
                <a:cxn ang="0">
                  <a:pos x="304" y="9455"/>
                </a:cxn>
                <a:cxn ang="0">
                  <a:pos x="297" y="9442"/>
                </a:cxn>
                <a:cxn ang="0">
                  <a:pos x="287" y="9437"/>
                </a:cxn>
              </a:cxnLst>
              <a:rect l="0" t="0" r="r" b="b"/>
              <a:pathLst>
                <a:path w="15066" h="11591">
                  <a:moveTo>
                    <a:pt x="287" y="9437"/>
                  </a:moveTo>
                  <a:lnTo>
                    <a:pt x="277" y="9432"/>
                  </a:lnTo>
                  <a:lnTo>
                    <a:pt x="282" y="9437"/>
                  </a:lnTo>
                  <a:lnTo>
                    <a:pt x="304" y="9455"/>
                  </a:lnTo>
                  <a:lnTo>
                    <a:pt x="297" y="9442"/>
                  </a:lnTo>
                  <a:lnTo>
                    <a:pt x="287" y="943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7" name="Freeform 55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82" y="9525"/>
                </a:cxn>
                <a:cxn ang="0">
                  <a:pos x="182" y="9520"/>
                </a:cxn>
                <a:cxn ang="0">
                  <a:pos x="177" y="9520"/>
                </a:cxn>
                <a:cxn ang="0">
                  <a:pos x="172" y="9525"/>
                </a:cxn>
                <a:cxn ang="0">
                  <a:pos x="172" y="9530"/>
                </a:cxn>
                <a:cxn ang="0">
                  <a:pos x="165" y="9525"/>
                </a:cxn>
                <a:cxn ang="0">
                  <a:pos x="165" y="9520"/>
                </a:cxn>
                <a:cxn ang="0">
                  <a:pos x="170" y="9512"/>
                </a:cxn>
                <a:cxn ang="0">
                  <a:pos x="172" y="9507"/>
                </a:cxn>
                <a:cxn ang="0">
                  <a:pos x="192" y="9507"/>
                </a:cxn>
                <a:cxn ang="0">
                  <a:pos x="200" y="9512"/>
                </a:cxn>
                <a:cxn ang="0">
                  <a:pos x="210" y="9520"/>
                </a:cxn>
                <a:cxn ang="0">
                  <a:pos x="215" y="9530"/>
                </a:cxn>
                <a:cxn ang="0">
                  <a:pos x="215" y="9557"/>
                </a:cxn>
                <a:cxn ang="0">
                  <a:pos x="210" y="9570"/>
                </a:cxn>
                <a:cxn ang="0">
                  <a:pos x="200" y="9580"/>
                </a:cxn>
                <a:cxn ang="0">
                  <a:pos x="187" y="9590"/>
                </a:cxn>
                <a:cxn ang="0">
                  <a:pos x="177" y="9592"/>
                </a:cxn>
                <a:cxn ang="0">
                  <a:pos x="160" y="9592"/>
                </a:cxn>
                <a:cxn ang="0">
                  <a:pos x="132" y="9585"/>
                </a:cxn>
                <a:cxn ang="0">
                  <a:pos x="105" y="9562"/>
                </a:cxn>
                <a:cxn ang="0">
                  <a:pos x="92" y="9525"/>
                </a:cxn>
                <a:cxn ang="0">
                  <a:pos x="92" y="9480"/>
                </a:cxn>
                <a:cxn ang="0">
                  <a:pos x="110" y="9447"/>
                </a:cxn>
                <a:cxn ang="0">
                  <a:pos x="142" y="9420"/>
                </a:cxn>
                <a:cxn ang="0">
                  <a:pos x="177" y="9405"/>
                </a:cxn>
                <a:cxn ang="0">
                  <a:pos x="227" y="9410"/>
                </a:cxn>
                <a:cxn ang="0">
                  <a:pos x="277" y="9432"/>
                </a:cxn>
                <a:cxn ang="0">
                  <a:pos x="275" y="9430"/>
                </a:cxn>
                <a:cxn ang="0">
                  <a:pos x="220" y="9402"/>
                </a:cxn>
                <a:cxn ang="0">
                  <a:pos x="170" y="9397"/>
                </a:cxn>
                <a:cxn ang="0">
                  <a:pos x="127" y="9410"/>
                </a:cxn>
                <a:cxn ang="0">
                  <a:pos x="92" y="9437"/>
                </a:cxn>
                <a:cxn ang="0">
                  <a:pos x="72" y="9475"/>
                </a:cxn>
                <a:cxn ang="0">
                  <a:pos x="67" y="9525"/>
                </a:cxn>
                <a:cxn ang="0">
                  <a:pos x="87" y="9562"/>
                </a:cxn>
                <a:cxn ang="0">
                  <a:pos x="120" y="9590"/>
                </a:cxn>
                <a:cxn ang="0">
                  <a:pos x="160" y="9597"/>
                </a:cxn>
                <a:cxn ang="0">
                  <a:pos x="177" y="9597"/>
                </a:cxn>
                <a:cxn ang="0">
                  <a:pos x="192" y="9592"/>
                </a:cxn>
                <a:cxn ang="0">
                  <a:pos x="205" y="9585"/>
                </a:cxn>
                <a:cxn ang="0">
                  <a:pos x="215" y="9570"/>
                </a:cxn>
                <a:cxn ang="0">
                  <a:pos x="220" y="9557"/>
                </a:cxn>
                <a:cxn ang="0">
                  <a:pos x="225" y="9542"/>
                </a:cxn>
                <a:cxn ang="0">
                  <a:pos x="225" y="9530"/>
                </a:cxn>
                <a:cxn ang="0">
                  <a:pos x="220" y="9515"/>
                </a:cxn>
                <a:cxn ang="0">
                  <a:pos x="215" y="9507"/>
                </a:cxn>
                <a:cxn ang="0">
                  <a:pos x="205" y="9497"/>
                </a:cxn>
                <a:cxn ang="0">
                  <a:pos x="197" y="9492"/>
                </a:cxn>
                <a:cxn ang="0">
                  <a:pos x="172" y="9492"/>
                </a:cxn>
                <a:cxn ang="0">
                  <a:pos x="165" y="9497"/>
                </a:cxn>
                <a:cxn ang="0">
                  <a:pos x="155" y="9507"/>
                </a:cxn>
                <a:cxn ang="0">
                  <a:pos x="150" y="9515"/>
                </a:cxn>
                <a:cxn ang="0">
                  <a:pos x="150" y="9525"/>
                </a:cxn>
                <a:cxn ang="0">
                  <a:pos x="155" y="9535"/>
                </a:cxn>
                <a:cxn ang="0">
                  <a:pos x="165" y="9537"/>
                </a:cxn>
                <a:cxn ang="0">
                  <a:pos x="170" y="9542"/>
                </a:cxn>
                <a:cxn ang="0">
                  <a:pos x="177" y="9542"/>
                </a:cxn>
                <a:cxn ang="0">
                  <a:pos x="182" y="9537"/>
                </a:cxn>
                <a:cxn ang="0">
                  <a:pos x="187" y="9530"/>
                </a:cxn>
                <a:cxn ang="0">
                  <a:pos x="182" y="9525"/>
                </a:cxn>
              </a:cxnLst>
              <a:rect l="0" t="0" r="r" b="b"/>
              <a:pathLst>
                <a:path w="15066" h="11591">
                  <a:moveTo>
                    <a:pt x="182" y="9525"/>
                  </a:moveTo>
                  <a:lnTo>
                    <a:pt x="182" y="9520"/>
                  </a:lnTo>
                  <a:lnTo>
                    <a:pt x="177" y="9520"/>
                  </a:lnTo>
                  <a:lnTo>
                    <a:pt x="172" y="9525"/>
                  </a:lnTo>
                  <a:lnTo>
                    <a:pt x="172" y="9530"/>
                  </a:lnTo>
                  <a:lnTo>
                    <a:pt x="165" y="9525"/>
                  </a:lnTo>
                  <a:lnTo>
                    <a:pt x="165" y="9520"/>
                  </a:lnTo>
                  <a:lnTo>
                    <a:pt x="170" y="9512"/>
                  </a:lnTo>
                  <a:lnTo>
                    <a:pt x="172" y="9507"/>
                  </a:lnTo>
                  <a:lnTo>
                    <a:pt x="192" y="9507"/>
                  </a:lnTo>
                  <a:lnTo>
                    <a:pt x="200" y="9512"/>
                  </a:lnTo>
                  <a:lnTo>
                    <a:pt x="210" y="9520"/>
                  </a:lnTo>
                  <a:lnTo>
                    <a:pt x="215" y="9530"/>
                  </a:lnTo>
                  <a:lnTo>
                    <a:pt x="215" y="9557"/>
                  </a:lnTo>
                  <a:lnTo>
                    <a:pt x="210" y="9570"/>
                  </a:lnTo>
                  <a:lnTo>
                    <a:pt x="200" y="9580"/>
                  </a:lnTo>
                  <a:lnTo>
                    <a:pt x="187" y="9590"/>
                  </a:lnTo>
                  <a:lnTo>
                    <a:pt x="177" y="9592"/>
                  </a:lnTo>
                  <a:lnTo>
                    <a:pt x="160" y="9592"/>
                  </a:lnTo>
                  <a:lnTo>
                    <a:pt x="132" y="9585"/>
                  </a:lnTo>
                  <a:lnTo>
                    <a:pt x="105" y="9562"/>
                  </a:lnTo>
                  <a:lnTo>
                    <a:pt x="92" y="9525"/>
                  </a:lnTo>
                  <a:lnTo>
                    <a:pt x="92" y="9480"/>
                  </a:lnTo>
                  <a:lnTo>
                    <a:pt x="110" y="9447"/>
                  </a:lnTo>
                  <a:lnTo>
                    <a:pt x="142" y="9420"/>
                  </a:lnTo>
                  <a:lnTo>
                    <a:pt x="177" y="9405"/>
                  </a:lnTo>
                  <a:lnTo>
                    <a:pt x="227" y="9410"/>
                  </a:lnTo>
                  <a:lnTo>
                    <a:pt x="277" y="9432"/>
                  </a:lnTo>
                  <a:lnTo>
                    <a:pt x="275" y="9430"/>
                  </a:lnTo>
                  <a:lnTo>
                    <a:pt x="220" y="9402"/>
                  </a:lnTo>
                  <a:lnTo>
                    <a:pt x="170" y="9397"/>
                  </a:lnTo>
                  <a:lnTo>
                    <a:pt x="127" y="9410"/>
                  </a:lnTo>
                  <a:lnTo>
                    <a:pt x="92" y="9437"/>
                  </a:lnTo>
                  <a:lnTo>
                    <a:pt x="72" y="9475"/>
                  </a:lnTo>
                  <a:lnTo>
                    <a:pt x="67" y="9525"/>
                  </a:lnTo>
                  <a:lnTo>
                    <a:pt x="87" y="9562"/>
                  </a:lnTo>
                  <a:lnTo>
                    <a:pt x="120" y="9590"/>
                  </a:lnTo>
                  <a:lnTo>
                    <a:pt x="160" y="9597"/>
                  </a:lnTo>
                  <a:lnTo>
                    <a:pt x="177" y="9597"/>
                  </a:lnTo>
                  <a:lnTo>
                    <a:pt x="192" y="9592"/>
                  </a:lnTo>
                  <a:lnTo>
                    <a:pt x="205" y="9585"/>
                  </a:lnTo>
                  <a:lnTo>
                    <a:pt x="215" y="9570"/>
                  </a:lnTo>
                  <a:lnTo>
                    <a:pt x="220" y="9557"/>
                  </a:lnTo>
                  <a:lnTo>
                    <a:pt x="225" y="9542"/>
                  </a:lnTo>
                  <a:lnTo>
                    <a:pt x="225" y="9530"/>
                  </a:lnTo>
                  <a:lnTo>
                    <a:pt x="220" y="9515"/>
                  </a:lnTo>
                  <a:lnTo>
                    <a:pt x="215" y="9507"/>
                  </a:lnTo>
                  <a:lnTo>
                    <a:pt x="205" y="9497"/>
                  </a:lnTo>
                  <a:lnTo>
                    <a:pt x="197" y="9492"/>
                  </a:lnTo>
                  <a:lnTo>
                    <a:pt x="172" y="9492"/>
                  </a:lnTo>
                  <a:lnTo>
                    <a:pt x="165" y="9497"/>
                  </a:lnTo>
                  <a:lnTo>
                    <a:pt x="155" y="9507"/>
                  </a:lnTo>
                  <a:lnTo>
                    <a:pt x="150" y="9515"/>
                  </a:lnTo>
                  <a:lnTo>
                    <a:pt x="150" y="9525"/>
                  </a:lnTo>
                  <a:lnTo>
                    <a:pt x="155" y="9535"/>
                  </a:lnTo>
                  <a:lnTo>
                    <a:pt x="165" y="9537"/>
                  </a:lnTo>
                  <a:lnTo>
                    <a:pt x="170" y="9542"/>
                  </a:lnTo>
                  <a:lnTo>
                    <a:pt x="177" y="9542"/>
                  </a:lnTo>
                  <a:lnTo>
                    <a:pt x="182" y="9537"/>
                  </a:lnTo>
                  <a:lnTo>
                    <a:pt x="187" y="9530"/>
                  </a:lnTo>
                  <a:lnTo>
                    <a:pt x="182" y="952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6" name="Freeform 54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270" y="9900"/>
                </a:cxn>
                <a:cxn ang="0">
                  <a:pos x="225" y="9962"/>
                </a:cxn>
                <a:cxn ang="0">
                  <a:pos x="170" y="10042"/>
                </a:cxn>
                <a:cxn ang="0">
                  <a:pos x="115" y="10132"/>
                </a:cxn>
                <a:cxn ang="0">
                  <a:pos x="67" y="10237"/>
                </a:cxn>
                <a:cxn ang="0">
                  <a:pos x="27" y="10360"/>
                </a:cxn>
                <a:cxn ang="0">
                  <a:pos x="0" y="10502"/>
                </a:cxn>
                <a:cxn ang="0">
                  <a:pos x="27" y="10375"/>
                </a:cxn>
                <a:cxn ang="0">
                  <a:pos x="67" y="10270"/>
                </a:cxn>
                <a:cxn ang="0">
                  <a:pos x="115" y="10177"/>
                </a:cxn>
                <a:cxn ang="0">
                  <a:pos x="165" y="10095"/>
                </a:cxn>
                <a:cxn ang="0">
                  <a:pos x="225" y="10017"/>
                </a:cxn>
                <a:cxn ang="0">
                  <a:pos x="282" y="9940"/>
                </a:cxn>
                <a:cxn ang="0">
                  <a:pos x="342" y="9855"/>
                </a:cxn>
                <a:cxn ang="0">
                  <a:pos x="375" y="9772"/>
                </a:cxn>
                <a:cxn ang="0">
                  <a:pos x="392" y="9697"/>
                </a:cxn>
                <a:cxn ang="0">
                  <a:pos x="387" y="9630"/>
                </a:cxn>
                <a:cxn ang="0">
                  <a:pos x="380" y="9575"/>
                </a:cxn>
                <a:cxn ang="0">
                  <a:pos x="357" y="9525"/>
                </a:cxn>
                <a:cxn ang="0">
                  <a:pos x="332" y="9485"/>
                </a:cxn>
                <a:cxn ang="0">
                  <a:pos x="321" y="9474"/>
                </a:cxn>
                <a:cxn ang="0">
                  <a:pos x="342" y="9502"/>
                </a:cxn>
                <a:cxn ang="0">
                  <a:pos x="360" y="9547"/>
                </a:cxn>
                <a:cxn ang="0">
                  <a:pos x="375" y="9602"/>
                </a:cxn>
                <a:cxn ang="0">
                  <a:pos x="375" y="9667"/>
                </a:cxn>
                <a:cxn ang="0">
                  <a:pos x="360" y="9735"/>
                </a:cxn>
                <a:cxn ang="0">
                  <a:pos x="325" y="9812"/>
                </a:cxn>
                <a:cxn ang="0">
                  <a:pos x="270" y="9900"/>
                </a:cxn>
              </a:cxnLst>
              <a:rect l="0" t="0" r="r" b="b"/>
              <a:pathLst>
                <a:path w="15066" h="11591">
                  <a:moveTo>
                    <a:pt x="270" y="9900"/>
                  </a:moveTo>
                  <a:lnTo>
                    <a:pt x="225" y="9962"/>
                  </a:lnTo>
                  <a:lnTo>
                    <a:pt x="170" y="10042"/>
                  </a:lnTo>
                  <a:lnTo>
                    <a:pt x="115" y="10132"/>
                  </a:lnTo>
                  <a:lnTo>
                    <a:pt x="67" y="10237"/>
                  </a:lnTo>
                  <a:lnTo>
                    <a:pt x="27" y="10360"/>
                  </a:lnTo>
                  <a:lnTo>
                    <a:pt x="0" y="10502"/>
                  </a:lnTo>
                  <a:lnTo>
                    <a:pt x="27" y="10375"/>
                  </a:lnTo>
                  <a:lnTo>
                    <a:pt x="67" y="10270"/>
                  </a:lnTo>
                  <a:lnTo>
                    <a:pt x="115" y="10177"/>
                  </a:lnTo>
                  <a:lnTo>
                    <a:pt x="165" y="10095"/>
                  </a:lnTo>
                  <a:lnTo>
                    <a:pt x="225" y="10017"/>
                  </a:lnTo>
                  <a:lnTo>
                    <a:pt x="282" y="9940"/>
                  </a:lnTo>
                  <a:lnTo>
                    <a:pt x="342" y="9855"/>
                  </a:lnTo>
                  <a:lnTo>
                    <a:pt x="375" y="9772"/>
                  </a:lnTo>
                  <a:lnTo>
                    <a:pt x="392" y="9697"/>
                  </a:lnTo>
                  <a:lnTo>
                    <a:pt x="387" y="9630"/>
                  </a:lnTo>
                  <a:lnTo>
                    <a:pt x="380" y="9575"/>
                  </a:lnTo>
                  <a:lnTo>
                    <a:pt x="357" y="9525"/>
                  </a:lnTo>
                  <a:lnTo>
                    <a:pt x="332" y="9485"/>
                  </a:lnTo>
                  <a:lnTo>
                    <a:pt x="321" y="9474"/>
                  </a:lnTo>
                  <a:lnTo>
                    <a:pt x="342" y="9502"/>
                  </a:lnTo>
                  <a:lnTo>
                    <a:pt x="360" y="9547"/>
                  </a:lnTo>
                  <a:lnTo>
                    <a:pt x="375" y="9602"/>
                  </a:lnTo>
                  <a:lnTo>
                    <a:pt x="375" y="9667"/>
                  </a:lnTo>
                  <a:lnTo>
                    <a:pt x="360" y="9735"/>
                  </a:lnTo>
                  <a:lnTo>
                    <a:pt x="325" y="9812"/>
                  </a:lnTo>
                  <a:lnTo>
                    <a:pt x="270" y="990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5" name="Freeform 53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315" y="9465"/>
                </a:cxn>
                <a:cxn ang="0">
                  <a:pos x="304" y="9455"/>
                </a:cxn>
                <a:cxn ang="0">
                  <a:pos x="305" y="9457"/>
                </a:cxn>
                <a:cxn ang="0">
                  <a:pos x="321" y="9474"/>
                </a:cxn>
                <a:cxn ang="0">
                  <a:pos x="315" y="9465"/>
                </a:cxn>
              </a:cxnLst>
              <a:rect l="0" t="0" r="r" b="b"/>
              <a:pathLst>
                <a:path w="15066" h="11591">
                  <a:moveTo>
                    <a:pt x="315" y="9465"/>
                  </a:moveTo>
                  <a:lnTo>
                    <a:pt x="304" y="9455"/>
                  </a:lnTo>
                  <a:lnTo>
                    <a:pt x="305" y="9457"/>
                  </a:lnTo>
                  <a:lnTo>
                    <a:pt x="321" y="9474"/>
                  </a:lnTo>
                  <a:lnTo>
                    <a:pt x="315" y="946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4" name="Freeform 52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739" y="9812"/>
                </a:cxn>
                <a:cxn ang="0">
                  <a:pos x="14706" y="9735"/>
                </a:cxn>
                <a:cxn ang="0">
                  <a:pos x="14689" y="9667"/>
                </a:cxn>
                <a:cxn ang="0">
                  <a:pos x="14689" y="9602"/>
                </a:cxn>
                <a:cxn ang="0">
                  <a:pos x="14701" y="9547"/>
                </a:cxn>
                <a:cxn ang="0">
                  <a:pos x="14724" y="9502"/>
                </a:cxn>
                <a:cxn ang="0">
                  <a:pos x="14751" y="9465"/>
                </a:cxn>
                <a:cxn ang="0">
                  <a:pos x="14779" y="9437"/>
                </a:cxn>
                <a:cxn ang="0">
                  <a:pos x="14771" y="9442"/>
                </a:cxn>
                <a:cxn ang="0">
                  <a:pos x="14756" y="9457"/>
                </a:cxn>
                <a:cxn ang="0">
                  <a:pos x="14734" y="9485"/>
                </a:cxn>
                <a:cxn ang="0">
                  <a:pos x="14706" y="9525"/>
                </a:cxn>
                <a:cxn ang="0">
                  <a:pos x="14689" y="9575"/>
                </a:cxn>
                <a:cxn ang="0">
                  <a:pos x="14674" y="9630"/>
                </a:cxn>
                <a:cxn ang="0">
                  <a:pos x="14674" y="9697"/>
                </a:cxn>
                <a:cxn ang="0">
                  <a:pos x="14689" y="9772"/>
                </a:cxn>
                <a:cxn ang="0">
                  <a:pos x="14724" y="9855"/>
                </a:cxn>
                <a:cxn ang="0">
                  <a:pos x="14779" y="9940"/>
                </a:cxn>
                <a:cxn ang="0">
                  <a:pos x="14844" y="10017"/>
                </a:cxn>
                <a:cxn ang="0">
                  <a:pos x="14899" y="10095"/>
                </a:cxn>
                <a:cxn ang="0">
                  <a:pos x="14954" y="10177"/>
                </a:cxn>
                <a:cxn ang="0">
                  <a:pos x="14999" y="10270"/>
                </a:cxn>
                <a:cxn ang="0">
                  <a:pos x="15036" y="10375"/>
                </a:cxn>
                <a:cxn ang="0">
                  <a:pos x="15066" y="10502"/>
                </a:cxn>
                <a:cxn ang="0">
                  <a:pos x="15039" y="10360"/>
                </a:cxn>
                <a:cxn ang="0">
                  <a:pos x="14999" y="10237"/>
                </a:cxn>
                <a:cxn ang="0">
                  <a:pos x="14949" y="10132"/>
                </a:cxn>
                <a:cxn ang="0">
                  <a:pos x="14894" y="10042"/>
                </a:cxn>
                <a:cxn ang="0">
                  <a:pos x="14844" y="9962"/>
                </a:cxn>
                <a:cxn ang="0">
                  <a:pos x="14799" y="9900"/>
                </a:cxn>
                <a:cxn ang="0">
                  <a:pos x="14739" y="9812"/>
                </a:cxn>
              </a:cxnLst>
              <a:rect l="0" t="0" r="r" b="b"/>
              <a:pathLst>
                <a:path w="15066" h="11591">
                  <a:moveTo>
                    <a:pt x="14739" y="9812"/>
                  </a:moveTo>
                  <a:lnTo>
                    <a:pt x="14706" y="9735"/>
                  </a:lnTo>
                  <a:lnTo>
                    <a:pt x="14689" y="9667"/>
                  </a:lnTo>
                  <a:lnTo>
                    <a:pt x="14689" y="9602"/>
                  </a:lnTo>
                  <a:lnTo>
                    <a:pt x="14701" y="9547"/>
                  </a:lnTo>
                  <a:lnTo>
                    <a:pt x="14724" y="9502"/>
                  </a:lnTo>
                  <a:lnTo>
                    <a:pt x="14751" y="9465"/>
                  </a:lnTo>
                  <a:lnTo>
                    <a:pt x="14779" y="9437"/>
                  </a:lnTo>
                  <a:lnTo>
                    <a:pt x="14771" y="9442"/>
                  </a:lnTo>
                  <a:lnTo>
                    <a:pt x="14756" y="9457"/>
                  </a:lnTo>
                  <a:lnTo>
                    <a:pt x="14734" y="9485"/>
                  </a:lnTo>
                  <a:lnTo>
                    <a:pt x="14706" y="9525"/>
                  </a:lnTo>
                  <a:lnTo>
                    <a:pt x="14689" y="9575"/>
                  </a:lnTo>
                  <a:lnTo>
                    <a:pt x="14674" y="9630"/>
                  </a:lnTo>
                  <a:lnTo>
                    <a:pt x="14674" y="9697"/>
                  </a:lnTo>
                  <a:lnTo>
                    <a:pt x="14689" y="9772"/>
                  </a:lnTo>
                  <a:lnTo>
                    <a:pt x="14724" y="9855"/>
                  </a:lnTo>
                  <a:lnTo>
                    <a:pt x="14779" y="9940"/>
                  </a:lnTo>
                  <a:lnTo>
                    <a:pt x="14844" y="10017"/>
                  </a:lnTo>
                  <a:lnTo>
                    <a:pt x="14899" y="10095"/>
                  </a:lnTo>
                  <a:lnTo>
                    <a:pt x="14954" y="10177"/>
                  </a:lnTo>
                  <a:lnTo>
                    <a:pt x="14999" y="10270"/>
                  </a:lnTo>
                  <a:lnTo>
                    <a:pt x="15036" y="10375"/>
                  </a:lnTo>
                  <a:lnTo>
                    <a:pt x="15066" y="10502"/>
                  </a:lnTo>
                  <a:lnTo>
                    <a:pt x="15039" y="10360"/>
                  </a:lnTo>
                  <a:lnTo>
                    <a:pt x="14999" y="10237"/>
                  </a:lnTo>
                  <a:lnTo>
                    <a:pt x="14949" y="10132"/>
                  </a:lnTo>
                  <a:lnTo>
                    <a:pt x="14894" y="10042"/>
                  </a:lnTo>
                  <a:lnTo>
                    <a:pt x="14844" y="9962"/>
                  </a:lnTo>
                  <a:lnTo>
                    <a:pt x="14799" y="9900"/>
                  </a:lnTo>
                  <a:lnTo>
                    <a:pt x="14739" y="9812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3" name="Freeform 51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3916" y="1305"/>
                </a:cxn>
                <a:cxn ang="0">
                  <a:pos x="13901" y="1310"/>
                </a:cxn>
                <a:cxn ang="0">
                  <a:pos x="13889" y="1297"/>
                </a:cxn>
                <a:cxn ang="0">
                  <a:pos x="13889" y="1252"/>
                </a:cxn>
                <a:cxn ang="0">
                  <a:pos x="13934" y="1227"/>
                </a:cxn>
                <a:cxn ang="0">
                  <a:pos x="13989" y="1265"/>
                </a:cxn>
                <a:cxn ang="0">
                  <a:pos x="13994" y="1332"/>
                </a:cxn>
                <a:cxn ang="0">
                  <a:pos x="13951" y="1392"/>
                </a:cxn>
                <a:cxn ang="0">
                  <a:pos x="13879" y="1407"/>
                </a:cxn>
                <a:cxn ang="0">
                  <a:pos x="13796" y="1352"/>
                </a:cxn>
                <a:cxn ang="0">
                  <a:pos x="13774" y="1237"/>
                </a:cxn>
                <a:cxn ang="0">
                  <a:pos x="13834" y="1132"/>
                </a:cxn>
                <a:cxn ang="0">
                  <a:pos x="13934" y="1092"/>
                </a:cxn>
                <a:cxn ang="0">
                  <a:pos x="14066" y="1100"/>
                </a:cxn>
                <a:cxn ang="0">
                  <a:pos x="14214" y="1155"/>
                </a:cxn>
                <a:cxn ang="0">
                  <a:pos x="14354" y="1232"/>
                </a:cxn>
                <a:cxn ang="0">
                  <a:pos x="14524" y="1270"/>
                </a:cxn>
                <a:cxn ang="0">
                  <a:pos x="14701" y="1252"/>
                </a:cxn>
                <a:cxn ang="0">
                  <a:pos x="14866" y="1170"/>
                </a:cxn>
                <a:cxn ang="0">
                  <a:pos x="14989" y="1017"/>
                </a:cxn>
                <a:cxn ang="0">
                  <a:pos x="14856" y="1155"/>
                </a:cxn>
                <a:cxn ang="0">
                  <a:pos x="14689" y="1225"/>
                </a:cxn>
                <a:cxn ang="0">
                  <a:pos x="14519" y="1237"/>
                </a:cxn>
                <a:cxn ang="0">
                  <a:pos x="14369" y="1210"/>
                </a:cxn>
                <a:cxn ang="0">
                  <a:pos x="14209" y="1127"/>
                </a:cxn>
                <a:cxn ang="0">
                  <a:pos x="14031" y="1067"/>
                </a:cxn>
                <a:cxn ang="0">
                  <a:pos x="13889" y="1077"/>
                </a:cxn>
                <a:cxn ang="0">
                  <a:pos x="13794" y="1160"/>
                </a:cxn>
                <a:cxn ang="0">
                  <a:pos x="13761" y="1280"/>
                </a:cxn>
                <a:cxn ang="0">
                  <a:pos x="13801" y="1370"/>
                </a:cxn>
                <a:cxn ang="0">
                  <a:pos x="13879" y="1415"/>
                </a:cxn>
                <a:cxn ang="0">
                  <a:pos x="13976" y="1397"/>
                </a:cxn>
                <a:cxn ang="0">
                  <a:pos x="14026" y="1325"/>
                </a:cxn>
                <a:cxn ang="0">
                  <a:pos x="14016" y="1242"/>
                </a:cxn>
                <a:cxn ang="0">
                  <a:pos x="13939" y="1200"/>
                </a:cxn>
                <a:cxn ang="0">
                  <a:pos x="13879" y="1227"/>
                </a:cxn>
                <a:cxn ang="0">
                  <a:pos x="13871" y="1292"/>
                </a:cxn>
                <a:cxn ang="0">
                  <a:pos x="13901" y="1325"/>
                </a:cxn>
                <a:cxn ang="0">
                  <a:pos x="13934" y="1320"/>
                </a:cxn>
                <a:cxn ang="0">
                  <a:pos x="13949" y="1302"/>
                </a:cxn>
                <a:cxn ang="0">
                  <a:pos x="13944" y="1282"/>
                </a:cxn>
                <a:cxn ang="0">
                  <a:pos x="13929" y="1275"/>
                </a:cxn>
                <a:cxn ang="0">
                  <a:pos x="13926" y="1282"/>
                </a:cxn>
                <a:cxn ang="0">
                  <a:pos x="13921" y="1297"/>
                </a:cxn>
              </a:cxnLst>
              <a:rect l="0" t="0" r="r" b="b"/>
              <a:pathLst>
                <a:path w="15066" h="11591">
                  <a:moveTo>
                    <a:pt x="13921" y="1297"/>
                  </a:moveTo>
                  <a:lnTo>
                    <a:pt x="13916" y="1305"/>
                  </a:lnTo>
                  <a:lnTo>
                    <a:pt x="13911" y="1310"/>
                  </a:lnTo>
                  <a:lnTo>
                    <a:pt x="13901" y="1310"/>
                  </a:lnTo>
                  <a:lnTo>
                    <a:pt x="13899" y="1305"/>
                  </a:lnTo>
                  <a:lnTo>
                    <a:pt x="13889" y="1297"/>
                  </a:lnTo>
                  <a:lnTo>
                    <a:pt x="13879" y="1275"/>
                  </a:lnTo>
                  <a:lnTo>
                    <a:pt x="13889" y="1252"/>
                  </a:lnTo>
                  <a:lnTo>
                    <a:pt x="13906" y="1237"/>
                  </a:lnTo>
                  <a:lnTo>
                    <a:pt x="13934" y="1227"/>
                  </a:lnTo>
                  <a:lnTo>
                    <a:pt x="13966" y="1242"/>
                  </a:lnTo>
                  <a:lnTo>
                    <a:pt x="13989" y="1265"/>
                  </a:lnTo>
                  <a:lnTo>
                    <a:pt x="13999" y="1297"/>
                  </a:lnTo>
                  <a:lnTo>
                    <a:pt x="13994" y="1332"/>
                  </a:lnTo>
                  <a:lnTo>
                    <a:pt x="13979" y="1365"/>
                  </a:lnTo>
                  <a:lnTo>
                    <a:pt x="13951" y="1392"/>
                  </a:lnTo>
                  <a:lnTo>
                    <a:pt x="13921" y="1407"/>
                  </a:lnTo>
                  <a:lnTo>
                    <a:pt x="13879" y="1407"/>
                  </a:lnTo>
                  <a:lnTo>
                    <a:pt x="13834" y="1387"/>
                  </a:lnTo>
                  <a:lnTo>
                    <a:pt x="13796" y="1352"/>
                  </a:lnTo>
                  <a:lnTo>
                    <a:pt x="13774" y="1297"/>
                  </a:lnTo>
                  <a:lnTo>
                    <a:pt x="13774" y="1237"/>
                  </a:lnTo>
                  <a:lnTo>
                    <a:pt x="13796" y="1177"/>
                  </a:lnTo>
                  <a:lnTo>
                    <a:pt x="13834" y="1132"/>
                  </a:lnTo>
                  <a:lnTo>
                    <a:pt x="13879" y="1105"/>
                  </a:lnTo>
                  <a:lnTo>
                    <a:pt x="13934" y="1092"/>
                  </a:lnTo>
                  <a:lnTo>
                    <a:pt x="13999" y="1092"/>
                  </a:lnTo>
                  <a:lnTo>
                    <a:pt x="14066" y="1100"/>
                  </a:lnTo>
                  <a:lnTo>
                    <a:pt x="14139" y="1122"/>
                  </a:lnTo>
                  <a:lnTo>
                    <a:pt x="14214" y="1155"/>
                  </a:lnTo>
                  <a:lnTo>
                    <a:pt x="14281" y="1197"/>
                  </a:lnTo>
                  <a:lnTo>
                    <a:pt x="14354" y="1232"/>
                  </a:lnTo>
                  <a:lnTo>
                    <a:pt x="14436" y="1255"/>
                  </a:lnTo>
                  <a:lnTo>
                    <a:pt x="14524" y="1270"/>
                  </a:lnTo>
                  <a:lnTo>
                    <a:pt x="14614" y="1265"/>
                  </a:lnTo>
                  <a:lnTo>
                    <a:pt x="14701" y="1252"/>
                  </a:lnTo>
                  <a:lnTo>
                    <a:pt x="14789" y="1220"/>
                  </a:lnTo>
                  <a:lnTo>
                    <a:pt x="14866" y="1170"/>
                  </a:lnTo>
                  <a:lnTo>
                    <a:pt x="14934" y="1100"/>
                  </a:lnTo>
                  <a:lnTo>
                    <a:pt x="14989" y="1017"/>
                  </a:lnTo>
                  <a:lnTo>
                    <a:pt x="14931" y="1095"/>
                  </a:lnTo>
                  <a:lnTo>
                    <a:pt x="14856" y="1155"/>
                  </a:lnTo>
                  <a:lnTo>
                    <a:pt x="14774" y="1197"/>
                  </a:lnTo>
                  <a:lnTo>
                    <a:pt x="14689" y="1225"/>
                  </a:lnTo>
                  <a:lnTo>
                    <a:pt x="14601" y="1237"/>
                  </a:lnTo>
                  <a:lnTo>
                    <a:pt x="14519" y="1237"/>
                  </a:lnTo>
                  <a:lnTo>
                    <a:pt x="14436" y="1227"/>
                  </a:lnTo>
                  <a:lnTo>
                    <a:pt x="14369" y="1210"/>
                  </a:lnTo>
                  <a:lnTo>
                    <a:pt x="14309" y="1182"/>
                  </a:lnTo>
                  <a:lnTo>
                    <a:pt x="14209" y="1127"/>
                  </a:lnTo>
                  <a:lnTo>
                    <a:pt x="14116" y="1087"/>
                  </a:lnTo>
                  <a:lnTo>
                    <a:pt x="14031" y="1067"/>
                  </a:lnTo>
                  <a:lnTo>
                    <a:pt x="13951" y="1065"/>
                  </a:lnTo>
                  <a:lnTo>
                    <a:pt x="13889" y="1077"/>
                  </a:lnTo>
                  <a:lnTo>
                    <a:pt x="13834" y="1110"/>
                  </a:lnTo>
                  <a:lnTo>
                    <a:pt x="13794" y="1160"/>
                  </a:lnTo>
                  <a:lnTo>
                    <a:pt x="13766" y="1220"/>
                  </a:lnTo>
                  <a:lnTo>
                    <a:pt x="13761" y="1280"/>
                  </a:lnTo>
                  <a:lnTo>
                    <a:pt x="13774" y="1330"/>
                  </a:lnTo>
                  <a:lnTo>
                    <a:pt x="13801" y="1370"/>
                  </a:lnTo>
                  <a:lnTo>
                    <a:pt x="13839" y="1397"/>
                  </a:lnTo>
                  <a:lnTo>
                    <a:pt x="13879" y="1415"/>
                  </a:lnTo>
                  <a:lnTo>
                    <a:pt x="13934" y="1415"/>
                  </a:lnTo>
                  <a:lnTo>
                    <a:pt x="13976" y="1397"/>
                  </a:lnTo>
                  <a:lnTo>
                    <a:pt x="14006" y="1365"/>
                  </a:lnTo>
                  <a:lnTo>
                    <a:pt x="14026" y="1325"/>
                  </a:lnTo>
                  <a:lnTo>
                    <a:pt x="14031" y="1282"/>
                  </a:lnTo>
                  <a:lnTo>
                    <a:pt x="14016" y="1242"/>
                  </a:lnTo>
                  <a:lnTo>
                    <a:pt x="13984" y="1215"/>
                  </a:lnTo>
                  <a:lnTo>
                    <a:pt x="13939" y="1200"/>
                  </a:lnTo>
                  <a:lnTo>
                    <a:pt x="13906" y="1205"/>
                  </a:lnTo>
                  <a:lnTo>
                    <a:pt x="13879" y="1227"/>
                  </a:lnTo>
                  <a:lnTo>
                    <a:pt x="13866" y="1260"/>
                  </a:lnTo>
                  <a:lnTo>
                    <a:pt x="13871" y="1292"/>
                  </a:lnTo>
                  <a:lnTo>
                    <a:pt x="13894" y="1320"/>
                  </a:lnTo>
                  <a:lnTo>
                    <a:pt x="13901" y="1325"/>
                  </a:lnTo>
                  <a:lnTo>
                    <a:pt x="13926" y="1325"/>
                  </a:lnTo>
                  <a:lnTo>
                    <a:pt x="13934" y="1320"/>
                  </a:lnTo>
                  <a:lnTo>
                    <a:pt x="13944" y="1310"/>
                  </a:lnTo>
                  <a:lnTo>
                    <a:pt x="13949" y="1302"/>
                  </a:lnTo>
                  <a:lnTo>
                    <a:pt x="13949" y="1292"/>
                  </a:lnTo>
                  <a:lnTo>
                    <a:pt x="13944" y="1282"/>
                  </a:lnTo>
                  <a:lnTo>
                    <a:pt x="13934" y="1275"/>
                  </a:lnTo>
                  <a:lnTo>
                    <a:pt x="13929" y="1275"/>
                  </a:lnTo>
                  <a:lnTo>
                    <a:pt x="13929" y="1280"/>
                  </a:lnTo>
                  <a:lnTo>
                    <a:pt x="13926" y="1282"/>
                  </a:lnTo>
                  <a:lnTo>
                    <a:pt x="13921" y="1292"/>
                  </a:lnTo>
                  <a:lnTo>
                    <a:pt x="13921" y="129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2" name="Freeform 50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700" y="1210"/>
                </a:cxn>
                <a:cxn ang="0">
                  <a:pos x="547" y="1237"/>
                </a:cxn>
                <a:cxn ang="0">
                  <a:pos x="375" y="1225"/>
                </a:cxn>
                <a:cxn ang="0">
                  <a:pos x="205" y="1155"/>
                </a:cxn>
                <a:cxn ang="0">
                  <a:pos x="72" y="1017"/>
                </a:cxn>
                <a:cxn ang="0">
                  <a:pos x="200" y="1170"/>
                </a:cxn>
                <a:cxn ang="0">
                  <a:pos x="360" y="1252"/>
                </a:cxn>
                <a:cxn ang="0">
                  <a:pos x="540" y="1270"/>
                </a:cxn>
                <a:cxn ang="0">
                  <a:pos x="707" y="1232"/>
                </a:cxn>
                <a:cxn ang="0">
                  <a:pos x="855" y="1155"/>
                </a:cxn>
                <a:cxn ang="0">
                  <a:pos x="1000" y="1100"/>
                </a:cxn>
                <a:cxn ang="0">
                  <a:pos x="1127" y="1092"/>
                </a:cxn>
                <a:cxn ang="0">
                  <a:pos x="1232" y="1132"/>
                </a:cxn>
                <a:cxn ang="0">
                  <a:pos x="1292" y="1237"/>
                </a:cxn>
                <a:cxn ang="0">
                  <a:pos x="1270" y="1352"/>
                </a:cxn>
                <a:cxn ang="0">
                  <a:pos x="1182" y="1407"/>
                </a:cxn>
                <a:cxn ang="0">
                  <a:pos x="1110" y="1392"/>
                </a:cxn>
                <a:cxn ang="0">
                  <a:pos x="1070" y="1332"/>
                </a:cxn>
                <a:cxn ang="0">
                  <a:pos x="1072" y="1265"/>
                </a:cxn>
                <a:cxn ang="0">
                  <a:pos x="1127" y="1227"/>
                </a:cxn>
                <a:cxn ang="0">
                  <a:pos x="1177" y="1252"/>
                </a:cxn>
                <a:cxn ang="0">
                  <a:pos x="1175" y="1297"/>
                </a:cxn>
                <a:cxn ang="0">
                  <a:pos x="1160" y="1310"/>
                </a:cxn>
                <a:cxn ang="0">
                  <a:pos x="1150" y="1305"/>
                </a:cxn>
                <a:cxn ang="0">
                  <a:pos x="1142" y="1292"/>
                </a:cxn>
                <a:cxn ang="0">
                  <a:pos x="1137" y="1280"/>
                </a:cxn>
                <a:cxn ang="0">
                  <a:pos x="1127" y="1275"/>
                </a:cxn>
                <a:cxn ang="0">
                  <a:pos x="1120" y="1302"/>
                </a:cxn>
                <a:cxn ang="0">
                  <a:pos x="1132" y="1320"/>
                </a:cxn>
                <a:cxn ang="0">
                  <a:pos x="1165" y="1325"/>
                </a:cxn>
                <a:cxn ang="0">
                  <a:pos x="1197" y="1292"/>
                </a:cxn>
                <a:cxn ang="0">
                  <a:pos x="1187" y="1227"/>
                </a:cxn>
                <a:cxn ang="0">
                  <a:pos x="1125" y="1200"/>
                </a:cxn>
                <a:cxn ang="0">
                  <a:pos x="1050" y="1242"/>
                </a:cxn>
                <a:cxn ang="0">
                  <a:pos x="1037" y="1325"/>
                </a:cxn>
                <a:cxn ang="0">
                  <a:pos x="1087" y="1397"/>
                </a:cxn>
                <a:cxn ang="0">
                  <a:pos x="1187" y="1415"/>
                </a:cxn>
                <a:cxn ang="0">
                  <a:pos x="1265" y="1370"/>
                </a:cxn>
                <a:cxn ang="0">
                  <a:pos x="1307" y="1280"/>
                </a:cxn>
                <a:cxn ang="0">
                  <a:pos x="1275" y="1160"/>
                </a:cxn>
                <a:cxn ang="0">
                  <a:pos x="1175" y="1077"/>
                </a:cxn>
                <a:cxn ang="0">
                  <a:pos x="1037" y="1067"/>
                </a:cxn>
                <a:cxn ang="0">
                  <a:pos x="855" y="1127"/>
                </a:cxn>
              </a:cxnLst>
              <a:rect l="0" t="0" r="r" b="b"/>
              <a:pathLst>
                <a:path w="15066" h="11591">
                  <a:moveTo>
                    <a:pt x="755" y="1182"/>
                  </a:moveTo>
                  <a:lnTo>
                    <a:pt x="700" y="1210"/>
                  </a:lnTo>
                  <a:lnTo>
                    <a:pt x="625" y="1227"/>
                  </a:lnTo>
                  <a:lnTo>
                    <a:pt x="547" y="1237"/>
                  </a:lnTo>
                  <a:lnTo>
                    <a:pt x="462" y="1237"/>
                  </a:lnTo>
                  <a:lnTo>
                    <a:pt x="375" y="1225"/>
                  </a:lnTo>
                  <a:lnTo>
                    <a:pt x="287" y="1197"/>
                  </a:lnTo>
                  <a:lnTo>
                    <a:pt x="205" y="1155"/>
                  </a:lnTo>
                  <a:lnTo>
                    <a:pt x="132" y="1095"/>
                  </a:lnTo>
                  <a:lnTo>
                    <a:pt x="72" y="1017"/>
                  </a:lnTo>
                  <a:lnTo>
                    <a:pt x="127" y="1100"/>
                  </a:lnTo>
                  <a:lnTo>
                    <a:pt x="200" y="1170"/>
                  </a:lnTo>
                  <a:lnTo>
                    <a:pt x="277" y="1220"/>
                  </a:lnTo>
                  <a:lnTo>
                    <a:pt x="360" y="1252"/>
                  </a:lnTo>
                  <a:lnTo>
                    <a:pt x="452" y="1265"/>
                  </a:lnTo>
                  <a:lnTo>
                    <a:pt x="540" y="1270"/>
                  </a:lnTo>
                  <a:lnTo>
                    <a:pt x="625" y="1255"/>
                  </a:lnTo>
                  <a:lnTo>
                    <a:pt x="707" y="1232"/>
                  </a:lnTo>
                  <a:lnTo>
                    <a:pt x="780" y="1197"/>
                  </a:lnTo>
                  <a:lnTo>
                    <a:pt x="855" y="1155"/>
                  </a:lnTo>
                  <a:lnTo>
                    <a:pt x="927" y="1122"/>
                  </a:lnTo>
                  <a:lnTo>
                    <a:pt x="1000" y="1100"/>
                  </a:lnTo>
                  <a:lnTo>
                    <a:pt x="1065" y="1092"/>
                  </a:lnTo>
                  <a:lnTo>
                    <a:pt x="1127" y="1092"/>
                  </a:lnTo>
                  <a:lnTo>
                    <a:pt x="1182" y="1105"/>
                  </a:lnTo>
                  <a:lnTo>
                    <a:pt x="1232" y="1132"/>
                  </a:lnTo>
                  <a:lnTo>
                    <a:pt x="1270" y="1177"/>
                  </a:lnTo>
                  <a:lnTo>
                    <a:pt x="1292" y="1237"/>
                  </a:lnTo>
                  <a:lnTo>
                    <a:pt x="1287" y="1297"/>
                  </a:lnTo>
                  <a:lnTo>
                    <a:pt x="1270" y="1352"/>
                  </a:lnTo>
                  <a:lnTo>
                    <a:pt x="1232" y="1387"/>
                  </a:lnTo>
                  <a:lnTo>
                    <a:pt x="1182" y="1407"/>
                  </a:lnTo>
                  <a:lnTo>
                    <a:pt x="1147" y="1407"/>
                  </a:lnTo>
                  <a:lnTo>
                    <a:pt x="1110" y="1392"/>
                  </a:lnTo>
                  <a:lnTo>
                    <a:pt x="1087" y="1365"/>
                  </a:lnTo>
                  <a:lnTo>
                    <a:pt x="1070" y="1332"/>
                  </a:lnTo>
                  <a:lnTo>
                    <a:pt x="1065" y="1297"/>
                  </a:lnTo>
                  <a:lnTo>
                    <a:pt x="1072" y="1265"/>
                  </a:lnTo>
                  <a:lnTo>
                    <a:pt x="1100" y="1242"/>
                  </a:lnTo>
                  <a:lnTo>
                    <a:pt x="1127" y="1227"/>
                  </a:lnTo>
                  <a:lnTo>
                    <a:pt x="1155" y="1237"/>
                  </a:lnTo>
                  <a:lnTo>
                    <a:pt x="1177" y="1252"/>
                  </a:lnTo>
                  <a:lnTo>
                    <a:pt x="1182" y="1275"/>
                  </a:lnTo>
                  <a:lnTo>
                    <a:pt x="1175" y="1297"/>
                  </a:lnTo>
                  <a:lnTo>
                    <a:pt x="1170" y="1305"/>
                  </a:lnTo>
                  <a:lnTo>
                    <a:pt x="1160" y="1310"/>
                  </a:lnTo>
                  <a:lnTo>
                    <a:pt x="1155" y="1310"/>
                  </a:lnTo>
                  <a:lnTo>
                    <a:pt x="1150" y="1305"/>
                  </a:lnTo>
                  <a:lnTo>
                    <a:pt x="1147" y="1297"/>
                  </a:lnTo>
                  <a:lnTo>
                    <a:pt x="1142" y="1292"/>
                  </a:lnTo>
                  <a:lnTo>
                    <a:pt x="1142" y="1282"/>
                  </a:lnTo>
                  <a:lnTo>
                    <a:pt x="1137" y="1280"/>
                  </a:lnTo>
                  <a:lnTo>
                    <a:pt x="1132" y="1275"/>
                  </a:lnTo>
                  <a:lnTo>
                    <a:pt x="1127" y="1275"/>
                  </a:lnTo>
                  <a:lnTo>
                    <a:pt x="1120" y="1282"/>
                  </a:lnTo>
                  <a:lnTo>
                    <a:pt x="1120" y="1302"/>
                  </a:lnTo>
                  <a:lnTo>
                    <a:pt x="1125" y="1310"/>
                  </a:lnTo>
                  <a:lnTo>
                    <a:pt x="1132" y="1320"/>
                  </a:lnTo>
                  <a:lnTo>
                    <a:pt x="1142" y="1325"/>
                  </a:lnTo>
                  <a:lnTo>
                    <a:pt x="1165" y="1325"/>
                  </a:lnTo>
                  <a:lnTo>
                    <a:pt x="1175" y="1320"/>
                  </a:lnTo>
                  <a:lnTo>
                    <a:pt x="1197" y="1292"/>
                  </a:lnTo>
                  <a:lnTo>
                    <a:pt x="1197" y="1260"/>
                  </a:lnTo>
                  <a:lnTo>
                    <a:pt x="1187" y="1227"/>
                  </a:lnTo>
                  <a:lnTo>
                    <a:pt x="1160" y="1205"/>
                  </a:lnTo>
                  <a:lnTo>
                    <a:pt x="1125" y="1200"/>
                  </a:lnTo>
                  <a:lnTo>
                    <a:pt x="1082" y="1215"/>
                  </a:lnTo>
                  <a:lnTo>
                    <a:pt x="1050" y="1242"/>
                  </a:lnTo>
                  <a:lnTo>
                    <a:pt x="1037" y="1282"/>
                  </a:lnTo>
                  <a:lnTo>
                    <a:pt x="1037" y="1325"/>
                  </a:lnTo>
                  <a:lnTo>
                    <a:pt x="1055" y="1365"/>
                  </a:lnTo>
                  <a:lnTo>
                    <a:pt x="1087" y="1397"/>
                  </a:lnTo>
                  <a:lnTo>
                    <a:pt x="1132" y="1415"/>
                  </a:lnTo>
                  <a:lnTo>
                    <a:pt x="1187" y="1415"/>
                  </a:lnTo>
                  <a:lnTo>
                    <a:pt x="1230" y="1397"/>
                  </a:lnTo>
                  <a:lnTo>
                    <a:pt x="1265" y="1370"/>
                  </a:lnTo>
                  <a:lnTo>
                    <a:pt x="1292" y="1330"/>
                  </a:lnTo>
                  <a:lnTo>
                    <a:pt x="1307" y="1280"/>
                  </a:lnTo>
                  <a:lnTo>
                    <a:pt x="1302" y="1220"/>
                  </a:lnTo>
                  <a:lnTo>
                    <a:pt x="1275" y="1160"/>
                  </a:lnTo>
                  <a:lnTo>
                    <a:pt x="1230" y="1110"/>
                  </a:lnTo>
                  <a:lnTo>
                    <a:pt x="1175" y="1077"/>
                  </a:lnTo>
                  <a:lnTo>
                    <a:pt x="1110" y="1065"/>
                  </a:lnTo>
                  <a:lnTo>
                    <a:pt x="1037" y="1067"/>
                  </a:lnTo>
                  <a:lnTo>
                    <a:pt x="950" y="1087"/>
                  </a:lnTo>
                  <a:lnTo>
                    <a:pt x="855" y="1127"/>
                  </a:lnTo>
                  <a:lnTo>
                    <a:pt x="755" y="1182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1" name="Freeform 49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513" y="635"/>
                </a:cxn>
                <a:cxn ang="0">
                  <a:pos x="10513" y="642"/>
                </a:cxn>
                <a:cxn ang="0">
                  <a:pos x="10516" y="657"/>
                </a:cxn>
                <a:cxn ang="0">
                  <a:pos x="10516" y="640"/>
                </a:cxn>
                <a:cxn ang="0">
                  <a:pos x="10513" y="635"/>
                </a:cxn>
              </a:cxnLst>
              <a:rect l="0" t="0" r="r" b="b"/>
              <a:pathLst>
                <a:path w="15066" h="11591">
                  <a:moveTo>
                    <a:pt x="10513" y="635"/>
                  </a:moveTo>
                  <a:lnTo>
                    <a:pt x="10513" y="642"/>
                  </a:lnTo>
                  <a:lnTo>
                    <a:pt x="10516" y="657"/>
                  </a:lnTo>
                  <a:lnTo>
                    <a:pt x="10516" y="640"/>
                  </a:lnTo>
                  <a:lnTo>
                    <a:pt x="10513" y="63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40" name="Freeform 48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503" y="697"/>
                </a:cxn>
                <a:cxn ang="0">
                  <a:pos x="10507" y="691"/>
                </a:cxn>
                <a:cxn ang="0">
                  <a:pos x="10503" y="695"/>
                </a:cxn>
                <a:cxn ang="0">
                  <a:pos x="10493" y="702"/>
                </a:cxn>
                <a:cxn ang="0">
                  <a:pos x="10490" y="704"/>
                </a:cxn>
                <a:cxn ang="0">
                  <a:pos x="10503" y="697"/>
                </a:cxn>
              </a:cxnLst>
              <a:rect l="0" t="0" r="r" b="b"/>
              <a:pathLst>
                <a:path w="15066" h="11591">
                  <a:moveTo>
                    <a:pt x="10503" y="697"/>
                  </a:moveTo>
                  <a:lnTo>
                    <a:pt x="10507" y="691"/>
                  </a:lnTo>
                  <a:lnTo>
                    <a:pt x="10503" y="695"/>
                  </a:lnTo>
                  <a:lnTo>
                    <a:pt x="10493" y="702"/>
                  </a:lnTo>
                  <a:lnTo>
                    <a:pt x="10490" y="704"/>
                  </a:lnTo>
                  <a:lnTo>
                    <a:pt x="10503" y="69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9" name="Freeform 47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411" y="292"/>
                </a:cxn>
                <a:cxn ang="0">
                  <a:pos x="10366" y="272"/>
                </a:cxn>
                <a:cxn ang="0">
                  <a:pos x="10316" y="265"/>
                </a:cxn>
                <a:cxn ang="0">
                  <a:pos x="10303" y="265"/>
                </a:cxn>
                <a:cxn ang="0">
                  <a:pos x="10283" y="260"/>
                </a:cxn>
                <a:cxn ang="0">
                  <a:pos x="10283" y="270"/>
                </a:cxn>
                <a:cxn ang="0">
                  <a:pos x="10321" y="320"/>
                </a:cxn>
                <a:cxn ang="0">
                  <a:pos x="10306" y="270"/>
                </a:cxn>
                <a:cxn ang="0">
                  <a:pos x="10371" y="287"/>
                </a:cxn>
                <a:cxn ang="0">
                  <a:pos x="10411" y="292"/>
                </a:cxn>
              </a:cxnLst>
              <a:rect l="0" t="0" r="r" b="b"/>
              <a:pathLst>
                <a:path w="15066" h="11591">
                  <a:moveTo>
                    <a:pt x="10411" y="292"/>
                  </a:moveTo>
                  <a:lnTo>
                    <a:pt x="10366" y="272"/>
                  </a:lnTo>
                  <a:lnTo>
                    <a:pt x="10316" y="265"/>
                  </a:lnTo>
                  <a:lnTo>
                    <a:pt x="10303" y="265"/>
                  </a:lnTo>
                  <a:lnTo>
                    <a:pt x="10283" y="260"/>
                  </a:lnTo>
                  <a:lnTo>
                    <a:pt x="10283" y="270"/>
                  </a:lnTo>
                  <a:lnTo>
                    <a:pt x="10321" y="320"/>
                  </a:lnTo>
                  <a:lnTo>
                    <a:pt x="10306" y="270"/>
                  </a:lnTo>
                  <a:lnTo>
                    <a:pt x="10371" y="287"/>
                  </a:lnTo>
                  <a:lnTo>
                    <a:pt x="10411" y="292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8" name="Freeform 46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486" y="365"/>
                </a:cxn>
                <a:cxn ang="0">
                  <a:pos x="10411" y="292"/>
                </a:cxn>
                <a:cxn ang="0">
                  <a:pos x="10426" y="320"/>
                </a:cxn>
                <a:cxn ang="0">
                  <a:pos x="10486" y="425"/>
                </a:cxn>
                <a:cxn ang="0">
                  <a:pos x="10433" y="442"/>
                </a:cxn>
                <a:cxn ang="0">
                  <a:pos x="10353" y="332"/>
                </a:cxn>
                <a:cxn ang="0">
                  <a:pos x="10306" y="270"/>
                </a:cxn>
                <a:cxn ang="0">
                  <a:pos x="10356" y="380"/>
                </a:cxn>
                <a:cxn ang="0">
                  <a:pos x="10458" y="485"/>
                </a:cxn>
                <a:cxn ang="0">
                  <a:pos x="10471" y="552"/>
                </a:cxn>
                <a:cxn ang="0">
                  <a:pos x="10383" y="620"/>
                </a:cxn>
                <a:cxn ang="0">
                  <a:pos x="10348" y="602"/>
                </a:cxn>
                <a:cxn ang="0">
                  <a:pos x="10303" y="452"/>
                </a:cxn>
                <a:cxn ang="0">
                  <a:pos x="10261" y="325"/>
                </a:cxn>
                <a:cxn ang="0">
                  <a:pos x="10261" y="265"/>
                </a:cxn>
                <a:cxn ang="0">
                  <a:pos x="10283" y="260"/>
                </a:cxn>
                <a:cxn ang="0">
                  <a:pos x="10256" y="215"/>
                </a:cxn>
                <a:cxn ang="0">
                  <a:pos x="10096" y="100"/>
                </a:cxn>
                <a:cxn ang="0">
                  <a:pos x="10233" y="205"/>
                </a:cxn>
                <a:cxn ang="0">
                  <a:pos x="10228" y="260"/>
                </a:cxn>
                <a:cxn ang="0">
                  <a:pos x="10128" y="145"/>
                </a:cxn>
                <a:cxn ang="0">
                  <a:pos x="9956" y="50"/>
                </a:cxn>
                <a:cxn ang="0">
                  <a:pos x="10123" y="150"/>
                </a:cxn>
                <a:cxn ang="0">
                  <a:pos x="10221" y="265"/>
                </a:cxn>
                <a:cxn ang="0">
                  <a:pos x="10271" y="392"/>
                </a:cxn>
                <a:cxn ang="0">
                  <a:pos x="10298" y="520"/>
                </a:cxn>
                <a:cxn ang="0">
                  <a:pos x="10338" y="620"/>
                </a:cxn>
                <a:cxn ang="0">
                  <a:pos x="10271" y="585"/>
                </a:cxn>
                <a:cxn ang="0">
                  <a:pos x="10256" y="502"/>
                </a:cxn>
                <a:cxn ang="0">
                  <a:pos x="10251" y="552"/>
                </a:cxn>
                <a:cxn ang="0">
                  <a:pos x="10293" y="612"/>
                </a:cxn>
                <a:cxn ang="0">
                  <a:pos x="10338" y="625"/>
                </a:cxn>
                <a:cxn ang="0">
                  <a:pos x="10376" y="680"/>
                </a:cxn>
                <a:cxn ang="0">
                  <a:pos x="10448" y="712"/>
                </a:cxn>
                <a:cxn ang="0">
                  <a:pos x="10448" y="707"/>
                </a:cxn>
                <a:cxn ang="0">
                  <a:pos x="10376" y="657"/>
                </a:cxn>
                <a:cxn ang="0">
                  <a:pos x="10388" y="625"/>
                </a:cxn>
                <a:cxn ang="0">
                  <a:pos x="10466" y="580"/>
                </a:cxn>
                <a:cxn ang="0">
                  <a:pos x="10503" y="502"/>
                </a:cxn>
                <a:cxn ang="0">
                  <a:pos x="10591" y="507"/>
                </a:cxn>
                <a:cxn ang="0">
                  <a:pos x="10641" y="487"/>
                </a:cxn>
                <a:cxn ang="0">
                  <a:pos x="10648" y="480"/>
                </a:cxn>
                <a:cxn ang="0">
                  <a:pos x="10613" y="497"/>
                </a:cxn>
                <a:cxn ang="0">
                  <a:pos x="10531" y="502"/>
                </a:cxn>
                <a:cxn ang="0">
                  <a:pos x="10508" y="480"/>
                </a:cxn>
              </a:cxnLst>
              <a:rect l="0" t="0" r="r" b="b"/>
              <a:pathLst>
                <a:path w="15066" h="11591">
                  <a:moveTo>
                    <a:pt x="10503" y="410"/>
                  </a:moveTo>
                  <a:lnTo>
                    <a:pt x="10486" y="365"/>
                  </a:lnTo>
                  <a:lnTo>
                    <a:pt x="10453" y="325"/>
                  </a:lnTo>
                  <a:lnTo>
                    <a:pt x="10411" y="292"/>
                  </a:lnTo>
                  <a:lnTo>
                    <a:pt x="10371" y="287"/>
                  </a:lnTo>
                  <a:lnTo>
                    <a:pt x="10426" y="320"/>
                  </a:lnTo>
                  <a:lnTo>
                    <a:pt x="10461" y="365"/>
                  </a:lnTo>
                  <a:lnTo>
                    <a:pt x="10486" y="425"/>
                  </a:lnTo>
                  <a:lnTo>
                    <a:pt x="10486" y="485"/>
                  </a:lnTo>
                  <a:lnTo>
                    <a:pt x="10433" y="442"/>
                  </a:lnTo>
                  <a:lnTo>
                    <a:pt x="10383" y="380"/>
                  </a:lnTo>
                  <a:lnTo>
                    <a:pt x="10353" y="332"/>
                  </a:lnTo>
                  <a:lnTo>
                    <a:pt x="10311" y="272"/>
                  </a:lnTo>
                  <a:lnTo>
                    <a:pt x="10306" y="270"/>
                  </a:lnTo>
                  <a:lnTo>
                    <a:pt x="10321" y="320"/>
                  </a:lnTo>
                  <a:lnTo>
                    <a:pt x="10356" y="380"/>
                  </a:lnTo>
                  <a:lnTo>
                    <a:pt x="10408" y="442"/>
                  </a:lnTo>
                  <a:lnTo>
                    <a:pt x="10458" y="485"/>
                  </a:lnTo>
                  <a:lnTo>
                    <a:pt x="10486" y="492"/>
                  </a:lnTo>
                  <a:lnTo>
                    <a:pt x="10471" y="552"/>
                  </a:lnTo>
                  <a:lnTo>
                    <a:pt x="10433" y="597"/>
                  </a:lnTo>
                  <a:lnTo>
                    <a:pt x="10383" y="620"/>
                  </a:lnTo>
                  <a:lnTo>
                    <a:pt x="10356" y="620"/>
                  </a:lnTo>
                  <a:lnTo>
                    <a:pt x="10348" y="602"/>
                  </a:lnTo>
                  <a:lnTo>
                    <a:pt x="10321" y="515"/>
                  </a:lnTo>
                  <a:lnTo>
                    <a:pt x="10303" y="452"/>
                  </a:lnTo>
                  <a:lnTo>
                    <a:pt x="10283" y="387"/>
                  </a:lnTo>
                  <a:lnTo>
                    <a:pt x="10261" y="325"/>
                  </a:lnTo>
                  <a:lnTo>
                    <a:pt x="10228" y="265"/>
                  </a:lnTo>
                  <a:lnTo>
                    <a:pt x="10261" y="265"/>
                  </a:lnTo>
                  <a:lnTo>
                    <a:pt x="10283" y="270"/>
                  </a:lnTo>
                  <a:lnTo>
                    <a:pt x="10283" y="260"/>
                  </a:lnTo>
                  <a:lnTo>
                    <a:pt x="10303" y="265"/>
                  </a:lnTo>
                  <a:lnTo>
                    <a:pt x="10256" y="215"/>
                  </a:lnTo>
                  <a:lnTo>
                    <a:pt x="10188" y="155"/>
                  </a:lnTo>
                  <a:lnTo>
                    <a:pt x="10096" y="100"/>
                  </a:lnTo>
                  <a:lnTo>
                    <a:pt x="10173" y="150"/>
                  </a:lnTo>
                  <a:lnTo>
                    <a:pt x="10233" y="205"/>
                  </a:lnTo>
                  <a:lnTo>
                    <a:pt x="10278" y="260"/>
                  </a:lnTo>
                  <a:lnTo>
                    <a:pt x="10228" y="260"/>
                  </a:lnTo>
                  <a:lnTo>
                    <a:pt x="10183" y="205"/>
                  </a:lnTo>
                  <a:lnTo>
                    <a:pt x="10128" y="145"/>
                  </a:lnTo>
                  <a:lnTo>
                    <a:pt x="10051" y="95"/>
                  </a:lnTo>
                  <a:lnTo>
                    <a:pt x="9956" y="50"/>
                  </a:lnTo>
                  <a:lnTo>
                    <a:pt x="10051" y="100"/>
                  </a:lnTo>
                  <a:lnTo>
                    <a:pt x="10123" y="150"/>
                  </a:lnTo>
                  <a:lnTo>
                    <a:pt x="10178" y="205"/>
                  </a:lnTo>
                  <a:lnTo>
                    <a:pt x="10221" y="265"/>
                  </a:lnTo>
                  <a:lnTo>
                    <a:pt x="10248" y="327"/>
                  </a:lnTo>
                  <a:lnTo>
                    <a:pt x="10271" y="392"/>
                  </a:lnTo>
                  <a:lnTo>
                    <a:pt x="10283" y="457"/>
                  </a:lnTo>
                  <a:lnTo>
                    <a:pt x="10298" y="520"/>
                  </a:lnTo>
                  <a:lnTo>
                    <a:pt x="10321" y="590"/>
                  </a:lnTo>
                  <a:lnTo>
                    <a:pt x="10338" y="620"/>
                  </a:lnTo>
                  <a:lnTo>
                    <a:pt x="10298" y="607"/>
                  </a:lnTo>
                  <a:lnTo>
                    <a:pt x="10271" y="585"/>
                  </a:lnTo>
                  <a:lnTo>
                    <a:pt x="10256" y="547"/>
                  </a:lnTo>
                  <a:lnTo>
                    <a:pt x="10256" y="502"/>
                  </a:lnTo>
                  <a:lnTo>
                    <a:pt x="10251" y="507"/>
                  </a:lnTo>
                  <a:lnTo>
                    <a:pt x="10251" y="552"/>
                  </a:lnTo>
                  <a:lnTo>
                    <a:pt x="10266" y="585"/>
                  </a:lnTo>
                  <a:lnTo>
                    <a:pt x="10293" y="612"/>
                  </a:lnTo>
                  <a:lnTo>
                    <a:pt x="10326" y="625"/>
                  </a:lnTo>
                  <a:lnTo>
                    <a:pt x="10338" y="625"/>
                  </a:lnTo>
                  <a:lnTo>
                    <a:pt x="10348" y="640"/>
                  </a:lnTo>
                  <a:lnTo>
                    <a:pt x="10376" y="680"/>
                  </a:lnTo>
                  <a:lnTo>
                    <a:pt x="10411" y="702"/>
                  </a:lnTo>
                  <a:lnTo>
                    <a:pt x="10448" y="712"/>
                  </a:lnTo>
                  <a:lnTo>
                    <a:pt x="10458" y="712"/>
                  </a:lnTo>
                  <a:lnTo>
                    <a:pt x="10448" y="707"/>
                  </a:lnTo>
                  <a:lnTo>
                    <a:pt x="10408" y="695"/>
                  </a:lnTo>
                  <a:lnTo>
                    <a:pt x="10376" y="657"/>
                  </a:lnTo>
                  <a:lnTo>
                    <a:pt x="10361" y="630"/>
                  </a:lnTo>
                  <a:lnTo>
                    <a:pt x="10388" y="625"/>
                  </a:lnTo>
                  <a:lnTo>
                    <a:pt x="10431" y="607"/>
                  </a:lnTo>
                  <a:lnTo>
                    <a:pt x="10466" y="580"/>
                  </a:lnTo>
                  <a:lnTo>
                    <a:pt x="10493" y="535"/>
                  </a:lnTo>
                  <a:lnTo>
                    <a:pt x="10503" y="502"/>
                  </a:lnTo>
                  <a:lnTo>
                    <a:pt x="10548" y="510"/>
                  </a:lnTo>
                  <a:lnTo>
                    <a:pt x="10591" y="507"/>
                  </a:lnTo>
                  <a:lnTo>
                    <a:pt x="10621" y="497"/>
                  </a:lnTo>
                  <a:lnTo>
                    <a:pt x="10641" y="487"/>
                  </a:lnTo>
                  <a:lnTo>
                    <a:pt x="10646" y="485"/>
                  </a:lnTo>
                  <a:lnTo>
                    <a:pt x="10648" y="480"/>
                  </a:lnTo>
                  <a:lnTo>
                    <a:pt x="10641" y="485"/>
                  </a:lnTo>
                  <a:lnTo>
                    <a:pt x="10613" y="497"/>
                  </a:lnTo>
                  <a:lnTo>
                    <a:pt x="10571" y="507"/>
                  </a:lnTo>
                  <a:lnTo>
                    <a:pt x="10531" y="502"/>
                  </a:lnTo>
                  <a:lnTo>
                    <a:pt x="10508" y="492"/>
                  </a:lnTo>
                  <a:lnTo>
                    <a:pt x="10508" y="480"/>
                  </a:lnTo>
                  <a:lnTo>
                    <a:pt x="10503" y="41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7" name="Freeform 45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447" y="687"/>
                </a:cxn>
                <a:cxn ang="0">
                  <a:pos x="4445" y="685"/>
                </a:cxn>
                <a:cxn ang="0">
                  <a:pos x="4440" y="675"/>
                </a:cxn>
                <a:cxn ang="0">
                  <a:pos x="4440" y="642"/>
                </a:cxn>
                <a:cxn ang="0">
                  <a:pos x="4445" y="635"/>
                </a:cxn>
                <a:cxn ang="0">
                  <a:pos x="4445" y="630"/>
                </a:cxn>
                <a:cxn ang="0">
                  <a:pos x="4440" y="635"/>
                </a:cxn>
                <a:cxn ang="0">
                  <a:pos x="4440" y="640"/>
                </a:cxn>
                <a:cxn ang="0">
                  <a:pos x="4435" y="675"/>
                </a:cxn>
                <a:cxn ang="0">
                  <a:pos x="4447" y="687"/>
                </a:cxn>
              </a:cxnLst>
              <a:rect l="0" t="0" r="r" b="b"/>
              <a:pathLst>
                <a:path w="15066" h="11591">
                  <a:moveTo>
                    <a:pt x="4447" y="687"/>
                  </a:moveTo>
                  <a:lnTo>
                    <a:pt x="4445" y="685"/>
                  </a:lnTo>
                  <a:lnTo>
                    <a:pt x="4440" y="675"/>
                  </a:lnTo>
                  <a:lnTo>
                    <a:pt x="4440" y="642"/>
                  </a:lnTo>
                  <a:lnTo>
                    <a:pt x="4445" y="635"/>
                  </a:lnTo>
                  <a:lnTo>
                    <a:pt x="4445" y="630"/>
                  </a:lnTo>
                  <a:lnTo>
                    <a:pt x="4440" y="635"/>
                  </a:lnTo>
                  <a:lnTo>
                    <a:pt x="4440" y="640"/>
                  </a:lnTo>
                  <a:lnTo>
                    <a:pt x="4435" y="675"/>
                  </a:lnTo>
                  <a:lnTo>
                    <a:pt x="4447" y="68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6" name="Freeform 44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9791" y="547"/>
                </a:cxn>
                <a:cxn ang="0">
                  <a:pos x="9796" y="487"/>
                </a:cxn>
                <a:cxn ang="0">
                  <a:pos x="9781" y="507"/>
                </a:cxn>
                <a:cxn ang="0">
                  <a:pos x="9781" y="542"/>
                </a:cxn>
                <a:cxn ang="0">
                  <a:pos x="9791" y="585"/>
                </a:cxn>
                <a:cxn ang="0">
                  <a:pos x="9808" y="607"/>
                </a:cxn>
                <a:cxn ang="0">
                  <a:pos x="9813" y="592"/>
                </a:cxn>
                <a:cxn ang="0">
                  <a:pos x="9803" y="585"/>
                </a:cxn>
                <a:cxn ang="0">
                  <a:pos x="9791" y="547"/>
                </a:cxn>
              </a:cxnLst>
              <a:rect l="0" t="0" r="r" b="b"/>
              <a:pathLst>
                <a:path w="15066" h="11591">
                  <a:moveTo>
                    <a:pt x="9791" y="547"/>
                  </a:moveTo>
                  <a:lnTo>
                    <a:pt x="9796" y="487"/>
                  </a:lnTo>
                  <a:lnTo>
                    <a:pt x="9781" y="507"/>
                  </a:lnTo>
                  <a:lnTo>
                    <a:pt x="9781" y="542"/>
                  </a:lnTo>
                  <a:lnTo>
                    <a:pt x="9791" y="585"/>
                  </a:lnTo>
                  <a:lnTo>
                    <a:pt x="9808" y="607"/>
                  </a:lnTo>
                  <a:lnTo>
                    <a:pt x="9813" y="592"/>
                  </a:lnTo>
                  <a:lnTo>
                    <a:pt x="9803" y="585"/>
                  </a:lnTo>
                  <a:lnTo>
                    <a:pt x="9791" y="54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5" name="Freeform 43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9823" y="585"/>
                </a:cxn>
                <a:cxn ang="0">
                  <a:pos x="9818" y="515"/>
                </a:cxn>
                <a:cxn ang="0">
                  <a:pos x="9796" y="487"/>
                </a:cxn>
                <a:cxn ang="0">
                  <a:pos x="9796" y="510"/>
                </a:cxn>
                <a:cxn ang="0">
                  <a:pos x="9813" y="520"/>
                </a:cxn>
                <a:cxn ang="0">
                  <a:pos x="9818" y="580"/>
                </a:cxn>
                <a:cxn ang="0">
                  <a:pos x="9808" y="607"/>
                </a:cxn>
                <a:cxn ang="0">
                  <a:pos x="9773" y="647"/>
                </a:cxn>
                <a:cxn ang="0">
                  <a:pos x="9813" y="607"/>
                </a:cxn>
                <a:cxn ang="0">
                  <a:pos x="9858" y="647"/>
                </a:cxn>
                <a:cxn ang="0">
                  <a:pos x="9986" y="670"/>
                </a:cxn>
                <a:cxn ang="0">
                  <a:pos x="10111" y="617"/>
                </a:cxn>
                <a:cxn ang="0">
                  <a:pos x="10183" y="502"/>
                </a:cxn>
                <a:cxn ang="0">
                  <a:pos x="10196" y="360"/>
                </a:cxn>
                <a:cxn ang="0">
                  <a:pos x="10151" y="227"/>
                </a:cxn>
                <a:cxn ang="0">
                  <a:pos x="10041" y="117"/>
                </a:cxn>
                <a:cxn ang="0">
                  <a:pos x="9863" y="45"/>
                </a:cxn>
                <a:cxn ang="0">
                  <a:pos x="9663" y="50"/>
                </a:cxn>
                <a:cxn ang="0">
                  <a:pos x="9466" y="115"/>
                </a:cxn>
                <a:cxn ang="0">
                  <a:pos x="9266" y="210"/>
                </a:cxn>
                <a:cxn ang="0">
                  <a:pos x="9056" y="310"/>
                </a:cxn>
                <a:cxn ang="0">
                  <a:pos x="8831" y="382"/>
                </a:cxn>
                <a:cxn ang="0">
                  <a:pos x="8583" y="397"/>
                </a:cxn>
                <a:cxn ang="0">
                  <a:pos x="8588" y="405"/>
                </a:cxn>
                <a:cxn ang="0">
                  <a:pos x="8831" y="402"/>
                </a:cxn>
                <a:cxn ang="0">
                  <a:pos x="9051" y="347"/>
                </a:cxn>
                <a:cxn ang="0">
                  <a:pos x="9251" y="260"/>
                </a:cxn>
                <a:cxn ang="0">
                  <a:pos x="9433" y="165"/>
                </a:cxn>
                <a:cxn ang="0">
                  <a:pos x="9613" y="87"/>
                </a:cxn>
                <a:cxn ang="0">
                  <a:pos x="9786" y="55"/>
                </a:cxn>
                <a:cxn ang="0">
                  <a:pos x="9963" y="87"/>
                </a:cxn>
                <a:cxn ang="0">
                  <a:pos x="10101" y="182"/>
                </a:cxn>
                <a:cxn ang="0">
                  <a:pos x="10173" y="300"/>
                </a:cxn>
                <a:cxn ang="0">
                  <a:pos x="10193" y="425"/>
                </a:cxn>
                <a:cxn ang="0">
                  <a:pos x="10146" y="552"/>
                </a:cxn>
                <a:cxn ang="0">
                  <a:pos x="10051" y="642"/>
                </a:cxn>
                <a:cxn ang="0">
                  <a:pos x="9918" y="662"/>
                </a:cxn>
                <a:cxn ang="0">
                  <a:pos x="9826" y="617"/>
                </a:cxn>
              </a:cxnLst>
              <a:rect l="0" t="0" r="r" b="b"/>
              <a:pathLst>
                <a:path w="15066" h="11591">
                  <a:moveTo>
                    <a:pt x="9813" y="597"/>
                  </a:moveTo>
                  <a:lnTo>
                    <a:pt x="9823" y="585"/>
                  </a:lnTo>
                  <a:lnTo>
                    <a:pt x="9826" y="547"/>
                  </a:lnTo>
                  <a:lnTo>
                    <a:pt x="9818" y="515"/>
                  </a:lnTo>
                  <a:lnTo>
                    <a:pt x="9808" y="492"/>
                  </a:lnTo>
                  <a:lnTo>
                    <a:pt x="9796" y="487"/>
                  </a:lnTo>
                  <a:lnTo>
                    <a:pt x="9791" y="547"/>
                  </a:lnTo>
                  <a:lnTo>
                    <a:pt x="9796" y="510"/>
                  </a:lnTo>
                  <a:lnTo>
                    <a:pt x="9803" y="507"/>
                  </a:lnTo>
                  <a:lnTo>
                    <a:pt x="9813" y="520"/>
                  </a:lnTo>
                  <a:lnTo>
                    <a:pt x="9818" y="542"/>
                  </a:lnTo>
                  <a:lnTo>
                    <a:pt x="9818" y="580"/>
                  </a:lnTo>
                  <a:lnTo>
                    <a:pt x="9813" y="592"/>
                  </a:lnTo>
                  <a:lnTo>
                    <a:pt x="9808" y="607"/>
                  </a:lnTo>
                  <a:lnTo>
                    <a:pt x="9803" y="617"/>
                  </a:lnTo>
                  <a:lnTo>
                    <a:pt x="9773" y="647"/>
                  </a:lnTo>
                  <a:lnTo>
                    <a:pt x="9808" y="617"/>
                  </a:lnTo>
                  <a:lnTo>
                    <a:pt x="9813" y="607"/>
                  </a:lnTo>
                  <a:lnTo>
                    <a:pt x="9818" y="620"/>
                  </a:lnTo>
                  <a:lnTo>
                    <a:pt x="9858" y="647"/>
                  </a:lnTo>
                  <a:lnTo>
                    <a:pt x="9913" y="667"/>
                  </a:lnTo>
                  <a:lnTo>
                    <a:pt x="9986" y="670"/>
                  </a:lnTo>
                  <a:lnTo>
                    <a:pt x="10051" y="652"/>
                  </a:lnTo>
                  <a:lnTo>
                    <a:pt x="10111" y="617"/>
                  </a:lnTo>
                  <a:lnTo>
                    <a:pt x="10156" y="562"/>
                  </a:lnTo>
                  <a:lnTo>
                    <a:pt x="10183" y="502"/>
                  </a:lnTo>
                  <a:lnTo>
                    <a:pt x="10201" y="430"/>
                  </a:lnTo>
                  <a:lnTo>
                    <a:pt x="10196" y="360"/>
                  </a:lnTo>
                  <a:lnTo>
                    <a:pt x="10183" y="292"/>
                  </a:lnTo>
                  <a:lnTo>
                    <a:pt x="10151" y="227"/>
                  </a:lnTo>
                  <a:lnTo>
                    <a:pt x="10101" y="167"/>
                  </a:lnTo>
                  <a:lnTo>
                    <a:pt x="10041" y="117"/>
                  </a:lnTo>
                  <a:lnTo>
                    <a:pt x="9963" y="77"/>
                  </a:lnTo>
                  <a:lnTo>
                    <a:pt x="9863" y="45"/>
                  </a:lnTo>
                  <a:lnTo>
                    <a:pt x="9763" y="40"/>
                  </a:lnTo>
                  <a:lnTo>
                    <a:pt x="9663" y="50"/>
                  </a:lnTo>
                  <a:lnTo>
                    <a:pt x="9566" y="77"/>
                  </a:lnTo>
                  <a:lnTo>
                    <a:pt x="9466" y="115"/>
                  </a:lnTo>
                  <a:lnTo>
                    <a:pt x="9366" y="160"/>
                  </a:lnTo>
                  <a:lnTo>
                    <a:pt x="9266" y="210"/>
                  </a:lnTo>
                  <a:lnTo>
                    <a:pt x="9161" y="260"/>
                  </a:lnTo>
                  <a:lnTo>
                    <a:pt x="9056" y="310"/>
                  </a:lnTo>
                  <a:lnTo>
                    <a:pt x="8946" y="352"/>
                  </a:lnTo>
                  <a:lnTo>
                    <a:pt x="8831" y="382"/>
                  </a:lnTo>
                  <a:lnTo>
                    <a:pt x="8713" y="397"/>
                  </a:lnTo>
                  <a:lnTo>
                    <a:pt x="8583" y="397"/>
                  </a:lnTo>
                  <a:lnTo>
                    <a:pt x="8451" y="375"/>
                  </a:lnTo>
                  <a:lnTo>
                    <a:pt x="8588" y="405"/>
                  </a:lnTo>
                  <a:lnTo>
                    <a:pt x="8713" y="410"/>
                  </a:lnTo>
                  <a:lnTo>
                    <a:pt x="8831" y="402"/>
                  </a:lnTo>
                  <a:lnTo>
                    <a:pt x="8946" y="380"/>
                  </a:lnTo>
                  <a:lnTo>
                    <a:pt x="9051" y="347"/>
                  </a:lnTo>
                  <a:lnTo>
                    <a:pt x="9151" y="305"/>
                  </a:lnTo>
                  <a:lnTo>
                    <a:pt x="9251" y="260"/>
                  </a:lnTo>
                  <a:lnTo>
                    <a:pt x="9343" y="210"/>
                  </a:lnTo>
                  <a:lnTo>
                    <a:pt x="9433" y="165"/>
                  </a:lnTo>
                  <a:lnTo>
                    <a:pt x="9526" y="122"/>
                  </a:lnTo>
                  <a:lnTo>
                    <a:pt x="9613" y="87"/>
                  </a:lnTo>
                  <a:lnTo>
                    <a:pt x="9698" y="62"/>
                  </a:lnTo>
                  <a:lnTo>
                    <a:pt x="9786" y="55"/>
                  </a:lnTo>
                  <a:lnTo>
                    <a:pt x="9873" y="60"/>
                  </a:lnTo>
                  <a:lnTo>
                    <a:pt x="9963" y="87"/>
                  </a:lnTo>
                  <a:lnTo>
                    <a:pt x="10041" y="127"/>
                  </a:lnTo>
                  <a:lnTo>
                    <a:pt x="10101" y="182"/>
                  </a:lnTo>
                  <a:lnTo>
                    <a:pt x="10143" y="237"/>
                  </a:lnTo>
                  <a:lnTo>
                    <a:pt x="10173" y="300"/>
                  </a:lnTo>
                  <a:lnTo>
                    <a:pt x="10188" y="365"/>
                  </a:lnTo>
                  <a:lnTo>
                    <a:pt x="10193" y="425"/>
                  </a:lnTo>
                  <a:lnTo>
                    <a:pt x="10178" y="492"/>
                  </a:lnTo>
                  <a:lnTo>
                    <a:pt x="10146" y="552"/>
                  </a:lnTo>
                  <a:lnTo>
                    <a:pt x="10106" y="607"/>
                  </a:lnTo>
                  <a:lnTo>
                    <a:pt x="10051" y="642"/>
                  </a:lnTo>
                  <a:lnTo>
                    <a:pt x="9986" y="662"/>
                  </a:lnTo>
                  <a:lnTo>
                    <a:pt x="9918" y="662"/>
                  </a:lnTo>
                  <a:lnTo>
                    <a:pt x="9868" y="642"/>
                  </a:lnTo>
                  <a:lnTo>
                    <a:pt x="9826" y="617"/>
                  </a:lnTo>
                  <a:lnTo>
                    <a:pt x="9813" y="59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4" name="Freeform 42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915" y="127"/>
                </a:cxn>
                <a:cxn ang="0">
                  <a:pos x="5080" y="60"/>
                </a:cxn>
                <a:cxn ang="0">
                  <a:pos x="5258" y="62"/>
                </a:cxn>
                <a:cxn ang="0">
                  <a:pos x="5433" y="122"/>
                </a:cxn>
                <a:cxn ang="0">
                  <a:pos x="5610" y="210"/>
                </a:cxn>
                <a:cxn ang="0">
                  <a:pos x="5803" y="305"/>
                </a:cxn>
                <a:cxn ang="0">
                  <a:pos x="6013" y="380"/>
                </a:cxn>
                <a:cxn ang="0">
                  <a:pos x="6240" y="410"/>
                </a:cxn>
                <a:cxn ang="0">
                  <a:pos x="6500" y="375"/>
                </a:cxn>
                <a:cxn ang="0">
                  <a:pos x="6245" y="397"/>
                </a:cxn>
                <a:cxn ang="0">
                  <a:pos x="6013" y="352"/>
                </a:cxn>
                <a:cxn ang="0">
                  <a:pos x="5793" y="260"/>
                </a:cxn>
                <a:cxn ang="0">
                  <a:pos x="5588" y="160"/>
                </a:cxn>
                <a:cxn ang="0">
                  <a:pos x="5390" y="77"/>
                </a:cxn>
                <a:cxn ang="0">
                  <a:pos x="5195" y="40"/>
                </a:cxn>
                <a:cxn ang="0">
                  <a:pos x="4988" y="77"/>
                </a:cxn>
                <a:cxn ang="0">
                  <a:pos x="4853" y="167"/>
                </a:cxn>
                <a:cxn ang="0">
                  <a:pos x="4775" y="292"/>
                </a:cxn>
                <a:cxn ang="0">
                  <a:pos x="4755" y="430"/>
                </a:cxn>
                <a:cxn ang="0">
                  <a:pos x="4800" y="562"/>
                </a:cxn>
                <a:cxn ang="0">
                  <a:pos x="4903" y="652"/>
                </a:cxn>
                <a:cxn ang="0">
                  <a:pos x="5043" y="667"/>
                </a:cxn>
                <a:cxn ang="0">
                  <a:pos x="5135" y="620"/>
                </a:cxn>
                <a:cxn ang="0">
                  <a:pos x="5148" y="617"/>
                </a:cxn>
                <a:cxn ang="0">
                  <a:pos x="5163" y="585"/>
                </a:cxn>
                <a:cxn ang="0">
                  <a:pos x="5170" y="507"/>
                </a:cxn>
                <a:cxn ang="0">
                  <a:pos x="5148" y="492"/>
                </a:cxn>
                <a:cxn ang="0">
                  <a:pos x="5135" y="580"/>
                </a:cxn>
                <a:cxn ang="0">
                  <a:pos x="5145" y="520"/>
                </a:cxn>
                <a:cxn ang="0">
                  <a:pos x="5163" y="510"/>
                </a:cxn>
                <a:cxn ang="0">
                  <a:pos x="5153" y="585"/>
                </a:cxn>
                <a:cxn ang="0">
                  <a:pos x="5140" y="597"/>
                </a:cxn>
                <a:cxn ang="0">
                  <a:pos x="5085" y="642"/>
                </a:cxn>
                <a:cxn ang="0">
                  <a:pos x="4965" y="662"/>
                </a:cxn>
                <a:cxn ang="0">
                  <a:pos x="4853" y="607"/>
                </a:cxn>
                <a:cxn ang="0">
                  <a:pos x="4778" y="492"/>
                </a:cxn>
                <a:cxn ang="0">
                  <a:pos x="4770" y="365"/>
                </a:cxn>
                <a:cxn ang="0">
                  <a:pos x="4810" y="237"/>
                </a:cxn>
              </a:cxnLst>
              <a:rect l="0" t="0" r="r" b="b"/>
              <a:pathLst>
                <a:path w="15066" h="11591">
                  <a:moveTo>
                    <a:pt x="4855" y="182"/>
                  </a:moveTo>
                  <a:lnTo>
                    <a:pt x="4915" y="127"/>
                  </a:lnTo>
                  <a:lnTo>
                    <a:pt x="4993" y="87"/>
                  </a:lnTo>
                  <a:lnTo>
                    <a:pt x="5080" y="60"/>
                  </a:lnTo>
                  <a:lnTo>
                    <a:pt x="5170" y="55"/>
                  </a:lnTo>
                  <a:lnTo>
                    <a:pt x="5258" y="62"/>
                  </a:lnTo>
                  <a:lnTo>
                    <a:pt x="5345" y="87"/>
                  </a:lnTo>
                  <a:lnTo>
                    <a:pt x="5433" y="122"/>
                  </a:lnTo>
                  <a:lnTo>
                    <a:pt x="5518" y="165"/>
                  </a:lnTo>
                  <a:lnTo>
                    <a:pt x="5610" y="210"/>
                  </a:lnTo>
                  <a:lnTo>
                    <a:pt x="5705" y="260"/>
                  </a:lnTo>
                  <a:lnTo>
                    <a:pt x="5803" y="305"/>
                  </a:lnTo>
                  <a:lnTo>
                    <a:pt x="5903" y="347"/>
                  </a:lnTo>
                  <a:lnTo>
                    <a:pt x="6013" y="380"/>
                  </a:lnTo>
                  <a:lnTo>
                    <a:pt x="6123" y="402"/>
                  </a:lnTo>
                  <a:lnTo>
                    <a:pt x="6240" y="410"/>
                  </a:lnTo>
                  <a:lnTo>
                    <a:pt x="6368" y="405"/>
                  </a:lnTo>
                  <a:lnTo>
                    <a:pt x="6500" y="375"/>
                  </a:lnTo>
                  <a:lnTo>
                    <a:pt x="6368" y="397"/>
                  </a:lnTo>
                  <a:lnTo>
                    <a:pt x="6245" y="397"/>
                  </a:lnTo>
                  <a:lnTo>
                    <a:pt x="6125" y="382"/>
                  </a:lnTo>
                  <a:lnTo>
                    <a:pt x="6013" y="352"/>
                  </a:lnTo>
                  <a:lnTo>
                    <a:pt x="5903" y="310"/>
                  </a:lnTo>
                  <a:lnTo>
                    <a:pt x="5793" y="260"/>
                  </a:lnTo>
                  <a:lnTo>
                    <a:pt x="5693" y="210"/>
                  </a:lnTo>
                  <a:lnTo>
                    <a:pt x="5588" y="160"/>
                  </a:lnTo>
                  <a:lnTo>
                    <a:pt x="5490" y="115"/>
                  </a:lnTo>
                  <a:lnTo>
                    <a:pt x="5390" y="77"/>
                  </a:lnTo>
                  <a:lnTo>
                    <a:pt x="5290" y="50"/>
                  </a:lnTo>
                  <a:lnTo>
                    <a:pt x="5195" y="40"/>
                  </a:lnTo>
                  <a:lnTo>
                    <a:pt x="5093" y="45"/>
                  </a:lnTo>
                  <a:lnTo>
                    <a:pt x="4988" y="77"/>
                  </a:lnTo>
                  <a:lnTo>
                    <a:pt x="4915" y="117"/>
                  </a:lnTo>
                  <a:lnTo>
                    <a:pt x="4853" y="167"/>
                  </a:lnTo>
                  <a:lnTo>
                    <a:pt x="4805" y="227"/>
                  </a:lnTo>
                  <a:lnTo>
                    <a:pt x="4775" y="292"/>
                  </a:lnTo>
                  <a:lnTo>
                    <a:pt x="4755" y="360"/>
                  </a:lnTo>
                  <a:lnTo>
                    <a:pt x="4755" y="430"/>
                  </a:lnTo>
                  <a:lnTo>
                    <a:pt x="4770" y="502"/>
                  </a:lnTo>
                  <a:lnTo>
                    <a:pt x="4800" y="562"/>
                  </a:lnTo>
                  <a:lnTo>
                    <a:pt x="4848" y="617"/>
                  </a:lnTo>
                  <a:lnTo>
                    <a:pt x="4903" y="652"/>
                  </a:lnTo>
                  <a:lnTo>
                    <a:pt x="4970" y="670"/>
                  </a:lnTo>
                  <a:lnTo>
                    <a:pt x="5043" y="667"/>
                  </a:lnTo>
                  <a:lnTo>
                    <a:pt x="5093" y="647"/>
                  </a:lnTo>
                  <a:lnTo>
                    <a:pt x="5135" y="620"/>
                  </a:lnTo>
                  <a:lnTo>
                    <a:pt x="5145" y="607"/>
                  </a:lnTo>
                  <a:lnTo>
                    <a:pt x="5148" y="617"/>
                  </a:lnTo>
                  <a:lnTo>
                    <a:pt x="5148" y="607"/>
                  </a:lnTo>
                  <a:lnTo>
                    <a:pt x="5163" y="585"/>
                  </a:lnTo>
                  <a:lnTo>
                    <a:pt x="5175" y="542"/>
                  </a:lnTo>
                  <a:lnTo>
                    <a:pt x="5170" y="507"/>
                  </a:lnTo>
                  <a:lnTo>
                    <a:pt x="5163" y="487"/>
                  </a:lnTo>
                  <a:lnTo>
                    <a:pt x="5148" y="492"/>
                  </a:lnTo>
                  <a:lnTo>
                    <a:pt x="5135" y="515"/>
                  </a:lnTo>
                  <a:lnTo>
                    <a:pt x="5135" y="580"/>
                  </a:lnTo>
                  <a:lnTo>
                    <a:pt x="5135" y="542"/>
                  </a:lnTo>
                  <a:lnTo>
                    <a:pt x="5145" y="520"/>
                  </a:lnTo>
                  <a:lnTo>
                    <a:pt x="5153" y="507"/>
                  </a:lnTo>
                  <a:lnTo>
                    <a:pt x="5163" y="510"/>
                  </a:lnTo>
                  <a:lnTo>
                    <a:pt x="5163" y="547"/>
                  </a:lnTo>
                  <a:lnTo>
                    <a:pt x="5153" y="585"/>
                  </a:lnTo>
                  <a:lnTo>
                    <a:pt x="5145" y="592"/>
                  </a:lnTo>
                  <a:lnTo>
                    <a:pt x="5140" y="597"/>
                  </a:lnTo>
                  <a:lnTo>
                    <a:pt x="5125" y="617"/>
                  </a:lnTo>
                  <a:lnTo>
                    <a:pt x="5085" y="642"/>
                  </a:lnTo>
                  <a:lnTo>
                    <a:pt x="5035" y="662"/>
                  </a:lnTo>
                  <a:lnTo>
                    <a:pt x="4965" y="662"/>
                  </a:lnTo>
                  <a:lnTo>
                    <a:pt x="4905" y="642"/>
                  </a:lnTo>
                  <a:lnTo>
                    <a:pt x="4853" y="607"/>
                  </a:lnTo>
                  <a:lnTo>
                    <a:pt x="4805" y="552"/>
                  </a:lnTo>
                  <a:lnTo>
                    <a:pt x="4778" y="492"/>
                  </a:lnTo>
                  <a:lnTo>
                    <a:pt x="4765" y="425"/>
                  </a:lnTo>
                  <a:lnTo>
                    <a:pt x="4770" y="365"/>
                  </a:lnTo>
                  <a:lnTo>
                    <a:pt x="4783" y="300"/>
                  </a:lnTo>
                  <a:lnTo>
                    <a:pt x="4810" y="237"/>
                  </a:lnTo>
                  <a:lnTo>
                    <a:pt x="4855" y="182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3" name="Freeform 41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8296" y="287"/>
                </a:cxn>
                <a:cxn ang="0">
                  <a:pos x="8311" y="297"/>
                </a:cxn>
                <a:cxn ang="0">
                  <a:pos x="8333" y="305"/>
                </a:cxn>
                <a:cxn ang="0">
                  <a:pos x="8366" y="320"/>
                </a:cxn>
                <a:cxn ang="0">
                  <a:pos x="8398" y="332"/>
                </a:cxn>
                <a:cxn ang="0">
                  <a:pos x="8498" y="365"/>
                </a:cxn>
                <a:cxn ang="0">
                  <a:pos x="8598" y="370"/>
                </a:cxn>
                <a:cxn ang="0">
                  <a:pos x="8698" y="360"/>
                </a:cxn>
                <a:cxn ang="0">
                  <a:pos x="8798" y="332"/>
                </a:cxn>
                <a:cxn ang="0">
                  <a:pos x="8896" y="297"/>
                </a:cxn>
                <a:cxn ang="0">
                  <a:pos x="8996" y="250"/>
                </a:cxn>
                <a:cxn ang="0">
                  <a:pos x="9096" y="200"/>
                </a:cxn>
                <a:cxn ang="0">
                  <a:pos x="9201" y="150"/>
                </a:cxn>
                <a:cxn ang="0">
                  <a:pos x="9306" y="100"/>
                </a:cxn>
                <a:cxn ang="0">
                  <a:pos x="9416" y="60"/>
                </a:cxn>
                <a:cxn ang="0">
                  <a:pos x="9531" y="27"/>
                </a:cxn>
                <a:cxn ang="0">
                  <a:pos x="9653" y="12"/>
                </a:cxn>
                <a:cxn ang="0">
                  <a:pos x="9776" y="12"/>
                </a:cxn>
                <a:cxn ang="0">
                  <a:pos x="9908" y="35"/>
                </a:cxn>
                <a:cxn ang="0">
                  <a:pos x="9776" y="5"/>
                </a:cxn>
                <a:cxn ang="0">
                  <a:pos x="9648" y="0"/>
                </a:cxn>
                <a:cxn ang="0">
                  <a:pos x="9531" y="7"/>
                </a:cxn>
                <a:cxn ang="0">
                  <a:pos x="9416" y="32"/>
                </a:cxn>
                <a:cxn ang="0">
                  <a:pos x="9311" y="62"/>
                </a:cxn>
                <a:cxn ang="0">
                  <a:pos x="9211" y="105"/>
                </a:cxn>
                <a:cxn ang="0">
                  <a:pos x="9111" y="150"/>
                </a:cxn>
                <a:cxn ang="0">
                  <a:pos x="9018" y="200"/>
                </a:cxn>
                <a:cxn ang="0">
                  <a:pos x="8926" y="247"/>
                </a:cxn>
                <a:cxn ang="0">
                  <a:pos x="8836" y="287"/>
                </a:cxn>
                <a:cxn ang="0">
                  <a:pos x="8748" y="325"/>
                </a:cxn>
                <a:cxn ang="0">
                  <a:pos x="8663" y="347"/>
                </a:cxn>
                <a:cxn ang="0">
                  <a:pos x="8576" y="355"/>
                </a:cxn>
                <a:cxn ang="0">
                  <a:pos x="8488" y="352"/>
                </a:cxn>
                <a:cxn ang="0">
                  <a:pos x="8401" y="325"/>
                </a:cxn>
                <a:cxn ang="0">
                  <a:pos x="8366" y="310"/>
                </a:cxn>
                <a:cxn ang="0">
                  <a:pos x="8338" y="297"/>
                </a:cxn>
                <a:cxn ang="0">
                  <a:pos x="8316" y="287"/>
                </a:cxn>
                <a:cxn ang="0">
                  <a:pos x="8293" y="282"/>
                </a:cxn>
                <a:cxn ang="0">
                  <a:pos x="8283" y="277"/>
                </a:cxn>
                <a:cxn ang="0">
                  <a:pos x="8273" y="272"/>
                </a:cxn>
                <a:cxn ang="0">
                  <a:pos x="8268" y="272"/>
                </a:cxn>
                <a:cxn ang="0">
                  <a:pos x="8273" y="277"/>
                </a:cxn>
                <a:cxn ang="0">
                  <a:pos x="8283" y="282"/>
                </a:cxn>
                <a:cxn ang="0">
                  <a:pos x="8296" y="287"/>
                </a:cxn>
              </a:cxnLst>
              <a:rect l="0" t="0" r="r" b="b"/>
              <a:pathLst>
                <a:path w="15066" h="11591">
                  <a:moveTo>
                    <a:pt x="8296" y="287"/>
                  </a:moveTo>
                  <a:lnTo>
                    <a:pt x="8311" y="297"/>
                  </a:lnTo>
                  <a:lnTo>
                    <a:pt x="8333" y="305"/>
                  </a:lnTo>
                  <a:lnTo>
                    <a:pt x="8366" y="320"/>
                  </a:lnTo>
                  <a:lnTo>
                    <a:pt x="8398" y="332"/>
                  </a:lnTo>
                  <a:lnTo>
                    <a:pt x="8498" y="365"/>
                  </a:lnTo>
                  <a:lnTo>
                    <a:pt x="8598" y="370"/>
                  </a:lnTo>
                  <a:lnTo>
                    <a:pt x="8698" y="360"/>
                  </a:lnTo>
                  <a:lnTo>
                    <a:pt x="8798" y="332"/>
                  </a:lnTo>
                  <a:lnTo>
                    <a:pt x="8896" y="297"/>
                  </a:lnTo>
                  <a:lnTo>
                    <a:pt x="8996" y="250"/>
                  </a:lnTo>
                  <a:lnTo>
                    <a:pt x="9096" y="200"/>
                  </a:lnTo>
                  <a:lnTo>
                    <a:pt x="9201" y="150"/>
                  </a:lnTo>
                  <a:lnTo>
                    <a:pt x="9306" y="100"/>
                  </a:lnTo>
                  <a:lnTo>
                    <a:pt x="9416" y="60"/>
                  </a:lnTo>
                  <a:lnTo>
                    <a:pt x="9531" y="27"/>
                  </a:lnTo>
                  <a:lnTo>
                    <a:pt x="9653" y="12"/>
                  </a:lnTo>
                  <a:lnTo>
                    <a:pt x="9776" y="12"/>
                  </a:lnTo>
                  <a:lnTo>
                    <a:pt x="9908" y="35"/>
                  </a:lnTo>
                  <a:lnTo>
                    <a:pt x="9776" y="5"/>
                  </a:lnTo>
                  <a:lnTo>
                    <a:pt x="9648" y="0"/>
                  </a:lnTo>
                  <a:lnTo>
                    <a:pt x="9531" y="7"/>
                  </a:lnTo>
                  <a:lnTo>
                    <a:pt x="9416" y="32"/>
                  </a:lnTo>
                  <a:lnTo>
                    <a:pt x="9311" y="62"/>
                  </a:lnTo>
                  <a:lnTo>
                    <a:pt x="9211" y="105"/>
                  </a:lnTo>
                  <a:lnTo>
                    <a:pt x="9111" y="150"/>
                  </a:lnTo>
                  <a:lnTo>
                    <a:pt x="9018" y="200"/>
                  </a:lnTo>
                  <a:lnTo>
                    <a:pt x="8926" y="247"/>
                  </a:lnTo>
                  <a:lnTo>
                    <a:pt x="8836" y="287"/>
                  </a:lnTo>
                  <a:lnTo>
                    <a:pt x="8748" y="325"/>
                  </a:lnTo>
                  <a:lnTo>
                    <a:pt x="8663" y="347"/>
                  </a:lnTo>
                  <a:lnTo>
                    <a:pt x="8576" y="355"/>
                  </a:lnTo>
                  <a:lnTo>
                    <a:pt x="8488" y="352"/>
                  </a:lnTo>
                  <a:lnTo>
                    <a:pt x="8401" y="325"/>
                  </a:lnTo>
                  <a:lnTo>
                    <a:pt x="8366" y="310"/>
                  </a:lnTo>
                  <a:lnTo>
                    <a:pt x="8338" y="297"/>
                  </a:lnTo>
                  <a:lnTo>
                    <a:pt x="8316" y="287"/>
                  </a:lnTo>
                  <a:lnTo>
                    <a:pt x="8293" y="282"/>
                  </a:lnTo>
                  <a:lnTo>
                    <a:pt x="8283" y="277"/>
                  </a:lnTo>
                  <a:lnTo>
                    <a:pt x="8273" y="272"/>
                  </a:lnTo>
                  <a:lnTo>
                    <a:pt x="8268" y="272"/>
                  </a:lnTo>
                  <a:lnTo>
                    <a:pt x="8273" y="277"/>
                  </a:lnTo>
                  <a:lnTo>
                    <a:pt x="8283" y="282"/>
                  </a:lnTo>
                  <a:lnTo>
                    <a:pt x="8296" y="28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2" name="Freeform 40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5643" y="62"/>
                </a:cxn>
                <a:cxn ang="0">
                  <a:pos x="5538" y="32"/>
                </a:cxn>
                <a:cxn ang="0">
                  <a:pos x="5423" y="7"/>
                </a:cxn>
                <a:cxn ang="0">
                  <a:pos x="5303" y="0"/>
                </a:cxn>
                <a:cxn ang="0">
                  <a:pos x="5180" y="5"/>
                </a:cxn>
                <a:cxn ang="0">
                  <a:pos x="5048" y="35"/>
                </a:cxn>
                <a:cxn ang="0">
                  <a:pos x="5175" y="12"/>
                </a:cxn>
                <a:cxn ang="0">
                  <a:pos x="5303" y="12"/>
                </a:cxn>
                <a:cxn ang="0">
                  <a:pos x="5423" y="27"/>
                </a:cxn>
                <a:cxn ang="0">
                  <a:pos x="5538" y="60"/>
                </a:cxn>
                <a:cxn ang="0">
                  <a:pos x="5648" y="100"/>
                </a:cxn>
                <a:cxn ang="0">
                  <a:pos x="5755" y="150"/>
                </a:cxn>
                <a:cxn ang="0">
                  <a:pos x="5858" y="200"/>
                </a:cxn>
                <a:cxn ang="0">
                  <a:pos x="5958" y="250"/>
                </a:cxn>
                <a:cxn ang="0">
                  <a:pos x="6058" y="297"/>
                </a:cxn>
                <a:cxn ang="0">
                  <a:pos x="6158" y="332"/>
                </a:cxn>
                <a:cxn ang="0">
                  <a:pos x="6258" y="360"/>
                </a:cxn>
                <a:cxn ang="0">
                  <a:pos x="6355" y="370"/>
                </a:cxn>
                <a:cxn ang="0">
                  <a:pos x="6455" y="365"/>
                </a:cxn>
                <a:cxn ang="0">
                  <a:pos x="6560" y="332"/>
                </a:cxn>
                <a:cxn ang="0">
                  <a:pos x="6593" y="320"/>
                </a:cxn>
                <a:cxn ang="0">
                  <a:pos x="6620" y="305"/>
                </a:cxn>
                <a:cxn ang="0">
                  <a:pos x="6643" y="297"/>
                </a:cxn>
                <a:cxn ang="0">
                  <a:pos x="6660" y="287"/>
                </a:cxn>
                <a:cxn ang="0">
                  <a:pos x="6675" y="282"/>
                </a:cxn>
                <a:cxn ang="0">
                  <a:pos x="6678" y="277"/>
                </a:cxn>
                <a:cxn ang="0">
                  <a:pos x="6683" y="272"/>
                </a:cxn>
                <a:cxn ang="0">
                  <a:pos x="6675" y="277"/>
                </a:cxn>
                <a:cxn ang="0">
                  <a:pos x="6660" y="282"/>
                </a:cxn>
                <a:cxn ang="0">
                  <a:pos x="6643" y="287"/>
                </a:cxn>
                <a:cxn ang="0">
                  <a:pos x="6620" y="297"/>
                </a:cxn>
                <a:cxn ang="0">
                  <a:pos x="6588" y="310"/>
                </a:cxn>
                <a:cxn ang="0">
                  <a:pos x="6555" y="325"/>
                </a:cxn>
                <a:cxn ang="0">
                  <a:pos x="6465" y="352"/>
                </a:cxn>
                <a:cxn ang="0">
                  <a:pos x="6378" y="355"/>
                </a:cxn>
                <a:cxn ang="0">
                  <a:pos x="6290" y="347"/>
                </a:cxn>
                <a:cxn ang="0">
                  <a:pos x="6203" y="325"/>
                </a:cxn>
                <a:cxn ang="0">
                  <a:pos x="6118" y="287"/>
                </a:cxn>
                <a:cxn ang="0">
                  <a:pos x="6030" y="247"/>
                </a:cxn>
                <a:cxn ang="0">
                  <a:pos x="5938" y="200"/>
                </a:cxn>
                <a:cxn ang="0">
                  <a:pos x="5843" y="150"/>
                </a:cxn>
                <a:cxn ang="0">
                  <a:pos x="5748" y="105"/>
                </a:cxn>
                <a:cxn ang="0">
                  <a:pos x="5643" y="62"/>
                </a:cxn>
              </a:cxnLst>
              <a:rect l="0" t="0" r="r" b="b"/>
              <a:pathLst>
                <a:path w="15066" h="11591">
                  <a:moveTo>
                    <a:pt x="5643" y="62"/>
                  </a:moveTo>
                  <a:lnTo>
                    <a:pt x="5538" y="32"/>
                  </a:lnTo>
                  <a:lnTo>
                    <a:pt x="5423" y="7"/>
                  </a:lnTo>
                  <a:lnTo>
                    <a:pt x="5303" y="0"/>
                  </a:lnTo>
                  <a:lnTo>
                    <a:pt x="5180" y="5"/>
                  </a:lnTo>
                  <a:lnTo>
                    <a:pt x="5048" y="35"/>
                  </a:lnTo>
                  <a:lnTo>
                    <a:pt x="5175" y="12"/>
                  </a:lnTo>
                  <a:lnTo>
                    <a:pt x="5303" y="12"/>
                  </a:lnTo>
                  <a:lnTo>
                    <a:pt x="5423" y="27"/>
                  </a:lnTo>
                  <a:lnTo>
                    <a:pt x="5538" y="60"/>
                  </a:lnTo>
                  <a:lnTo>
                    <a:pt x="5648" y="100"/>
                  </a:lnTo>
                  <a:lnTo>
                    <a:pt x="5755" y="150"/>
                  </a:lnTo>
                  <a:lnTo>
                    <a:pt x="5858" y="200"/>
                  </a:lnTo>
                  <a:lnTo>
                    <a:pt x="5958" y="250"/>
                  </a:lnTo>
                  <a:lnTo>
                    <a:pt x="6058" y="297"/>
                  </a:lnTo>
                  <a:lnTo>
                    <a:pt x="6158" y="332"/>
                  </a:lnTo>
                  <a:lnTo>
                    <a:pt x="6258" y="360"/>
                  </a:lnTo>
                  <a:lnTo>
                    <a:pt x="6355" y="370"/>
                  </a:lnTo>
                  <a:lnTo>
                    <a:pt x="6455" y="365"/>
                  </a:lnTo>
                  <a:lnTo>
                    <a:pt x="6560" y="332"/>
                  </a:lnTo>
                  <a:lnTo>
                    <a:pt x="6593" y="320"/>
                  </a:lnTo>
                  <a:lnTo>
                    <a:pt x="6620" y="305"/>
                  </a:lnTo>
                  <a:lnTo>
                    <a:pt x="6643" y="297"/>
                  </a:lnTo>
                  <a:lnTo>
                    <a:pt x="6660" y="287"/>
                  </a:lnTo>
                  <a:lnTo>
                    <a:pt x="6675" y="282"/>
                  </a:lnTo>
                  <a:lnTo>
                    <a:pt x="6678" y="277"/>
                  </a:lnTo>
                  <a:lnTo>
                    <a:pt x="6683" y="272"/>
                  </a:lnTo>
                  <a:lnTo>
                    <a:pt x="6675" y="277"/>
                  </a:lnTo>
                  <a:lnTo>
                    <a:pt x="6660" y="282"/>
                  </a:lnTo>
                  <a:lnTo>
                    <a:pt x="6643" y="287"/>
                  </a:lnTo>
                  <a:lnTo>
                    <a:pt x="6620" y="297"/>
                  </a:lnTo>
                  <a:lnTo>
                    <a:pt x="6588" y="310"/>
                  </a:lnTo>
                  <a:lnTo>
                    <a:pt x="6555" y="325"/>
                  </a:lnTo>
                  <a:lnTo>
                    <a:pt x="6465" y="352"/>
                  </a:lnTo>
                  <a:lnTo>
                    <a:pt x="6378" y="355"/>
                  </a:lnTo>
                  <a:lnTo>
                    <a:pt x="6290" y="347"/>
                  </a:lnTo>
                  <a:lnTo>
                    <a:pt x="6203" y="325"/>
                  </a:lnTo>
                  <a:lnTo>
                    <a:pt x="6118" y="287"/>
                  </a:lnTo>
                  <a:lnTo>
                    <a:pt x="6030" y="247"/>
                  </a:lnTo>
                  <a:lnTo>
                    <a:pt x="5938" y="200"/>
                  </a:lnTo>
                  <a:lnTo>
                    <a:pt x="5843" y="150"/>
                  </a:lnTo>
                  <a:lnTo>
                    <a:pt x="5748" y="105"/>
                  </a:lnTo>
                  <a:lnTo>
                    <a:pt x="5643" y="62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1" name="Freeform 39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490" y="704"/>
                </a:cxn>
                <a:cxn ang="0">
                  <a:pos x="10484" y="708"/>
                </a:cxn>
                <a:cxn ang="0">
                  <a:pos x="10486" y="707"/>
                </a:cxn>
                <a:cxn ang="0">
                  <a:pos x="10490" y="704"/>
                </a:cxn>
              </a:cxnLst>
              <a:rect l="0" t="0" r="r" b="b"/>
              <a:pathLst>
                <a:path w="15066" h="11591">
                  <a:moveTo>
                    <a:pt x="10490" y="704"/>
                  </a:moveTo>
                  <a:lnTo>
                    <a:pt x="10484" y="708"/>
                  </a:lnTo>
                  <a:lnTo>
                    <a:pt x="10486" y="707"/>
                  </a:lnTo>
                  <a:lnTo>
                    <a:pt x="10490" y="704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30" name="Freeform 38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516" y="675"/>
                </a:cxn>
                <a:cxn ang="0">
                  <a:pos x="10507" y="691"/>
                </a:cxn>
                <a:cxn ang="0">
                  <a:pos x="10513" y="685"/>
                </a:cxn>
                <a:cxn ang="0">
                  <a:pos x="10516" y="675"/>
                </a:cxn>
              </a:cxnLst>
              <a:rect l="0" t="0" r="r" b="b"/>
              <a:pathLst>
                <a:path w="15066" h="11591">
                  <a:moveTo>
                    <a:pt x="10516" y="675"/>
                  </a:moveTo>
                  <a:lnTo>
                    <a:pt x="10507" y="691"/>
                  </a:lnTo>
                  <a:lnTo>
                    <a:pt x="10513" y="685"/>
                  </a:lnTo>
                  <a:lnTo>
                    <a:pt x="10516" y="67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9" name="Freeform 37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484" y="708"/>
                </a:cxn>
                <a:cxn ang="0">
                  <a:pos x="10471" y="712"/>
                </a:cxn>
                <a:cxn ang="0">
                  <a:pos x="10476" y="712"/>
                </a:cxn>
                <a:cxn ang="0">
                  <a:pos x="10484" y="708"/>
                </a:cxn>
              </a:cxnLst>
              <a:rect l="0" t="0" r="r" b="b"/>
              <a:pathLst>
                <a:path w="15066" h="11591">
                  <a:moveTo>
                    <a:pt x="10484" y="708"/>
                  </a:moveTo>
                  <a:lnTo>
                    <a:pt x="10471" y="712"/>
                  </a:lnTo>
                  <a:lnTo>
                    <a:pt x="10476" y="712"/>
                  </a:lnTo>
                  <a:lnTo>
                    <a:pt x="10484" y="708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8" name="Freeform 36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790" y="9429"/>
                </a:cxn>
                <a:cxn ang="0">
                  <a:pos x="14789" y="9430"/>
                </a:cxn>
                <a:cxn ang="0">
                  <a:pos x="14784" y="9432"/>
                </a:cxn>
                <a:cxn ang="0">
                  <a:pos x="14790" y="9429"/>
                </a:cxn>
              </a:cxnLst>
              <a:rect l="0" t="0" r="r" b="b"/>
              <a:pathLst>
                <a:path w="15066" h="11591">
                  <a:moveTo>
                    <a:pt x="14790" y="9429"/>
                  </a:moveTo>
                  <a:lnTo>
                    <a:pt x="14789" y="9430"/>
                  </a:lnTo>
                  <a:lnTo>
                    <a:pt x="14784" y="9432"/>
                  </a:lnTo>
                  <a:lnTo>
                    <a:pt x="14790" y="9429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7" name="Freeform 35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805" y="9423"/>
                </a:cxn>
                <a:cxn ang="0">
                  <a:pos x="14790" y="9429"/>
                </a:cxn>
                <a:cxn ang="0">
                  <a:pos x="14794" y="9430"/>
                </a:cxn>
                <a:cxn ang="0">
                  <a:pos x="14805" y="9423"/>
                </a:cxn>
              </a:cxnLst>
              <a:rect l="0" t="0" r="r" b="b"/>
              <a:pathLst>
                <a:path w="15066" h="11591">
                  <a:moveTo>
                    <a:pt x="14805" y="9423"/>
                  </a:moveTo>
                  <a:lnTo>
                    <a:pt x="14790" y="9429"/>
                  </a:lnTo>
                  <a:lnTo>
                    <a:pt x="14794" y="9430"/>
                  </a:lnTo>
                  <a:lnTo>
                    <a:pt x="14805" y="9423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6" name="Freeform 34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802" y="10024"/>
                </a:cxn>
                <a:cxn ang="0">
                  <a:pos x="800" y="10022"/>
                </a:cxn>
                <a:cxn ang="0">
                  <a:pos x="780" y="10015"/>
                </a:cxn>
                <a:cxn ang="0">
                  <a:pos x="802" y="10024"/>
                </a:cxn>
              </a:cxnLst>
              <a:rect l="0" t="0" r="r" b="b"/>
              <a:pathLst>
                <a:path w="15066" h="11591">
                  <a:moveTo>
                    <a:pt x="802" y="10024"/>
                  </a:moveTo>
                  <a:lnTo>
                    <a:pt x="800" y="10022"/>
                  </a:lnTo>
                  <a:lnTo>
                    <a:pt x="780" y="10015"/>
                  </a:lnTo>
                  <a:lnTo>
                    <a:pt x="802" y="10024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5" name="Freeform 33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724" y="10161"/>
                </a:cxn>
                <a:cxn ang="0">
                  <a:pos x="710" y="10163"/>
                </a:cxn>
                <a:cxn ang="0">
                  <a:pos x="717" y="10165"/>
                </a:cxn>
                <a:cxn ang="0">
                  <a:pos x="724" y="10161"/>
                </a:cxn>
              </a:cxnLst>
              <a:rect l="0" t="0" r="r" b="b"/>
              <a:pathLst>
                <a:path w="15066" h="11591">
                  <a:moveTo>
                    <a:pt x="724" y="10161"/>
                  </a:moveTo>
                  <a:lnTo>
                    <a:pt x="710" y="10163"/>
                  </a:lnTo>
                  <a:lnTo>
                    <a:pt x="717" y="10165"/>
                  </a:lnTo>
                  <a:lnTo>
                    <a:pt x="724" y="10161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4" name="Freeform 32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763" y="10130"/>
                </a:cxn>
                <a:cxn ang="0">
                  <a:pos x="761" y="10133"/>
                </a:cxn>
                <a:cxn ang="0">
                  <a:pos x="762" y="10132"/>
                </a:cxn>
                <a:cxn ang="0">
                  <a:pos x="763" y="10130"/>
                </a:cxn>
              </a:cxnLst>
              <a:rect l="0" t="0" r="r" b="b"/>
              <a:pathLst>
                <a:path w="15066" h="11591">
                  <a:moveTo>
                    <a:pt x="763" y="10130"/>
                  </a:moveTo>
                  <a:lnTo>
                    <a:pt x="761" y="10133"/>
                  </a:lnTo>
                  <a:lnTo>
                    <a:pt x="762" y="10132"/>
                  </a:lnTo>
                  <a:lnTo>
                    <a:pt x="763" y="1013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3" name="Freeform 31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767" y="10110"/>
                </a:cxn>
                <a:cxn ang="0">
                  <a:pos x="763" y="10130"/>
                </a:cxn>
                <a:cxn ang="0">
                  <a:pos x="767" y="10120"/>
                </a:cxn>
                <a:cxn ang="0">
                  <a:pos x="767" y="10110"/>
                </a:cxn>
              </a:cxnLst>
              <a:rect l="0" t="0" r="r" b="b"/>
              <a:pathLst>
                <a:path w="15066" h="11591">
                  <a:moveTo>
                    <a:pt x="767" y="10110"/>
                  </a:moveTo>
                  <a:lnTo>
                    <a:pt x="763" y="10130"/>
                  </a:lnTo>
                  <a:lnTo>
                    <a:pt x="767" y="10120"/>
                  </a:lnTo>
                  <a:lnTo>
                    <a:pt x="767" y="1011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2" name="Freeform 30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342" y="10220"/>
                </a:cxn>
                <a:cxn ang="0">
                  <a:pos x="410" y="10200"/>
                </a:cxn>
                <a:cxn ang="0">
                  <a:pos x="480" y="10200"/>
                </a:cxn>
                <a:cxn ang="0">
                  <a:pos x="540" y="10210"/>
                </a:cxn>
                <a:cxn ang="0">
                  <a:pos x="597" y="10225"/>
                </a:cxn>
                <a:cxn ang="0">
                  <a:pos x="652" y="10237"/>
                </a:cxn>
                <a:cxn ang="0">
                  <a:pos x="702" y="10247"/>
                </a:cxn>
                <a:cxn ang="0">
                  <a:pos x="750" y="10247"/>
                </a:cxn>
                <a:cxn ang="0">
                  <a:pos x="800" y="10227"/>
                </a:cxn>
                <a:cxn ang="0">
                  <a:pos x="832" y="10197"/>
                </a:cxn>
                <a:cxn ang="0">
                  <a:pos x="850" y="10160"/>
                </a:cxn>
                <a:cxn ang="0">
                  <a:pos x="860" y="10122"/>
                </a:cxn>
                <a:cxn ang="0">
                  <a:pos x="850" y="10087"/>
                </a:cxn>
                <a:cxn ang="0">
                  <a:pos x="835" y="10055"/>
                </a:cxn>
                <a:cxn ang="0">
                  <a:pos x="807" y="10027"/>
                </a:cxn>
                <a:cxn ang="0">
                  <a:pos x="802" y="10024"/>
                </a:cxn>
                <a:cxn ang="0">
                  <a:pos x="817" y="10045"/>
                </a:cxn>
                <a:cxn ang="0">
                  <a:pos x="832" y="10072"/>
                </a:cxn>
                <a:cxn ang="0">
                  <a:pos x="840" y="10105"/>
                </a:cxn>
                <a:cxn ang="0">
                  <a:pos x="835" y="10147"/>
                </a:cxn>
                <a:cxn ang="0">
                  <a:pos x="812" y="10182"/>
                </a:cxn>
                <a:cxn ang="0">
                  <a:pos x="777" y="10215"/>
                </a:cxn>
                <a:cxn ang="0">
                  <a:pos x="727" y="10237"/>
                </a:cxn>
                <a:cxn ang="0">
                  <a:pos x="675" y="10237"/>
                </a:cxn>
                <a:cxn ang="0">
                  <a:pos x="625" y="10227"/>
                </a:cxn>
                <a:cxn ang="0">
                  <a:pos x="570" y="10215"/>
                </a:cxn>
                <a:cxn ang="0">
                  <a:pos x="515" y="10197"/>
                </a:cxn>
                <a:cxn ang="0">
                  <a:pos x="462" y="10187"/>
                </a:cxn>
                <a:cxn ang="0">
                  <a:pos x="397" y="10192"/>
                </a:cxn>
                <a:cxn ang="0">
                  <a:pos x="332" y="10210"/>
                </a:cxn>
                <a:cxn ang="0">
                  <a:pos x="265" y="10255"/>
                </a:cxn>
                <a:cxn ang="0">
                  <a:pos x="342" y="10220"/>
                </a:cxn>
              </a:cxnLst>
              <a:rect l="0" t="0" r="r" b="b"/>
              <a:pathLst>
                <a:path w="15066" h="11591">
                  <a:moveTo>
                    <a:pt x="342" y="10220"/>
                  </a:moveTo>
                  <a:lnTo>
                    <a:pt x="410" y="10200"/>
                  </a:lnTo>
                  <a:lnTo>
                    <a:pt x="480" y="10200"/>
                  </a:lnTo>
                  <a:lnTo>
                    <a:pt x="540" y="10210"/>
                  </a:lnTo>
                  <a:lnTo>
                    <a:pt x="597" y="10225"/>
                  </a:lnTo>
                  <a:lnTo>
                    <a:pt x="652" y="10237"/>
                  </a:lnTo>
                  <a:lnTo>
                    <a:pt x="702" y="10247"/>
                  </a:lnTo>
                  <a:lnTo>
                    <a:pt x="750" y="10247"/>
                  </a:lnTo>
                  <a:lnTo>
                    <a:pt x="800" y="10227"/>
                  </a:lnTo>
                  <a:lnTo>
                    <a:pt x="832" y="10197"/>
                  </a:lnTo>
                  <a:lnTo>
                    <a:pt x="850" y="10160"/>
                  </a:lnTo>
                  <a:lnTo>
                    <a:pt x="860" y="10122"/>
                  </a:lnTo>
                  <a:lnTo>
                    <a:pt x="850" y="10087"/>
                  </a:lnTo>
                  <a:lnTo>
                    <a:pt x="835" y="10055"/>
                  </a:lnTo>
                  <a:lnTo>
                    <a:pt x="807" y="10027"/>
                  </a:lnTo>
                  <a:lnTo>
                    <a:pt x="802" y="10024"/>
                  </a:lnTo>
                  <a:lnTo>
                    <a:pt x="817" y="10045"/>
                  </a:lnTo>
                  <a:lnTo>
                    <a:pt x="832" y="10072"/>
                  </a:lnTo>
                  <a:lnTo>
                    <a:pt x="840" y="10105"/>
                  </a:lnTo>
                  <a:lnTo>
                    <a:pt x="835" y="10147"/>
                  </a:lnTo>
                  <a:lnTo>
                    <a:pt x="812" y="10182"/>
                  </a:lnTo>
                  <a:lnTo>
                    <a:pt x="777" y="10215"/>
                  </a:lnTo>
                  <a:lnTo>
                    <a:pt x="727" y="10237"/>
                  </a:lnTo>
                  <a:lnTo>
                    <a:pt x="675" y="10237"/>
                  </a:lnTo>
                  <a:lnTo>
                    <a:pt x="625" y="10227"/>
                  </a:lnTo>
                  <a:lnTo>
                    <a:pt x="570" y="10215"/>
                  </a:lnTo>
                  <a:lnTo>
                    <a:pt x="515" y="10197"/>
                  </a:lnTo>
                  <a:lnTo>
                    <a:pt x="462" y="10187"/>
                  </a:lnTo>
                  <a:lnTo>
                    <a:pt x="397" y="10192"/>
                  </a:lnTo>
                  <a:lnTo>
                    <a:pt x="332" y="10210"/>
                  </a:lnTo>
                  <a:lnTo>
                    <a:pt x="265" y="10255"/>
                  </a:lnTo>
                  <a:lnTo>
                    <a:pt x="342" y="1022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1" name="Freeform 29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700" y="547"/>
                </a:cxn>
                <a:cxn ang="0">
                  <a:pos x="4688" y="585"/>
                </a:cxn>
                <a:cxn ang="0">
                  <a:pos x="4700" y="552"/>
                </a:cxn>
                <a:cxn ang="0">
                  <a:pos x="4700" y="547"/>
                </a:cxn>
              </a:cxnLst>
              <a:rect l="0" t="0" r="r" b="b"/>
              <a:pathLst>
                <a:path w="15066" h="11591">
                  <a:moveTo>
                    <a:pt x="4700" y="547"/>
                  </a:moveTo>
                  <a:lnTo>
                    <a:pt x="4688" y="585"/>
                  </a:lnTo>
                  <a:lnTo>
                    <a:pt x="4700" y="552"/>
                  </a:lnTo>
                  <a:lnTo>
                    <a:pt x="4700" y="54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20" name="Freeform 28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855" y="100"/>
                </a:cxn>
                <a:cxn ang="0">
                  <a:pos x="4778" y="150"/>
                </a:cxn>
                <a:cxn ang="0">
                  <a:pos x="4777" y="150"/>
                </a:cxn>
                <a:cxn ang="0">
                  <a:pos x="4855" y="100"/>
                </a:cxn>
              </a:cxnLst>
              <a:rect l="0" t="0" r="r" b="b"/>
              <a:pathLst>
                <a:path w="15066" h="11591">
                  <a:moveTo>
                    <a:pt x="4855" y="100"/>
                  </a:moveTo>
                  <a:lnTo>
                    <a:pt x="4778" y="150"/>
                  </a:lnTo>
                  <a:lnTo>
                    <a:pt x="4777" y="150"/>
                  </a:lnTo>
                  <a:lnTo>
                    <a:pt x="4855" y="10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9" name="Freeform 27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356" y="10163"/>
                </a:cxn>
                <a:cxn ang="0">
                  <a:pos x="14343" y="10161"/>
                </a:cxn>
                <a:cxn ang="0">
                  <a:pos x="14349" y="10165"/>
                </a:cxn>
                <a:cxn ang="0">
                  <a:pos x="14356" y="10163"/>
                </a:cxn>
              </a:cxnLst>
              <a:rect l="0" t="0" r="r" b="b"/>
              <a:pathLst>
                <a:path w="15066" h="11591">
                  <a:moveTo>
                    <a:pt x="14356" y="10163"/>
                  </a:moveTo>
                  <a:lnTo>
                    <a:pt x="14343" y="10161"/>
                  </a:lnTo>
                  <a:lnTo>
                    <a:pt x="14349" y="10165"/>
                  </a:lnTo>
                  <a:lnTo>
                    <a:pt x="14356" y="10163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8" name="Freeform 26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4851" y="9507"/>
                </a:cxn>
                <a:cxn ang="0">
                  <a:pos x="14844" y="9515"/>
                </a:cxn>
                <a:cxn ang="0">
                  <a:pos x="14844" y="9530"/>
                </a:cxn>
                <a:cxn ang="0">
                  <a:pos x="14839" y="9542"/>
                </a:cxn>
                <a:cxn ang="0">
                  <a:pos x="14844" y="9557"/>
                </a:cxn>
                <a:cxn ang="0">
                  <a:pos x="14851" y="9570"/>
                </a:cxn>
                <a:cxn ang="0">
                  <a:pos x="14861" y="9585"/>
                </a:cxn>
                <a:cxn ang="0">
                  <a:pos x="14876" y="9592"/>
                </a:cxn>
                <a:cxn ang="0">
                  <a:pos x="14889" y="9597"/>
                </a:cxn>
                <a:cxn ang="0">
                  <a:pos x="14904" y="9597"/>
                </a:cxn>
                <a:cxn ang="0">
                  <a:pos x="14949" y="9590"/>
                </a:cxn>
                <a:cxn ang="0">
                  <a:pos x="14981" y="9562"/>
                </a:cxn>
                <a:cxn ang="0">
                  <a:pos x="14994" y="9525"/>
                </a:cxn>
                <a:cxn ang="0">
                  <a:pos x="14994" y="9475"/>
                </a:cxn>
                <a:cxn ang="0">
                  <a:pos x="14971" y="9437"/>
                </a:cxn>
                <a:cxn ang="0">
                  <a:pos x="14939" y="9410"/>
                </a:cxn>
                <a:cxn ang="0">
                  <a:pos x="14894" y="9397"/>
                </a:cxn>
                <a:cxn ang="0">
                  <a:pos x="14844" y="9402"/>
                </a:cxn>
                <a:cxn ang="0">
                  <a:pos x="14805" y="9423"/>
                </a:cxn>
                <a:cxn ang="0">
                  <a:pos x="14839" y="9410"/>
                </a:cxn>
                <a:cxn ang="0">
                  <a:pos x="14884" y="9405"/>
                </a:cxn>
                <a:cxn ang="0">
                  <a:pos x="14926" y="9420"/>
                </a:cxn>
                <a:cxn ang="0">
                  <a:pos x="14954" y="9447"/>
                </a:cxn>
                <a:cxn ang="0">
                  <a:pos x="14971" y="9480"/>
                </a:cxn>
                <a:cxn ang="0">
                  <a:pos x="14976" y="9525"/>
                </a:cxn>
                <a:cxn ang="0">
                  <a:pos x="14961" y="9562"/>
                </a:cxn>
                <a:cxn ang="0">
                  <a:pos x="14934" y="9585"/>
                </a:cxn>
                <a:cxn ang="0">
                  <a:pos x="14904" y="9592"/>
                </a:cxn>
                <a:cxn ang="0">
                  <a:pos x="14889" y="9592"/>
                </a:cxn>
                <a:cxn ang="0">
                  <a:pos x="14876" y="9590"/>
                </a:cxn>
                <a:cxn ang="0">
                  <a:pos x="14866" y="9580"/>
                </a:cxn>
                <a:cxn ang="0">
                  <a:pos x="14856" y="9570"/>
                </a:cxn>
                <a:cxn ang="0">
                  <a:pos x="14851" y="9557"/>
                </a:cxn>
                <a:cxn ang="0">
                  <a:pos x="14849" y="9542"/>
                </a:cxn>
                <a:cxn ang="0">
                  <a:pos x="14849" y="9530"/>
                </a:cxn>
                <a:cxn ang="0">
                  <a:pos x="14851" y="9520"/>
                </a:cxn>
                <a:cxn ang="0">
                  <a:pos x="14861" y="9512"/>
                </a:cxn>
                <a:cxn ang="0">
                  <a:pos x="14871" y="9507"/>
                </a:cxn>
                <a:cxn ang="0">
                  <a:pos x="14889" y="9507"/>
                </a:cxn>
                <a:cxn ang="0">
                  <a:pos x="14899" y="9512"/>
                </a:cxn>
                <a:cxn ang="0">
                  <a:pos x="14899" y="9525"/>
                </a:cxn>
                <a:cxn ang="0">
                  <a:pos x="14894" y="9530"/>
                </a:cxn>
                <a:cxn ang="0">
                  <a:pos x="14894" y="9525"/>
                </a:cxn>
                <a:cxn ang="0">
                  <a:pos x="14889" y="9520"/>
                </a:cxn>
                <a:cxn ang="0">
                  <a:pos x="14884" y="9520"/>
                </a:cxn>
                <a:cxn ang="0">
                  <a:pos x="14879" y="9525"/>
                </a:cxn>
                <a:cxn ang="0">
                  <a:pos x="14879" y="9537"/>
                </a:cxn>
                <a:cxn ang="0">
                  <a:pos x="14884" y="9542"/>
                </a:cxn>
                <a:cxn ang="0">
                  <a:pos x="14894" y="9542"/>
                </a:cxn>
                <a:cxn ang="0">
                  <a:pos x="14904" y="9537"/>
                </a:cxn>
                <a:cxn ang="0">
                  <a:pos x="14906" y="9535"/>
                </a:cxn>
                <a:cxn ang="0">
                  <a:pos x="14911" y="9525"/>
                </a:cxn>
                <a:cxn ang="0">
                  <a:pos x="14911" y="9515"/>
                </a:cxn>
                <a:cxn ang="0">
                  <a:pos x="14906" y="9507"/>
                </a:cxn>
                <a:cxn ang="0">
                  <a:pos x="14904" y="9497"/>
                </a:cxn>
                <a:cxn ang="0">
                  <a:pos x="14889" y="9492"/>
                </a:cxn>
                <a:cxn ang="0">
                  <a:pos x="14871" y="9492"/>
                </a:cxn>
                <a:cxn ang="0">
                  <a:pos x="14861" y="9497"/>
                </a:cxn>
                <a:cxn ang="0">
                  <a:pos x="14851" y="9507"/>
                </a:cxn>
              </a:cxnLst>
              <a:rect l="0" t="0" r="r" b="b"/>
              <a:pathLst>
                <a:path w="15066" h="11591">
                  <a:moveTo>
                    <a:pt x="14851" y="9507"/>
                  </a:moveTo>
                  <a:lnTo>
                    <a:pt x="14844" y="9515"/>
                  </a:lnTo>
                  <a:lnTo>
                    <a:pt x="14844" y="9530"/>
                  </a:lnTo>
                  <a:lnTo>
                    <a:pt x="14839" y="9542"/>
                  </a:lnTo>
                  <a:lnTo>
                    <a:pt x="14844" y="9557"/>
                  </a:lnTo>
                  <a:lnTo>
                    <a:pt x="14851" y="9570"/>
                  </a:lnTo>
                  <a:lnTo>
                    <a:pt x="14861" y="9585"/>
                  </a:lnTo>
                  <a:lnTo>
                    <a:pt x="14876" y="9592"/>
                  </a:lnTo>
                  <a:lnTo>
                    <a:pt x="14889" y="9597"/>
                  </a:lnTo>
                  <a:lnTo>
                    <a:pt x="14904" y="9597"/>
                  </a:lnTo>
                  <a:lnTo>
                    <a:pt x="14949" y="9590"/>
                  </a:lnTo>
                  <a:lnTo>
                    <a:pt x="14981" y="9562"/>
                  </a:lnTo>
                  <a:lnTo>
                    <a:pt x="14994" y="9525"/>
                  </a:lnTo>
                  <a:lnTo>
                    <a:pt x="14994" y="9475"/>
                  </a:lnTo>
                  <a:lnTo>
                    <a:pt x="14971" y="9437"/>
                  </a:lnTo>
                  <a:lnTo>
                    <a:pt x="14939" y="9410"/>
                  </a:lnTo>
                  <a:lnTo>
                    <a:pt x="14894" y="9397"/>
                  </a:lnTo>
                  <a:lnTo>
                    <a:pt x="14844" y="9402"/>
                  </a:lnTo>
                  <a:lnTo>
                    <a:pt x="14805" y="9423"/>
                  </a:lnTo>
                  <a:lnTo>
                    <a:pt x="14839" y="9410"/>
                  </a:lnTo>
                  <a:lnTo>
                    <a:pt x="14884" y="9405"/>
                  </a:lnTo>
                  <a:lnTo>
                    <a:pt x="14926" y="9420"/>
                  </a:lnTo>
                  <a:lnTo>
                    <a:pt x="14954" y="9447"/>
                  </a:lnTo>
                  <a:lnTo>
                    <a:pt x="14971" y="9480"/>
                  </a:lnTo>
                  <a:lnTo>
                    <a:pt x="14976" y="9525"/>
                  </a:lnTo>
                  <a:lnTo>
                    <a:pt x="14961" y="9562"/>
                  </a:lnTo>
                  <a:lnTo>
                    <a:pt x="14934" y="9585"/>
                  </a:lnTo>
                  <a:lnTo>
                    <a:pt x="14904" y="9592"/>
                  </a:lnTo>
                  <a:lnTo>
                    <a:pt x="14889" y="9592"/>
                  </a:lnTo>
                  <a:lnTo>
                    <a:pt x="14876" y="9590"/>
                  </a:lnTo>
                  <a:lnTo>
                    <a:pt x="14866" y="9580"/>
                  </a:lnTo>
                  <a:lnTo>
                    <a:pt x="14856" y="9570"/>
                  </a:lnTo>
                  <a:lnTo>
                    <a:pt x="14851" y="9557"/>
                  </a:lnTo>
                  <a:lnTo>
                    <a:pt x="14849" y="9542"/>
                  </a:lnTo>
                  <a:lnTo>
                    <a:pt x="14849" y="9530"/>
                  </a:lnTo>
                  <a:lnTo>
                    <a:pt x="14851" y="9520"/>
                  </a:lnTo>
                  <a:lnTo>
                    <a:pt x="14861" y="9512"/>
                  </a:lnTo>
                  <a:lnTo>
                    <a:pt x="14871" y="9507"/>
                  </a:lnTo>
                  <a:lnTo>
                    <a:pt x="14889" y="9507"/>
                  </a:lnTo>
                  <a:lnTo>
                    <a:pt x="14899" y="9512"/>
                  </a:lnTo>
                  <a:lnTo>
                    <a:pt x="14899" y="9525"/>
                  </a:lnTo>
                  <a:lnTo>
                    <a:pt x="14894" y="9530"/>
                  </a:lnTo>
                  <a:lnTo>
                    <a:pt x="14894" y="9525"/>
                  </a:lnTo>
                  <a:lnTo>
                    <a:pt x="14889" y="9520"/>
                  </a:lnTo>
                  <a:lnTo>
                    <a:pt x="14884" y="9520"/>
                  </a:lnTo>
                  <a:lnTo>
                    <a:pt x="14879" y="9525"/>
                  </a:lnTo>
                  <a:lnTo>
                    <a:pt x="14879" y="9537"/>
                  </a:lnTo>
                  <a:lnTo>
                    <a:pt x="14884" y="9542"/>
                  </a:lnTo>
                  <a:lnTo>
                    <a:pt x="14894" y="9542"/>
                  </a:lnTo>
                  <a:lnTo>
                    <a:pt x="14904" y="9537"/>
                  </a:lnTo>
                  <a:lnTo>
                    <a:pt x="14906" y="9535"/>
                  </a:lnTo>
                  <a:lnTo>
                    <a:pt x="14911" y="9525"/>
                  </a:lnTo>
                  <a:lnTo>
                    <a:pt x="14911" y="9515"/>
                  </a:lnTo>
                  <a:lnTo>
                    <a:pt x="14906" y="9507"/>
                  </a:lnTo>
                  <a:lnTo>
                    <a:pt x="14904" y="9497"/>
                  </a:lnTo>
                  <a:lnTo>
                    <a:pt x="14889" y="9492"/>
                  </a:lnTo>
                  <a:lnTo>
                    <a:pt x="14871" y="9492"/>
                  </a:lnTo>
                  <a:lnTo>
                    <a:pt x="14861" y="9497"/>
                  </a:lnTo>
                  <a:lnTo>
                    <a:pt x="14851" y="950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7" name="Freeform 25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4373" y="11105"/>
                </a:cxn>
                <a:cxn ang="0">
                  <a:pos x="4368" y="11105"/>
                </a:cxn>
                <a:cxn ang="0">
                  <a:pos x="4368" y="11110"/>
                </a:cxn>
                <a:cxn ang="0">
                  <a:pos x="4373" y="11105"/>
                </a:cxn>
              </a:cxnLst>
              <a:rect l="0" t="0" r="r" b="b"/>
              <a:pathLst>
                <a:path w="15066" h="11591">
                  <a:moveTo>
                    <a:pt x="4373" y="11105"/>
                  </a:moveTo>
                  <a:lnTo>
                    <a:pt x="4368" y="11105"/>
                  </a:lnTo>
                  <a:lnTo>
                    <a:pt x="4368" y="11110"/>
                  </a:lnTo>
                  <a:lnTo>
                    <a:pt x="4373" y="1110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6" name="Freeform 24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566" y="11097"/>
                </a:cxn>
                <a:cxn ang="0">
                  <a:pos x="10636" y="11082"/>
                </a:cxn>
                <a:cxn ang="0">
                  <a:pos x="10703" y="11105"/>
                </a:cxn>
                <a:cxn ang="0">
                  <a:pos x="10703" y="11100"/>
                </a:cxn>
                <a:cxn ang="0">
                  <a:pos x="10648" y="11082"/>
                </a:cxn>
                <a:cxn ang="0">
                  <a:pos x="10566" y="11087"/>
                </a:cxn>
                <a:cxn ang="0">
                  <a:pos x="10531" y="11010"/>
                </a:cxn>
                <a:cxn ang="0">
                  <a:pos x="10453" y="10965"/>
                </a:cxn>
                <a:cxn ang="0">
                  <a:pos x="10438" y="10927"/>
                </a:cxn>
                <a:cxn ang="0">
                  <a:pos x="10513" y="10877"/>
                </a:cxn>
                <a:cxn ang="0">
                  <a:pos x="10543" y="10882"/>
                </a:cxn>
                <a:cxn ang="0">
                  <a:pos x="10566" y="10895"/>
                </a:cxn>
                <a:cxn ang="0">
                  <a:pos x="10576" y="10915"/>
                </a:cxn>
                <a:cxn ang="0">
                  <a:pos x="10581" y="10915"/>
                </a:cxn>
                <a:cxn ang="0">
                  <a:pos x="10541" y="10877"/>
                </a:cxn>
                <a:cxn ang="0">
                  <a:pos x="10476" y="10887"/>
                </a:cxn>
                <a:cxn ang="0">
                  <a:pos x="10408" y="10945"/>
                </a:cxn>
                <a:cxn ang="0">
                  <a:pos x="10383" y="10965"/>
                </a:cxn>
                <a:cxn ang="0">
                  <a:pos x="10328" y="11000"/>
                </a:cxn>
                <a:cxn ang="0">
                  <a:pos x="10316" y="11082"/>
                </a:cxn>
                <a:cxn ang="0">
                  <a:pos x="10321" y="11042"/>
                </a:cxn>
                <a:cxn ang="0">
                  <a:pos x="10361" y="10977"/>
                </a:cxn>
                <a:cxn ang="0">
                  <a:pos x="10383" y="11000"/>
                </a:cxn>
                <a:cxn ang="0">
                  <a:pos x="10348" y="11132"/>
                </a:cxn>
                <a:cxn ang="0">
                  <a:pos x="10311" y="11260"/>
                </a:cxn>
                <a:cxn ang="0">
                  <a:pos x="10283" y="11325"/>
                </a:cxn>
                <a:cxn ang="0">
                  <a:pos x="10278" y="11325"/>
                </a:cxn>
                <a:cxn ang="0">
                  <a:pos x="10188" y="11440"/>
                </a:cxn>
                <a:cxn ang="0">
                  <a:pos x="10018" y="11540"/>
                </a:cxn>
                <a:cxn ang="0">
                  <a:pos x="10188" y="11445"/>
                </a:cxn>
                <a:cxn ang="0">
                  <a:pos x="10293" y="11325"/>
                </a:cxn>
                <a:cxn ang="0">
                  <a:pos x="10348" y="11202"/>
                </a:cxn>
                <a:cxn ang="0">
                  <a:pos x="10383" y="11075"/>
                </a:cxn>
                <a:cxn ang="0">
                  <a:pos x="10421" y="10967"/>
                </a:cxn>
                <a:cxn ang="0">
                  <a:pos x="10498" y="10992"/>
                </a:cxn>
                <a:cxn ang="0">
                  <a:pos x="10548" y="11092"/>
                </a:cxn>
                <a:cxn ang="0">
                  <a:pos x="10471" y="11147"/>
                </a:cxn>
                <a:cxn ang="0">
                  <a:pos x="10383" y="11270"/>
                </a:cxn>
                <a:cxn ang="0">
                  <a:pos x="10376" y="11315"/>
                </a:cxn>
                <a:cxn ang="0">
                  <a:pos x="10448" y="11210"/>
                </a:cxn>
                <a:cxn ang="0">
                  <a:pos x="10543" y="11105"/>
                </a:cxn>
                <a:cxn ang="0">
                  <a:pos x="10543" y="11165"/>
                </a:cxn>
                <a:cxn ang="0">
                  <a:pos x="10486" y="11270"/>
                </a:cxn>
                <a:cxn ang="0">
                  <a:pos x="10476" y="11292"/>
                </a:cxn>
                <a:cxn ang="0">
                  <a:pos x="10548" y="11225"/>
                </a:cxn>
                <a:cxn ang="0">
                  <a:pos x="10571" y="11110"/>
                </a:cxn>
              </a:cxnLst>
              <a:rect l="0" t="0" r="r" b="b"/>
              <a:pathLst>
                <a:path w="15066" h="11591">
                  <a:moveTo>
                    <a:pt x="10571" y="11110"/>
                  </a:moveTo>
                  <a:lnTo>
                    <a:pt x="10566" y="11097"/>
                  </a:lnTo>
                  <a:lnTo>
                    <a:pt x="10593" y="11087"/>
                  </a:lnTo>
                  <a:lnTo>
                    <a:pt x="10636" y="11082"/>
                  </a:lnTo>
                  <a:lnTo>
                    <a:pt x="10673" y="11092"/>
                  </a:lnTo>
                  <a:lnTo>
                    <a:pt x="10703" y="11105"/>
                  </a:lnTo>
                  <a:lnTo>
                    <a:pt x="10708" y="11105"/>
                  </a:lnTo>
                  <a:lnTo>
                    <a:pt x="10703" y="11100"/>
                  </a:lnTo>
                  <a:lnTo>
                    <a:pt x="10681" y="11092"/>
                  </a:lnTo>
                  <a:lnTo>
                    <a:pt x="10648" y="11082"/>
                  </a:lnTo>
                  <a:lnTo>
                    <a:pt x="10613" y="11077"/>
                  </a:lnTo>
                  <a:lnTo>
                    <a:pt x="10566" y="11087"/>
                  </a:lnTo>
                  <a:lnTo>
                    <a:pt x="10558" y="11055"/>
                  </a:lnTo>
                  <a:lnTo>
                    <a:pt x="10531" y="11010"/>
                  </a:lnTo>
                  <a:lnTo>
                    <a:pt x="10488" y="10977"/>
                  </a:lnTo>
                  <a:lnTo>
                    <a:pt x="10453" y="10965"/>
                  </a:lnTo>
                  <a:lnTo>
                    <a:pt x="10421" y="10960"/>
                  </a:lnTo>
                  <a:lnTo>
                    <a:pt x="10438" y="10927"/>
                  </a:lnTo>
                  <a:lnTo>
                    <a:pt x="10471" y="10895"/>
                  </a:lnTo>
                  <a:lnTo>
                    <a:pt x="10513" y="10877"/>
                  </a:lnTo>
                  <a:lnTo>
                    <a:pt x="10536" y="10877"/>
                  </a:lnTo>
                  <a:lnTo>
                    <a:pt x="10543" y="10882"/>
                  </a:lnTo>
                  <a:lnTo>
                    <a:pt x="10558" y="10887"/>
                  </a:lnTo>
                  <a:lnTo>
                    <a:pt x="10566" y="10895"/>
                  </a:lnTo>
                  <a:lnTo>
                    <a:pt x="10571" y="10905"/>
                  </a:lnTo>
                  <a:lnTo>
                    <a:pt x="10576" y="10915"/>
                  </a:lnTo>
                  <a:lnTo>
                    <a:pt x="10581" y="10927"/>
                  </a:lnTo>
                  <a:lnTo>
                    <a:pt x="10581" y="10915"/>
                  </a:lnTo>
                  <a:lnTo>
                    <a:pt x="10566" y="10887"/>
                  </a:lnTo>
                  <a:lnTo>
                    <a:pt x="10541" y="10877"/>
                  </a:lnTo>
                  <a:lnTo>
                    <a:pt x="10513" y="10872"/>
                  </a:lnTo>
                  <a:lnTo>
                    <a:pt x="10476" y="10887"/>
                  </a:lnTo>
                  <a:lnTo>
                    <a:pt x="10438" y="10910"/>
                  </a:lnTo>
                  <a:lnTo>
                    <a:pt x="10408" y="10945"/>
                  </a:lnTo>
                  <a:lnTo>
                    <a:pt x="10403" y="10965"/>
                  </a:lnTo>
                  <a:lnTo>
                    <a:pt x="10383" y="10965"/>
                  </a:lnTo>
                  <a:lnTo>
                    <a:pt x="10353" y="10977"/>
                  </a:lnTo>
                  <a:lnTo>
                    <a:pt x="10328" y="11000"/>
                  </a:lnTo>
                  <a:lnTo>
                    <a:pt x="10316" y="11037"/>
                  </a:lnTo>
                  <a:lnTo>
                    <a:pt x="10316" y="11082"/>
                  </a:lnTo>
                  <a:lnTo>
                    <a:pt x="10321" y="11087"/>
                  </a:lnTo>
                  <a:lnTo>
                    <a:pt x="10321" y="11042"/>
                  </a:lnTo>
                  <a:lnTo>
                    <a:pt x="10333" y="11005"/>
                  </a:lnTo>
                  <a:lnTo>
                    <a:pt x="10361" y="10977"/>
                  </a:lnTo>
                  <a:lnTo>
                    <a:pt x="10398" y="10967"/>
                  </a:lnTo>
                  <a:lnTo>
                    <a:pt x="10383" y="11000"/>
                  </a:lnTo>
                  <a:lnTo>
                    <a:pt x="10361" y="11070"/>
                  </a:lnTo>
                  <a:lnTo>
                    <a:pt x="10348" y="11132"/>
                  </a:lnTo>
                  <a:lnTo>
                    <a:pt x="10333" y="11197"/>
                  </a:lnTo>
                  <a:lnTo>
                    <a:pt x="10311" y="11260"/>
                  </a:lnTo>
                  <a:lnTo>
                    <a:pt x="10283" y="11320"/>
                  </a:lnTo>
                  <a:lnTo>
                    <a:pt x="10283" y="11325"/>
                  </a:lnTo>
                  <a:lnTo>
                    <a:pt x="10251" y="11320"/>
                  </a:lnTo>
                  <a:lnTo>
                    <a:pt x="10278" y="11325"/>
                  </a:lnTo>
                  <a:lnTo>
                    <a:pt x="10243" y="11385"/>
                  </a:lnTo>
                  <a:lnTo>
                    <a:pt x="10188" y="11440"/>
                  </a:lnTo>
                  <a:lnTo>
                    <a:pt x="10116" y="11490"/>
                  </a:lnTo>
                  <a:lnTo>
                    <a:pt x="10018" y="11540"/>
                  </a:lnTo>
                  <a:lnTo>
                    <a:pt x="10116" y="11495"/>
                  </a:lnTo>
                  <a:lnTo>
                    <a:pt x="10188" y="11445"/>
                  </a:lnTo>
                  <a:lnTo>
                    <a:pt x="10248" y="11385"/>
                  </a:lnTo>
                  <a:lnTo>
                    <a:pt x="10293" y="11325"/>
                  </a:lnTo>
                  <a:lnTo>
                    <a:pt x="10326" y="11265"/>
                  </a:lnTo>
                  <a:lnTo>
                    <a:pt x="10348" y="11202"/>
                  </a:lnTo>
                  <a:lnTo>
                    <a:pt x="10366" y="11137"/>
                  </a:lnTo>
                  <a:lnTo>
                    <a:pt x="10383" y="11075"/>
                  </a:lnTo>
                  <a:lnTo>
                    <a:pt x="10408" y="10987"/>
                  </a:lnTo>
                  <a:lnTo>
                    <a:pt x="10421" y="10967"/>
                  </a:lnTo>
                  <a:lnTo>
                    <a:pt x="10448" y="10967"/>
                  </a:lnTo>
                  <a:lnTo>
                    <a:pt x="10498" y="10992"/>
                  </a:lnTo>
                  <a:lnTo>
                    <a:pt x="10531" y="11037"/>
                  </a:lnTo>
                  <a:lnTo>
                    <a:pt x="10548" y="11092"/>
                  </a:lnTo>
                  <a:lnTo>
                    <a:pt x="10516" y="11105"/>
                  </a:lnTo>
                  <a:lnTo>
                    <a:pt x="10471" y="11147"/>
                  </a:lnTo>
                  <a:lnTo>
                    <a:pt x="10421" y="11210"/>
                  </a:lnTo>
                  <a:lnTo>
                    <a:pt x="10383" y="11270"/>
                  </a:lnTo>
                  <a:lnTo>
                    <a:pt x="10371" y="11320"/>
                  </a:lnTo>
                  <a:lnTo>
                    <a:pt x="10376" y="11315"/>
                  </a:lnTo>
                  <a:lnTo>
                    <a:pt x="10416" y="11257"/>
                  </a:lnTo>
                  <a:lnTo>
                    <a:pt x="10448" y="11210"/>
                  </a:lnTo>
                  <a:lnTo>
                    <a:pt x="10498" y="11147"/>
                  </a:lnTo>
                  <a:lnTo>
                    <a:pt x="10543" y="11105"/>
                  </a:lnTo>
                  <a:lnTo>
                    <a:pt x="10548" y="11105"/>
                  </a:lnTo>
                  <a:lnTo>
                    <a:pt x="10543" y="11165"/>
                  </a:lnTo>
                  <a:lnTo>
                    <a:pt x="10526" y="11220"/>
                  </a:lnTo>
                  <a:lnTo>
                    <a:pt x="10486" y="11270"/>
                  </a:lnTo>
                  <a:lnTo>
                    <a:pt x="10433" y="11302"/>
                  </a:lnTo>
                  <a:lnTo>
                    <a:pt x="10476" y="11292"/>
                  </a:lnTo>
                  <a:lnTo>
                    <a:pt x="10516" y="11265"/>
                  </a:lnTo>
                  <a:lnTo>
                    <a:pt x="10548" y="11225"/>
                  </a:lnTo>
                  <a:lnTo>
                    <a:pt x="10566" y="11180"/>
                  </a:lnTo>
                  <a:lnTo>
                    <a:pt x="10571" y="1111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5" name="Freeform 23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10713" y="11105"/>
                </a:cxn>
                <a:cxn ang="0">
                  <a:pos x="10708" y="11105"/>
                </a:cxn>
                <a:cxn ang="0">
                  <a:pos x="10713" y="11110"/>
                </a:cxn>
                <a:cxn ang="0">
                  <a:pos x="10713" y="11105"/>
                </a:cxn>
              </a:cxnLst>
              <a:rect l="0" t="0" r="r" b="b"/>
              <a:pathLst>
                <a:path w="15066" h="11591">
                  <a:moveTo>
                    <a:pt x="10713" y="11105"/>
                  </a:moveTo>
                  <a:lnTo>
                    <a:pt x="10708" y="11105"/>
                  </a:lnTo>
                  <a:lnTo>
                    <a:pt x="10713" y="11110"/>
                  </a:lnTo>
                  <a:lnTo>
                    <a:pt x="10713" y="11105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4" name="Freeform 22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8423" y="11270"/>
                </a:cxn>
                <a:cxn ang="0">
                  <a:pos x="8398" y="11285"/>
                </a:cxn>
                <a:cxn ang="0">
                  <a:pos x="8373" y="11292"/>
                </a:cxn>
                <a:cxn ang="0">
                  <a:pos x="8356" y="11302"/>
                </a:cxn>
                <a:cxn ang="0">
                  <a:pos x="8346" y="11307"/>
                </a:cxn>
                <a:cxn ang="0">
                  <a:pos x="8338" y="11312"/>
                </a:cxn>
                <a:cxn ang="0">
                  <a:pos x="8333" y="11315"/>
                </a:cxn>
                <a:cxn ang="0">
                  <a:pos x="8338" y="11315"/>
                </a:cxn>
                <a:cxn ang="0">
                  <a:pos x="8343" y="11312"/>
                </a:cxn>
                <a:cxn ang="0">
                  <a:pos x="8356" y="11307"/>
                </a:cxn>
                <a:cxn ang="0">
                  <a:pos x="8373" y="11302"/>
                </a:cxn>
                <a:cxn ang="0">
                  <a:pos x="8401" y="11292"/>
                </a:cxn>
                <a:cxn ang="0">
                  <a:pos x="8428" y="11280"/>
                </a:cxn>
                <a:cxn ang="0">
                  <a:pos x="8461" y="11265"/>
                </a:cxn>
                <a:cxn ang="0">
                  <a:pos x="8553" y="11237"/>
                </a:cxn>
                <a:cxn ang="0">
                  <a:pos x="8638" y="11230"/>
                </a:cxn>
                <a:cxn ang="0">
                  <a:pos x="8726" y="11242"/>
                </a:cxn>
                <a:cxn ang="0">
                  <a:pos x="8813" y="11265"/>
                </a:cxn>
                <a:cxn ang="0">
                  <a:pos x="8901" y="11297"/>
                </a:cxn>
                <a:cxn ang="0">
                  <a:pos x="8991" y="11342"/>
                </a:cxn>
                <a:cxn ang="0">
                  <a:pos x="9083" y="11390"/>
                </a:cxn>
                <a:cxn ang="0">
                  <a:pos x="9173" y="11440"/>
                </a:cxn>
                <a:cxn ang="0">
                  <a:pos x="9273" y="11485"/>
                </a:cxn>
                <a:cxn ang="0">
                  <a:pos x="9376" y="11525"/>
                </a:cxn>
                <a:cxn ang="0">
                  <a:pos x="9481" y="11557"/>
                </a:cxn>
                <a:cxn ang="0">
                  <a:pos x="9593" y="11580"/>
                </a:cxn>
                <a:cxn ang="0">
                  <a:pos x="9713" y="11590"/>
                </a:cxn>
                <a:cxn ang="0">
                  <a:pos x="9836" y="11580"/>
                </a:cxn>
                <a:cxn ang="0">
                  <a:pos x="9973" y="11552"/>
                </a:cxn>
                <a:cxn ang="0">
                  <a:pos x="9841" y="11577"/>
                </a:cxn>
                <a:cxn ang="0">
                  <a:pos x="9713" y="11577"/>
                </a:cxn>
                <a:cxn ang="0">
                  <a:pos x="9593" y="11562"/>
                </a:cxn>
                <a:cxn ang="0">
                  <a:pos x="9481" y="11530"/>
                </a:cxn>
                <a:cxn ang="0">
                  <a:pos x="9371" y="11490"/>
                </a:cxn>
                <a:cxn ang="0">
                  <a:pos x="9266" y="11440"/>
                </a:cxn>
                <a:cxn ang="0">
                  <a:pos x="9161" y="11390"/>
                </a:cxn>
                <a:cxn ang="0">
                  <a:pos x="9058" y="11337"/>
                </a:cxn>
                <a:cxn ang="0">
                  <a:pos x="8958" y="11292"/>
                </a:cxn>
                <a:cxn ang="0">
                  <a:pos x="8858" y="11257"/>
                </a:cxn>
                <a:cxn ang="0">
                  <a:pos x="8763" y="11230"/>
                </a:cxn>
                <a:cxn ang="0">
                  <a:pos x="8663" y="11215"/>
                </a:cxn>
                <a:cxn ang="0">
                  <a:pos x="8561" y="11225"/>
                </a:cxn>
                <a:cxn ang="0">
                  <a:pos x="8461" y="11257"/>
                </a:cxn>
                <a:cxn ang="0">
                  <a:pos x="8423" y="11270"/>
                </a:cxn>
              </a:cxnLst>
              <a:rect l="0" t="0" r="r" b="b"/>
              <a:pathLst>
                <a:path w="15066" h="11591">
                  <a:moveTo>
                    <a:pt x="8423" y="11270"/>
                  </a:moveTo>
                  <a:lnTo>
                    <a:pt x="8398" y="11285"/>
                  </a:lnTo>
                  <a:lnTo>
                    <a:pt x="8373" y="11292"/>
                  </a:lnTo>
                  <a:lnTo>
                    <a:pt x="8356" y="11302"/>
                  </a:lnTo>
                  <a:lnTo>
                    <a:pt x="8346" y="11307"/>
                  </a:lnTo>
                  <a:lnTo>
                    <a:pt x="8338" y="11312"/>
                  </a:lnTo>
                  <a:lnTo>
                    <a:pt x="8333" y="11315"/>
                  </a:lnTo>
                  <a:lnTo>
                    <a:pt x="8338" y="11315"/>
                  </a:lnTo>
                  <a:lnTo>
                    <a:pt x="8343" y="11312"/>
                  </a:lnTo>
                  <a:lnTo>
                    <a:pt x="8356" y="11307"/>
                  </a:lnTo>
                  <a:lnTo>
                    <a:pt x="8373" y="11302"/>
                  </a:lnTo>
                  <a:lnTo>
                    <a:pt x="8401" y="11292"/>
                  </a:lnTo>
                  <a:lnTo>
                    <a:pt x="8428" y="11280"/>
                  </a:lnTo>
                  <a:lnTo>
                    <a:pt x="8461" y="11265"/>
                  </a:lnTo>
                  <a:lnTo>
                    <a:pt x="8553" y="11237"/>
                  </a:lnTo>
                  <a:lnTo>
                    <a:pt x="8638" y="11230"/>
                  </a:lnTo>
                  <a:lnTo>
                    <a:pt x="8726" y="11242"/>
                  </a:lnTo>
                  <a:lnTo>
                    <a:pt x="8813" y="11265"/>
                  </a:lnTo>
                  <a:lnTo>
                    <a:pt x="8901" y="11297"/>
                  </a:lnTo>
                  <a:lnTo>
                    <a:pt x="8991" y="11342"/>
                  </a:lnTo>
                  <a:lnTo>
                    <a:pt x="9083" y="11390"/>
                  </a:lnTo>
                  <a:lnTo>
                    <a:pt x="9173" y="11440"/>
                  </a:lnTo>
                  <a:lnTo>
                    <a:pt x="9273" y="11485"/>
                  </a:lnTo>
                  <a:lnTo>
                    <a:pt x="9376" y="11525"/>
                  </a:lnTo>
                  <a:lnTo>
                    <a:pt x="9481" y="11557"/>
                  </a:lnTo>
                  <a:lnTo>
                    <a:pt x="9593" y="11580"/>
                  </a:lnTo>
                  <a:lnTo>
                    <a:pt x="9713" y="11590"/>
                  </a:lnTo>
                  <a:lnTo>
                    <a:pt x="9836" y="11580"/>
                  </a:lnTo>
                  <a:lnTo>
                    <a:pt x="9973" y="11552"/>
                  </a:lnTo>
                  <a:lnTo>
                    <a:pt x="9841" y="11577"/>
                  </a:lnTo>
                  <a:lnTo>
                    <a:pt x="9713" y="11577"/>
                  </a:lnTo>
                  <a:lnTo>
                    <a:pt x="9593" y="11562"/>
                  </a:lnTo>
                  <a:lnTo>
                    <a:pt x="9481" y="11530"/>
                  </a:lnTo>
                  <a:lnTo>
                    <a:pt x="9371" y="11490"/>
                  </a:lnTo>
                  <a:lnTo>
                    <a:pt x="9266" y="11440"/>
                  </a:lnTo>
                  <a:lnTo>
                    <a:pt x="9161" y="11390"/>
                  </a:lnTo>
                  <a:lnTo>
                    <a:pt x="9058" y="11337"/>
                  </a:lnTo>
                  <a:lnTo>
                    <a:pt x="8958" y="11292"/>
                  </a:lnTo>
                  <a:lnTo>
                    <a:pt x="8858" y="11257"/>
                  </a:lnTo>
                  <a:lnTo>
                    <a:pt x="8763" y="11230"/>
                  </a:lnTo>
                  <a:lnTo>
                    <a:pt x="8663" y="11215"/>
                  </a:lnTo>
                  <a:lnTo>
                    <a:pt x="8561" y="11225"/>
                  </a:lnTo>
                  <a:lnTo>
                    <a:pt x="8461" y="11257"/>
                  </a:lnTo>
                  <a:lnTo>
                    <a:pt x="8423" y="1127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3" name="Freeform 21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5135" y="580"/>
                </a:cxn>
                <a:cxn ang="0">
                  <a:pos x="5135" y="515"/>
                </a:cxn>
                <a:cxn ang="0">
                  <a:pos x="5130" y="547"/>
                </a:cxn>
                <a:cxn ang="0">
                  <a:pos x="5130" y="585"/>
                </a:cxn>
                <a:cxn ang="0">
                  <a:pos x="5140" y="597"/>
                </a:cxn>
                <a:cxn ang="0">
                  <a:pos x="5145" y="592"/>
                </a:cxn>
                <a:cxn ang="0">
                  <a:pos x="5135" y="580"/>
                </a:cxn>
              </a:cxnLst>
              <a:rect l="0" t="0" r="r" b="b"/>
              <a:pathLst>
                <a:path w="15066" h="11591">
                  <a:moveTo>
                    <a:pt x="5135" y="580"/>
                  </a:moveTo>
                  <a:lnTo>
                    <a:pt x="5135" y="515"/>
                  </a:lnTo>
                  <a:lnTo>
                    <a:pt x="5130" y="547"/>
                  </a:lnTo>
                  <a:lnTo>
                    <a:pt x="5130" y="585"/>
                  </a:lnTo>
                  <a:lnTo>
                    <a:pt x="5140" y="597"/>
                  </a:lnTo>
                  <a:lnTo>
                    <a:pt x="5145" y="592"/>
                  </a:lnTo>
                  <a:lnTo>
                    <a:pt x="5135" y="580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2" name="Freeform 20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5240" y="11577"/>
                </a:cxn>
                <a:cxn ang="0">
                  <a:pos x="5108" y="11552"/>
                </a:cxn>
                <a:cxn ang="0">
                  <a:pos x="5245" y="11580"/>
                </a:cxn>
                <a:cxn ang="0">
                  <a:pos x="5368" y="11590"/>
                </a:cxn>
                <a:cxn ang="0">
                  <a:pos x="5488" y="11580"/>
                </a:cxn>
                <a:cxn ang="0">
                  <a:pos x="5600" y="11557"/>
                </a:cxn>
                <a:cxn ang="0">
                  <a:pos x="5705" y="11525"/>
                </a:cxn>
                <a:cxn ang="0">
                  <a:pos x="5805" y="11485"/>
                </a:cxn>
                <a:cxn ang="0">
                  <a:pos x="5908" y="11440"/>
                </a:cxn>
                <a:cxn ang="0">
                  <a:pos x="5998" y="11390"/>
                </a:cxn>
                <a:cxn ang="0">
                  <a:pos x="6090" y="11342"/>
                </a:cxn>
                <a:cxn ang="0">
                  <a:pos x="6180" y="11297"/>
                </a:cxn>
                <a:cxn ang="0">
                  <a:pos x="6268" y="11265"/>
                </a:cxn>
                <a:cxn ang="0">
                  <a:pos x="6355" y="11242"/>
                </a:cxn>
                <a:cxn ang="0">
                  <a:pos x="6440" y="11230"/>
                </a:cxn>
                <a:cxn ang="0">
                  <a:pos x="6528" y="11237"/>
                </a:cxn>
                <a:cxn ang="0">
                  <a:pos x="6620" y="11265"/>
                </a:cxn>
                <a:cxn ang="0">
                  <a:pos x="6653" y="11280"/>
                </a:cxn>
                <a:cxn ang="0">
                  <a:pos x="6683" y="11292"/>
                </a:cxn>
                <a:cxn ang="0">
                  <a:pos x="6705" y="11302"/>
                </a:cxn>
                <a:cxn ang="0">
                  <a:pos x="6725" y="11307"/>
                </a:cxn>
                <a:cxn ang="0">
                  <a:pos x="6738" y="11312"/>
                </a:cxn>
                <a:cxn ang="0">
                  <a:pos x="6743" y="11315"/>
                </a:cxn>
                <a:cxn ang="0">
                  <a:pos x="6748" y="11315"/>
                </a:cxn>
                <a:cxn ang="0">
                  <a:pos x="6743" y="11312"/>
                </a:cxn>
                <a:cxn ang="0">
                  <a:pos x="6738" y="11307"/>
                </a:cxn>
                <a:cxn ang="0">
                  <a:pos x="6725" y="11302"/>
                </a:cxn>
                <a:cxn ang="0">
                  <a:pos x="6705" y="11292"/>
                </a:cxn>
                <a:cxn ang="0">
                  <a:pos x="6683" y="11285"/>
                </a:cxn>
                <a:cxn ang="0">
                  <a:pos x="6655" y="11270"/>
                </a:cxn>
                <a:cxn ang="0">
                  <a:pos x="6625" y="11257"/>
                </a:cxn>
                <a:cxn ang="0">
                  <a:pos x="6520" y="11225"/>
                </a:cxn>
                <a:cxn ang="0">
                  <a:pos x="6418" y="11215"/>
                </a:cxn>
                <a:cxn ang="0">
                  <a:pos x="6318" y="11230"/>
                </a:cxn>
                <a:cxn ang="0">
                  <a:pos x="6223" y="11257"/>
                </a:cxn>
                <a:cxn ang="0">
                  <a:pos x="6123" y="11292"/>
                </a:cxn>
                <a:cxn ang="0">
                  <a:pos x="6020" y="11337"/>
                </a:cxn>
                <a:cxn ang="0">
                  <a:pos x="5920" y="11390"/>
                </a:cxn>
                <a:cxn ang="0">
                  <a:pos x="5815" y="11440"/>
                </a:cxn>
                <a:cxn ang="0">
                  <a:pos x="5710" y="11490"/>
                </a:cxn>
                <a:cxn ang="0">
                  <a:pos x="5600" y="11530"/>
                </a:cxn>
                <a:cxn ang="0">
                  <a:pos x="5488" y="11562"/>
                </a:cxn>
                <a:cxn ang="0">
                  <a:pos x="5368" y="11577"/>
                </a:cxn>
                <a:cxn ang="0">
                  <a:pos x="5240" y="11577"/>
                </a:cxn>
              </a:cxnLst>
              <a:rect l="0" t="0" r="r" b="b"/>
              <a:pathLst>
                <a:path w="15066" h="11591">
                  <a:moveTo>
                    <a:pt x="5240" y="11577"/>
                  </a:moveTo>
                  <a:lnTo>
                    <a:pt x="5108" y="11552"/>
                  </a:lnTo>
                  <a:lnTo>
                    <a:pt x="5245" y="11580"/>
                  </a:lnTo>
                  <a:lnTo>
                    <a:pt x="5368" y="11590"/>
                  </a:lnTo>
                  <a:lnTo>
                    <a:pt x="5488" y="11580"/>
                  </a:lnTo>
                  <a:lnTo>
                    <a:pt x="5600" y="11557"/>
                  </a:lnTo>
                  <a:lnTo>
                    <a:pt x="5705" y="11525"/>
                  </a:lnTo>
                  <a:lnTo>
                    <a:pt x="5805" y="11485"/>
                  </a:lnTo>
                  <a:lnTo>
                    <a:pt x="5908" y="11440"/>
                  </a:lnTo>
                  <a:lnTo>
                    <a:pt x="5998" y="11390"/>
                  </a:lnTo>
                  <a:lnTo>
                    <a:pt x="6090" y="11342"/>
                  </a:lnTo>
                  <a:lnTo>
                    <a:pt x="6180" y="11297"/>
                  </a:lnTo>
                  <a:lnTo>
                    <a:pt x="6268" y="11265"/>
                  </a:lnTo>
                  <a:lnTo>
                    <a:pt x="6355" y="11242"/>
                  </a:lnTo>
                  <a:lnTo>
                    <a:pt x="6440" y="11230"/>
                  </a:lnTo>
                  <a:lnTo>
                    <a:pt x="6528" y="11237"/>
                  </a:lnTo>
                  <a:lnTo>
                    <a:pt x="6620" y="11265"/>
                  </a:lnTo>
                  <a:lnTo>
                    <a:pt x="6653" y="11280"/>
                  </a:lnTo>
                  <a:lnTo>
                    <a:pt x="6683" y="11292"/>
                  </a:lnTo>
                  <a:lnTo>
                    <a:pt x="6705" y="11302"/>
                  </a:lnTo>
                  <a:lnTo>
                    <a:pt x="6725" y="11307"/>
                  </a:lnTo>
                  <a:lnTo>
                    <a:pt x="6738" y="11312"/>
                  </a:lnTo>
                  <a:lnTo>
                    <a:pt x="6743" y="11315"/>
                  </a:lnTo>
                  <a:lnTo>
                    <a:pt x="6748" y="11315"/>
                  </a:lnTo>
                  <a:lnTo>
                    <a:pt x="6743" y="11312"/>
                  </a:lnTo>
                  <a:lnTo>
                    <a:pt x="6738" y="11307"/>
                  </a:lnTo>
                  <a:lnTo>
                    <a:pt x="6725" y="11302"/>
                  </a:lnTo>
                  <a:lnTo>
                    <a:pt x="6705" y="11292"/>
                  </a:lnTo>
                  <a:lnTo>
                    <a:pt x="6683" y="11285"/>
                  </a:lnTo>
                  <a:lnTo>
                    <a:pt x="6655" y="11270"/>
                  </a:lnTo>
                  <a:lnTo>
                    <a:pt x="6625" y="11257"/>
                  </a:lnTo>
                  <a:lnTo>
                    <a:pt x="6520" y="11225"/>
                  </a:lnTo>
                  <a:lnTo>
                    <a:pt x="6418" y="11215"/>
                  </a:lnTo>
                  <a:lnTo>
                    <a:pt x="6318" y="11230"/>
                  </a:lnTo>
                  <a:lnTo>
                    <a:pt x="6223" y="11257"/>
                  </a:lnTo>
                  <a:lnTo>
                    <a:pt x="6123" y="11292"/>
                  </a:lnTo>
                  <a:lnTo>
                    <a:pt x="6020" y="11337"/>
                  </a:lnTo>
                  <a:lnTo>
                    <a:pt x="5920" y="11390"/>
                  </a:lnTo>
                  <a:lnTo>
                    <a:pt x="5815" y="11440"/>
                  </a:lnTo>
                  <a:lnTo>
                    <a:pt x="5710" y="11490"/>
                  </a:lnTo>
                  <a:lnTo>
                    <a:pt x="5600" y="11530"/>
                  </a:lnTo>
                  <a:lnTo>
                    <a:pt x="5488" y="11562"/>
                  </a:lnTo>
                  <a:lnTo>
                    <a:pt x="5368" y="11577"/>
                  </a:lnTo>
                  <a:lnTo>
                    <a:pt x="5240" y="1157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8211" name="Freeform 19"/>
            <xdr:cNvSpPr>
              <a:spLocks/>
            </xdr:cNvSpPr>
          </xdr:nvSpPr>
          <xdr:spPr bwMode="auto">
            <a:xfrm>
              <a:off x="416" y="310"/>
              <a:ext cx="15066" cy="11591"/>
            </a:xfrm>
            <a:custGeom>
              <a:avLst/>
              <a:gdLst/>
              <a:ahLst/>
              <a:cxnLst>
                <a:cxn ang="0">
                  <a:pos x="5235" y="11082"/>
                </a:cxn>
                <a:cxn ang="0">
                  <a:pos x="5225" y="11005"/>
                </a:cxn>
                <a:cxn ang="0">
                  <a:pos x="5213" y="10972"/>
                </a:cxn>
                <a:cxn ang="0">
                  <a:pos x="5213" y="10967"/>
                </a:cxn>
                <a:cxn ang="0">
                  <a:pos x="5198" y="10967"/>
                </a:cxn>
                <a:cxn ang="0">
                  <a:pos x="5103" y="10917"/>
                </a:cxn>
                <a:cxn ang="0">
                  <a:pos x="4965" y="10937"/>
                </a:cxn>
                <a:cxn ang="0">
                  <a:pos x="4865" y="11022"/>
                </a:cxn>
                <a:cxn ang="0">
                  <a:pos x="4820" y="11160"/>
                </a:cxn>
                <a:cxn ang="0">
                  <a:pos x="4838" y="11292"/>
                </a:cxn>
                <a:cxn ang="0">
                  <a:pos x="4915" y="11420"/>
                </a:cxn>
                <a:cxn ang="0">
                  <a:pos x="5053" y="11512"/>
                </a:cxn>
                <a:cxn ang="0">
                  <a:pos x="5253" y="11550"/>
                </a:cxn>
                <a:cxn ang="0">
                  <a:pos x="5455" y="11512"/>
                </a:cxn>
                <a:cxn ang="0">
                  <a:pos x="5650" y="11430"/>
                </a:cxn>
                <a:cxn ang="0">
                  <a:pos x="5858" y="11325"/>
                </a:cxn>
                <a:cxn ang="0">
                  <a:pos x="6075" y="11237"/>
                </a:cxn>
                <a:cxn ang="0">
                  <a:pos x="6308" y="11187"/>
                </a:cxn>
                <a:cxn ang="0">
                  <a:pos x="6565" y="11215"/>
                </a:cxn>
                <a:cxn ang="0">
                  <a:pos x="6305" y="11175"/>
                </a:cxn>
                <a:cxn ang="0">
                  <a:pos x="6075" y="11205"/>
                </a:cxn>
                <a:cxn ang="0">
                  <a:pos x="5865" y="11285"/>
                </a:cxn>
                <a:cxn ang="0">
                  <a:pos x="5673" y="11380"/>
                </a:cxn>
                <a:cxn ang="0">
                  <a:pos x="5495" y="11467"/>
                </a:cxn>
                <a:cxn ang="0">
                  <a:pos x="5318" y="11525"/>
                </a:cxn>
                <a:cxn ang="0">
                  <a:pos x="5145" y="11530"/>
                </a:cxn>
                <a:cxn ang="0">
                  <a:pos x="4980" y="11462"/>
                </a:cxn>
                <a:cxn ang="0">
                  <a:pos x="4875" y="11347"/>
                </a:cxn>
                <a:cxn ang="0">
                  <a:pos x="4828" y="11225"/>
                </a:cxn>
                <a:cxn ang="0">
                  <a:pos x="4838" y="11097"/>
                </a:cxn>
                <a:cxn ang="0">
                  <a:pos x="4910" y="10982"/>
                </a:cxn>
                <a:cxn ang="0">
                  <a:pos x="5030" y="10927"/>
                </a:cxn>
                <a:cxn ang="0">
                  <a:pos x="5148" y="10945"/>
                </a:cxn>
                <a:cxn ang="0">
                  <a:pos x="5203" y="10987"/>
                </a:cxn>
                <a:cxn ang="0">
                  <a:pos x="5218" y="11005"/>
                </a:cxn>
                <a:cxn ang="0">
                  <a:pos x="5223" y="11077"/>
                </a:cxn>
                <a:cxn ang="0">
                  <a:pos x="5203" y="11070"/>
                </a:cxn>
                <a:cxn ang="0">
                  <a:pos x="5198" y="11075"/>
                </a:cxn>
                <a:cxn ang="0">
                  <a:pos x="5225" y="11097"/>
                </a:cxn>
              </a:cxnLst>
              <a:rect l="0" t="0" r="r" b="b"/>
              <a:pathLst>
                <a:path w="15066" h="11591">
                  <a:moveTo>
                    <a:pt x="5225" y="11097"/>
                  </a:moveTo>
                  <a:lnTo>
                    <a:pt x="5235" y="11082"/>
                  </a:lnTo>
                  <a:lnTo>
                    <a:pt x="5240" y="11042"/>
                  </a:lnTo>
                  <a:lnTo>
                    <a:pt x="5225" y="11005"/>
                  </a:lnTo>
                  <a:lnTo>
                    <a:pt x="5208" y="10982"/>
                  </a:lnTo>
                  <a:lnTo>
                    <a:pt x="5213" y="10972"/>
                  </a:lnTo>
                  <a:lnTo>
                    <a:pt x="5245" y="10942"/>
                  </a:lnTo>
                  <a:lnTo>
                    <a:pt x="5213" y="10967"/>
                  </a:lnTo>
                  <a:lnTo>
                    <a:pt x="5208" y="10977"/>
                  </a:lnTo>
                  <a:lnTo>
                    <a:pt x="5198" y="10967"/>
                  </a:lnTo>
                  <a:lnTo>
                    <a:pt x="5158" y="10942"/>
                  </a:lnTo>
                  <a:lnTo>
                    <a:pt x="5103" y="10917"/>
                  </a:lnTo>
                  <a:lnTo>
                    <a:pt x="5030" y="10917"/>
                  </a:lnTo>
                  <a:lnTo>
                    <a:pt x="4965" y="10937"/>
                  </a:lnTo>
                  <a:lnTo>
                    <a:pt x="4910" y="10972"/>
                  </a:lnTo>
                  <a:lnTo>
                    <a:pt x="4865" y="11022"/>
                  </a:lnTo>
                  <a:lnTo>
                    <a:pt x="4833" y="11087"/>
                  </a:lnTo>
                  <a:lnTo>
                    <a:pt x="4820" y="11160"/>
                  </a:lnTo>
                  <a:lnTo>
                    <a:pt x="4820" y="11230"/>
                  </a:lnTo>
                  <a:lnTo>
                    <a:pt x="4838" y="11292"/>
                  </a:lnTo>
                  <a:lnTo>
                    <a:pt x="4870" y="11362"/>
                  </a:lnTo>
                  <a:lnTo>
                    <a:pt x="4915" y="11420"/>
                  </a:lnTo>
                  <a:lnTo>
                    <a:pt x="4975" y="11470"/>
                  </a:lnTo>
                  <a:lnTo>
                    <a:pt x="5053" y="11512"/>
                  </a:lnTo>
                  <a:lnTo>
                    <a:pt x="5153" y="11545"/>
                  </a:lnTo>
                  <a:lnTo>
                    <a:pt x="5253" y="11550"/>
                  </a:lnTo>
                  <a:lnTo>
                    <a:pt x="5355" y="11540"/>
                  </a:lnTo>
                  <a:lnTo>
                    <a:pt x="5455" y="11512"/>
                  </a:lnTo>
                  <a:lnTo>
                    <a:pt x="5550" y="11475"/>
                  </a:lnTo>
                  <a:lnTo>
                    <a:pt x="5650" y="11430"/>
                  </a:lnTo>
                  <a:lnTo>
                    <a:pt x="5753" y="11380"/>
                  </a:lnTo>
                  <a:lnTo>
                    <a:pt x="5858" y="11325"/>
                  </a:lnTo>
                  <a:lnTo>
                    <a:pt x="5963" y="11280"/>
                  </a:lnTo>
                  <a:lnTo>
                    <a:pt x="6075" y="11237"/>
                  </a:lnTo>
                  <a:lnTo>
                    <a:pt x="6190" y="11205"/>
                  </a:lnTo>
                  <a:lnTo>
                    <a:pt x="6308" y="11187"/>
                  </a:lnTo>
                  <a:lnTo>
                    <a:pt x="6433" y="11192"/>
                  </a:lnTo>
                  <a:lnTo>
                    <a:pt x="6565" y="11215"/>
                  </a:lnTo>
                  <a:lnTo>
                    <a:pt x="6433" y="11182"/>
                  </a:lnTo>
                  <a:lnTo>
                    <a:pt x="6305" y="11175"/>
                  </a:lnTo>
                  <a:lnTo>
                    <a:pt x="6185" y="11182"/>
                  </a:lnTo>
                  <a:lnTo>
                    <a:pt x="6075" y="11205"/>
                  </a:lnTo>
                  <a:lnTo>
                    <a:pt x="5965" y="11242"/>
                  </a:lnTo>
                  <a:lnTo>
                    <a:pt x="5865" y="11285"/>
                  </a:lnTo>
                  <a:lnTo>
                    <a:pt x="5770" y="11330"/>
                  </a:lnTo>
                  <a:lnTo>
                    <a:pt x="5673" y="11380"/>
                  </a:lnTo>
                  <a:lnTo>
                    <a:pt x="5583" y="11425"/>
                  </a:lnTo>
                  <a:lnTo>
                    <a:pt x="5495" y="11467"/>
                  </a:lnTo>
                  <a:lnTo>
                    <a:pt x="5405" y="11502"/>
                  </a:lnTo>
                  <a:lnTo>
                    <a:pt x="5318" y="11525"/>
                  </a:lnTo>
                  <a:lnTo>
                    <a:pt x="5230" y="11535"/>
                  </a:lnTo>
                  <a:lnTo>
                    <a:pt x="5145" y="11530"/>
                  </a:lnTo>
                  <a:lnTo>
                    <a:pt x="5058" y="11502"/>
                  </a:lnTo>
                  <a:lnTo>
                    <a:pt x="4980" y="11462"/>
                  </a:lnTo>
                  <a:lnTo>
                    <a:pt x="4920" y="11407"/>
                  </a:lnTo>
                  <a:lnTo>
                    <a:pt x="4875" y="11347"/>
                  </a:lnTo>
                  <a:lnTo>
                    <a:pt x="4848" y="11287"/>
                  </a:lnTo>
                  <a:lnTo>
                    <a:pt x="4828" y="11225"/>
                  </a:lnTo>
                  <a:lnTo>
                    <a:pt x="4828" y="11165"/>
                  </a:lnTo>
                  <a:lnTo>
                    <a:pt x="4838" y="11097"/>
                  </a:lnTo>
                  <a:lnTo>
                    <a:pt x="4870" y="11032"/>
                  </a:lnTo>
                  <a:lnTo>
                    <a:pt x="4910" y="10982"/>
                  </a:lnTo>
                  <a:lnTo>
                    <a:pt x="4965" y="10945"/>
                  </a:lnTo>
                  <a:lnTo>
                    <a:pt x="5030" y="10927"/>
                  </a:lnTo>
                  <a:lnTo>
                    <a:pt x="5098" y="10927"/>
                  </a:lnTo>
                  <a:lnTo>
                    <a:pt x="5148" y="10945"/>
                  </a:lnTo>
                  <a:lnTo>
                    <a:pt x="5190" y="10972"/>
                  </a:lnTo>
                  <a:lnTo>
                    <a:pt x="5203" y="10987"/>
                  </a:lnTo>
                  <a:lnTo>
                    <a:pt x="5208" y="10992"/>
                  </a:lnTo>
                  <a:lnTo>
                    <a:pt x="5218" y="11005"/>
                  </a:lnTo>
                  <a:lnTo>
                    <a:pt x="5225" y="11042"/>
                  </a:lnTo>
                  <a:lnTo>
                    <a:pt x="5223" y="11077"/>
                  </a:lnTo>
                  <a:lnTo>
                    <a:pt x="5218" y="11082"/>
                  </a:lnTo>
                  <a:lnTo>
                    <a:pt x="5203" y="11070"/>
                  </a:lnTo>
                  <a:lnTo>
                    <a:pt x="5198" y="11042"/>
                  </a:lnTo>
                  <a:lnTo>
                    <a:pt x="5198" y="11075"/>
                  </a:lnTo>
                  <a:lnTo>
                    <a:pt x="5213" y="11092"/>
                  </a:lnTo>
                  <a:lnTo>
                    <a:pt x="5225" y="11097"/>
                  </a:lnTo>
                  <a:close/>
                </a:path>
              </a:pathLst>
            </a:custGeom>
            <a:solidFill>
              <a:srgbClr val="EBC67B"/>
            </a:solidFill>
            <a:ln w="9525">
              <a:noFill/>
              <a:round/>
              <a:headEnd/>
              <a:tailEnd/>
            </a:ln>
          </xdr:spPr>
        </xdr:sp>
      </xdr:grpSp>
      <xdr:sp macro="" textlink="">
        <xdr:nvSpPr>
          <xdr:cNvPr id="8209" name="Freeform 17"/>
          <xdr:cNvSpPr>
            <a:spLocks/>
          </xdr:cNvSpPr>
        </xdr:nvSpPr>
        <xdr:spPr bwMode="auto">
          <a:xfrm>
            <a:off x="4670" y="3323"/>
            <a:ext cx="6499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6499" y="0"/>
              </a:cxn>
            </a:cxnLst>
            <a:rect l="0" t="0" r="r" b="b"/>
            <a:pathLst>
              <a:path w="6499">
                <a:moveTo>
                  <a:pt x="0" y="0"/>
                </a:moveTo>
                <a:lnTo>
                  <a:pt x="6499" y="0"/>
                </a:lnTo>
              </a:path>
            </a:pathLst>
          </a:custGeom>
          <a:noFill/>
          <a:ln w="20320">
            <a:solidFill>
              <a:srgbClr val="DCDDDD"/>
            </a:solidFill>
            <a:round/>
            <a:headEnd/>
            <a:tailEnd/>
          </a:ln>
        </xdr:spPr>
      </xdr:sp>
      <xdr:sp macro="" textlink="">
        <xdr:nvSpPr>
          <xdr:cNvPr id="8208" name="Freeform 16"/>
          <xdr:cNvSpPr>
            <a:spLocks/>
          </xdr:cNvSpPr>
        </xdr:nvSpPr>
        <xdr:spPr bwMode="auto">
          <a:xfrm>
            <a:off x="4670" y="3375"/>
            <a:ext cx="6499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6499" y="0"/>
              </a:cxn>
            </a:cxnLst>
            <a:rect l="0" t="0" r="r" b="b"/>
            <a:pathLst>
              <a:path w="6499">
                <a:moveTo>
                  <a:pt x="0" y="0"/>
                </a:moveTo>
                <a:lnTo>
                  <a:pt x="6499" y="0"/>
                </a:lnTo>
              </a:path>
            </a:pathLst>
          </a:custGeom>
          <a:noFill/>
          <a:ln w="10414">
            <a:solidFill>
              <a:srgbClr val="DCDDDD"/>
            </a:solidFill>
            <a:round/>
            <a:headEnd/>
            <a:tailEnd/>
          </a:ln>
        </xdr:spPr>
      </xdr:sp>
      <xdr:sp macro="" textlink="">
        <xdr:nvSpPr>
          <xdr:cNvPr id="8207" name="Freeform 15"/>
          <xdr:cNvSpPr>
            <a:spLocks/>
          </xdr:cNvSpPr>
        </xdr:nvSpPr>
        <xdr:spPr bwMode="auto">
          <a:xfrm>
            <a:off x="4656" y="4764"/>
            <a:ext cx="6513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6513" y="0"/>
              </a:cxn>
            </a:cxnLst>
            <a:rect l="0" t="0" r="r" b="b"/>
            <a:pathLst>
              <a:path w="6513">
                <a:moveTo>
                  <a:pt x="0" y="0"/>
                </a:moveTo>
                <a:lnTo>
                  <a:pt x="6513" y="0"/>
                </a:lnTo>
              </a:path>
            </a:pathLst>
          </a:custGeom>
          <a:noFill/>
          <a:ln w="20320">
            <a:solidFill>
              <a:srgbClr val="DCDDDD"/>
            </a:solidFill>
            <a:round/>
            <a:headEnd/>
            <a:tailEnd/>
          </a:ln>
        </xdr:spPr>
      </xdr:sp>
      <xdr:sp macro="" textlink="">
        <xdr:nvSpPr>
          <xdr:cNvPr id="8206" name="Freeform 14"/>
          <xdr:cNvSpPr>
            <a:spLocks/>
          </xdr:cNvSpPr>
        </xdr:nvSpPr>
        <xdr:spPr bwMode="auto">
          <a:xfrm>
            <a:off x="4656" y="4712"/>
            <a:ext cx="6513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6513" y="0"/>
              </a:cxn>
            </a:cxnLst>
            <a:rect l="0" t="0" r="r" b="b"/>
            <a:pathLst>
              <a:path w="6513">
                <a:moveTo>
                  <a:pt x="0" y="0"/>
                </a:moveTo>
                <a:lnTo>
                  <a:pt x="6513" y="0"/>
                </a:lnTo>
              </a:path>
            </a:pathLst>
          </a:custGeom>
          <a:noFill/>
          <a:ln w="10414">
            <a:solidFill>
              <a:srgbClr val="DCDDDD"/>
            </a:solidFill>
            <a:round/>
            <a:headEnd/>
            <a:tailEnd/>
          </a:ln>
        </xdr:spPr>
      </xdr:sp>
      <xdr:sp macro="" textlink="">
        <xdr:nvSpPr>
          <xdr:cNvPr id="8205" name="Freeform 13"/>
          <xdr:cNvSpPr>
            <a:spLocks/>
          </xdr:cNvSpPr>
        </xdr:nvSpPr>
        <xdr:spPr bwMode="auto">
          <a:xfrm>
            <a:off x="4838" y="9415"/>
            <a:ext cx="6210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6210" y="0"/>
              </a:cxn>
            </a:cxnLst>
            <a:rect l="0" t="0" r="r" b="b"/>
            <a:pathLst>
              <a:path w="6210">
                <a:moveTo>
                  <a:pt x="0" y="0"/>
                </a:moveTo>
                <a:lnTo>
                  <a:pt x="6210" y="0"/>
                </a:lnTo>
              </a:path>
            </a:pathLst>
          </a:custGeom>
          <a:noFill/>
          <a:ln w="20320">
            <a:solidFill>
              <a:srgbClr val="DCDDDD"/>
            </a:solidFill>
            <a:round/>
            <a:headEnd/>
            <a:tailEnd/>
          </a:ln>
        </xdr:spPr>
      </xdr:sp>
      <xdr:sp macro="" textlink="">
        <xdr:nvSpPr>
          <xdr:cNvPr id="8204" name="Freeform 12"/>
          <xdr:cNvSpPr>
            <a:spLocks/>
          </xdr:cNvSpPr>
        </xdr:nvSpPr>
        <xdr:spPr bwMode="auto">
          <a:xfrm>
            <a:off x="4838" y="9468"/>
            <a:ext cx="6210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6210" y="0"/>
              </a:cxn>
            </a:cxnLst>
            <a:rect l="0" t="0" r="r" b="b"/>
            <a:pathLst>
              <a:path w="6210">
                <a:moveTo>
                  <a:pt x="0" y="0"/>
                </a:moveTo>
                <a:lnTo>
                  <a:pt x="6210" y="0"/>
                </a:lnTo>
              </a:path>
            </a:pathLst>
          </a:custGeom>
          <a:noFill/>
          <a:ln w="10413">
            <a:solidFill>
              <a:srgbClr val="DCDDDD"/>
            </a:solidFill>
            <a:round/>
            <a:headEnd/>
            <a:tailEnd/>
          </a:ln>
        </xdr:spPr>
      </xdr:sp>
      <xdr:sp macro="" textlink="">
        <xdr:nvSpPr>
          <xdr:cNvPr id="8203" name="Rectangle 11"/>
          <xdr:cNvSpPr>
            <a:spLocks noChangeArrowheads="1"/>
          </xdr:cNvSpPr>
        </xdr:nvSpPr>
        <xdr:spPr bwMode="auto">
          <a:xfrm>
            <a:off x="4942" y="7235"/>
            <a:ext cx="4520" cy="21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sp macro="" textlink="">
        <xdr:nvSpPr>
          <xdr:cNvPr id="8202" name="Rectangle 10"/>
          <xdr:cNvSpPr>
            <a:spLocks noChangeArrowheads="1"/>
          </xdr:cNvSpPr>
        </xdr:nvSpPr>
        <xdr:spPr bwMode="auto">
          <a:xfrm>
            <a:off x="11686" y="7742"/>
            <a:ext cx="2480" cy="16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sp macro="" textlink="">
        <xdr:nvSpPr>
          <xdr:cNvPr id="8201" name="Rectangle 9"/>
          <xdr:cNvSpPr>
            <a:spLocks noChangeArrowheads="1"/>
          </xdr:cNvSpPr>
        </xdr:nvSpPr>
        <xdr:spPr bwMode="auto">
          <a:xfrm>
            <a:off x="1460" y="7828"/>
            <a:ext cx="360" cy="228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sp macro="" textlink="">
        <xdr:nvSpPr>
          <xdr:cNvPr id="8200" name="Rectangle 8"/>
          <xdr:cNvSpPr>
            <a:spLocks noChangeArrowheads="1"/>
          </xdr:cNvSpPr>
        </xdr:nvSpPr>
        <xdr:spPr bwMode="auto">
          <a:xfrm>
            <a:off x="1450" y="7050"/>
            <a:ext cx="3000" cy="3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sp macro="" textlink="">
        <xdr:nvSpPr>
          <xdr:cNvPr id="8199" name="Freeform 7"/>
          <xdr:cNvSpPr>
            <a:spLocks/>
          </xdr:cNvSpPr>
        </xdr:nvSpPr>
        <xdr:spPr bwMode="auto">
          <a:xfrm>
            <a:off x="1449" y="7050"/>
            <a:ext cx="3009" cy="3009"/>
          </a:xfrm>
          <a:custGeom>
            <a:avLst/>
            <a:gdLst/>
            <a:ahLst/>
            <a:cxnLst>
              <a:cxn ang="0">
                <a:pos x="2961" y="1635"/>
              </a:cxn>
              <a:cxn ang="0">
                <a:pos x="3003" y="1470"/>
              </a:cxn>
              <a:cxn ang="0">
                <a:pos x="2914" y="1308"/>
              </a:cxn>
              <a:cxn ang="0">
                <a:pos x="2884" y="1149"/>
              </a:cxn>
              <a:cxn ang="0">
                <a:pos x="2903" y="984"/>
              </a:cxn>
              <a:cxn ang="0">
                <a:pos x="2827" y="851"/>
              </a:cxn>
              <a:cxn ang="0">
                <a:pos x="2682" y="738"/>
              </a:cxn>
              <a:cxn ang="0">
                <a:pos x="2626" y="577"/>
              </a:cxn>
              <a:cxn ang="0">
                <a:pos x="2559" y="435"/>
              </a:cxn>
              <a:cxn ang="0">
                <a:pos x="2390" y="376"/>
              </a:cxn>
              <a:cxn ang="0">
                <a:pos x="2243" y="301"/>
              </a:cxn>
              <a:cxn ang="0">
                <a:pos x="2132" y="152"/>
              </a:cxn>
              <a:cxn ang="0">
                <a:pos x="1988" y="113"/>
              </a:cxn>
              <a:cxn ang="0">
                <a:pos x="1814" y="137"/>
              </a:cxn>
              <a:cxn ang="0">
                <a:pos x="1656" y="68"/>
              </a:cxn>
              <a:cxn ang="0">
                <a:pos x="1511" y="0"/>
              </a:cxn>
              <a:cxn ang="0">
                <a:pos x="1344" y="75"/>
              </a:cxn>
              <a:cxn ang="0">
                <a:pos x="1192" y="137"/>
              </a:cxn>
              <a:cxn ang="0">
                <a:pos x="1017" y="112"/>
              </a:cxn>
              <a:cxn ang="0">
                <a:pos x="866" y="163"/>
              </a:cxn>
              <a:cxn ang="0">
                <a:pos x="759" y="318"/>
              </a:cxn>
              <a:cxn ang="0">
                <a:pos x="597" y="381"/>
              </a:cxn>
              <a:cxn ang="0">
                <a:pos x="449" y="449"/>
              </a:cxn>
              <a:cxn ang="0">
                <a:pos x="380" y="602"/>
              </a:cxn>
              <a:cxn ang="0">
                <a:pos x="316" y="761"/>
              </a:cxn>
              <a:cxn ang="0">
                <a:pos x="161" y="868"/>
              </a:cxn>
              <a:cxn ang="0">
                <a:pos x="105" y="1013"/>
              </a:cxn>
              <a:cxn ang="0">
                <a:pos x="135" y="1184"/>
              </a:cxn>
              <a:cxn ang="0">
                <a:pos x="86" y="1328"/>
              </a:cxn>
              <a:cxn ang="0">
                <a:pos x="1" y="1490"/>
              </a:cxn>
              <a:cxn ang="0">
                <a:pos x="49" y="1637"/>
              </a:cxn>
              <a:cxn ang="0">
                <a:pos x="134" y="1781"/>
              </a:cxn>
              <a:cxn ang="0">
                <a:pos x="112" y="1946"/>
              </a:cxn>
              <a:cxn ang="0">
                <a:pos x="126" y="2097"/>
              </a:cxn>
              <a:cxn ang="0">
                <a:pos x="261" y="2219"/>
              </a:cxn>
              <a:cxn ang="0">
                <a:pos x="364" y="2338"/>
              </a:cxn>
              <a:cxn ang="0">
                <a:pos x="408" y="2513"/>
              </a:cxn>
              <a:cxn ang="0">
                <a:pos x="525" y="2614"/>
              </a:cxn>
              <a:cxn ang="0">
                <a:pos x="702" y="2662"/>
              </a:cxn>
              <a:cxn ang="0">
                <a:pos x="820" y="2784"/>
              </a:cxn>
              <a:cxn ang="0">
                <a:pos x="944" y="2908"/>
              </a:cxn>
              <a:cxn ang="0">
                <a:pos x="1112" y="2889"/>
              </a:cxn>
              <a:cxn ang="0">
                <a:pos x="1262" y="2899"/>
              </a:cxn>
              <a:cxn ang="0">
                <a:pos x="1425" y="2987"/>
              </a:cxn>
              <a:cxn ang="0">
                <a:pos x="1585" y="2989"/>
              </a:cxn>
              <a:cxn ang="0">
                <a:pos x="1749" y="2897"/>
              </a:cxn>
              <a:cxn ang="0">
                <a:pos x="1908" y="2891"/>
              </a:cxn>
              <a:cxn ang="0">
                <a:pos x="2073" y="2906"/>
              </a:cxn>
              <a:cxn ang="0">
                <a:pos x="2189" y="2786"/>
              </a:cxn>
              <a:cxn ang="0">
                <a:pos x="2305" y="2669"/>
              </a:cxn>
              <a:cxn ang="0">
                <a:pos x="2474" y="2617"/>
              </a:cxn>
              <a:cxn ang="0">
                <a:pos x="2601" y="2526"/>
              </a:cxn>
              <a:cxn ang="0">
                <a:pos x="2647" y="2352"/>
              </a:cxn>
              <a:cxn ang="0">
                <a:pos x="2748" y="2222"/>
              </a:cxn>
              <a:cxn ang="0">
                <a:pos x="2883" y="2095"/>
              </a:cxn>
              <a:cxn ang="0">
                <a:pos x="2896" y="1938"/>
              </a:cxn>
              <a:cxn ang="0">
                <a:pos x="2889" y="1781"/>
              </a:cxn>
            </a:cxnLst>
            <a:rect l="0" t="0" r="r" b="b"/>
            <a:pathLst>
              <a:path w="3009" h="3009">
                <a:moveTo>
                  <a:pt x="2889" y="1781"/>
                </a:moveTo>
                <a:lnTo>
                  <a:pt x="2893" y="1763"/>
                </a:lnTo>
                <a:lnTo>
                  <a:pt x="2899" y="1744"/>
                </a:lnTo>
                <a:lnTo>
                  <a:pt x="2907" y="1726"/>
                </a:lnTo>
                <a:lnTo>
                  <a:pt x="2917" y="1708"/>
                </a:lnTo>
                <a:lnTo>
                  <a:pt x="2927" y="1690"/>
                </a:lnTo>
                <a:lnTo>
                  <a:pt x="2939" y="1671"/>
                </a:lnTo>
                <a:lnTo>
                  <a:pt x="2950" y="1653"/>
                </a:lnTo>
                <a:lnTo>
                  <a:pt x="2961" y="1635"/>
                </a:lnTo>
                <a:lnTo>
                  <a:pt x="2972" y="1616"/>
                </a:lnTo>
                <a:lnTo>
                  <a:pt x="2982" y="1598"/>
                </a:lnTo>
                <a:lnTo>
                  <a:pt x="2991" y="1580"/>
                </a:lnTo>
                <a:lnTo>
                  <a:pt x="2999" y="1562"/>
                </a:lnTo>
                <a:lnTo>
                  <a:pt x="3004" y="1543"/>
                </a:lnTo>
                <a:lnTo>
                  <a:pt x="3008" y="1525"/>
                </a:lnTo>
                <a:lnTo>
                  <a:pt x="3009" y="1511"/>
                </a:lnTo>
                <a:lnTo>
                  <a:pt x="3007" y="1491"/>
                </a:lnTo>
                <a:lnTo>
                  <a:pt x="3003" y="1470"/>
                </a:lnTo>
                <a:lnTo>
                  <a:pt x="2997" y="1451"/>
                </a:lnTo>
                <a:lnTo>
                  <a:pt x="2989" y="1432"/>
                </a:lnTo>
                <a:lnTo>
                  <a:pt x="2980" y="1413"/>
                </a:lnTo>
                <a:lnTo>
                  <a:pt x="2970" y="1395"/>
                </a:lnTo>
                <a:lnTo>
                  <a:pt x="2958" y="1378"/>
                </a:lnTo>
                <a:lnTo>
                  <a:pt x="2947" y="1360"/>
                </a:lnTo>
                <a:lnTo>
                  <a:pt x="2936" y="1343"/>
                </a:lnTo>
                <a:lnTo>
                  <a:pt x="2925" y="1326"/>
                </a:lnTo>
                <a:lnTo>
                  <a:pt x="2914" y="1308"/>
                </a:lnTo>
                <a:lnTo>
                  <a:pt x="2905" y="1291"/>
                </a:lnTo>
                <a:lnTo>
                  <a:pt x="2898" y="1273"/>
                </a:lnTo>
                <a:lnTo>
                  <a:pt x="2892" y="1256"/>
                </a:lnTo>
                <a:lnTo>
                  <a:pt x="2889" y="1242"/>
                </a:lnTo>
                <a:lnTo>
                  <a:pt x="2885" y="1224"/>
                </a:lnTo>
                <a:lnTo>
                  <a:pt x="2882" y="1205"/>
                </a:lnTo>
                <a:lnTo>
                  <a:pt x="2881" y="1187"/>
                </a:lnTo>
                <a:lnTo>
                  <a:pt x="2882" y="1168"/>
                </a:lnTo>
                <a:lnTo>
                  <a:pt x="2884" y="1149"/>
                </a:lnTo>
                <a:lnTo>
                  <a:pt x="2886" y="1130"/>
                </a:lnTo>
                <a:lnTo>
                  <a:pt x="2889" y="1111"/>
                </a:lnTo>
                <a:lnTo>
                  <a:pt x="2892" y="1092"/>
                </a:lnTo>
                <a:lnTo>
                  <a:pt x="2895" y="1074"/>
                </a:lnTo>
                <a:lnTo>
                  <a:pt x="2898" y="1055"/>
                </a:lnTo>
                <a:lnTo>
                  <a:pt x="2901" y="1037"/>
                </a:lnTo>
                <a:lnTo>
                  <a:pt x="2903" y="1019"/>
                </a:lnTo>
                <a:lnTo>
                  <a:pt x="2903" y="1001"/>
                </a:lnTo>
                <a:lnTo>
                  <a:pt x="2903" y="984"/>
                </a:lnTo>
                <a:lnTo>
                  <a:pt x="2901" y="967"/>
                </a:lnTo>
                <a:lnTo>
                  <a:pt x="2897" y="950"/>
                </a:lnTo>
                <a:lnTo>
                  <a:pt x="2892" y="934"/>
                </a:lnTo>
                <a:lnTo>
                  <a:pt x="2889" y="928"/>
                </a:lnTo>
                <a:lnTo>
                  <a:pt x="2881" y="910"/>
                </a:lnTo>
                <a:lnTo>
                  <a:pt x="2871" y="893"/>
                </a:lnTo>
                <a:lnTo>
                  <a:pt x="2858" y="878"/>
                </a:lnTo>
                <a:lnTo>
                  <a:pt x="2843" y="864"/>
                </a:lnTo>
                <a:lnTo>
                  <a:pt x="2827" y="851"/>
                </a:lnTo>
                <a:lnTo>
                  <a:pt x="2810" y="838"/>
                </a:lnTo>
                <a:lnTo>
                  <a:pt x="2792" y="826"/>
                </a:lnTo>
                <a:lnTo>
                  <a:pt x="2774" y="815"/>
                </a:lnTo>
                <a:lnTo>
                  <a:pt x="2756" y="803"/>
                </a:lnTo>
                <a:lnTo>
                  <a:pt x="2739" y="791"/>
                </a:lnTo>
                <a:lnTo>
                  <a:pt x="2722" y="779"/>
                </a:lnTo>
                <a:lnTo>
                  <a:pt x="2707" y="766"/>
                </a:lnTo>
                <a:lnTo>
                  <a:pt x="2693" y="752"/>
                </a:lnTo>
                <a:lnTo>
                  <a:pt x="2682" y="738"/>
                </a:lnTo>
                <a:lnTo>
                  <a:pt x="2679" y="733"/>
                </a:lnTo>
                <a:lnTo>
                  <a:pt x="2669" y="715"/>
                </a:lnTo>
                <a:lnTo>
                  <a:pt x="2660" y="697"/>
                </a:lnTo>
                <a:lnTo>
                  <a:pt x="2652" y="678"/>
                </a:lnTo>
                <a:lnTo>
                  <a:pt x="2646" y="658"/>
                </a:lnTo>
                <a:lnTo>
                  <a:pt x="2640" y="638"/>
                </a:lnTo>
                <a:lnTo>
                  <a:pt x="2635" y="617"/>
                </a:lnTo>
                <a:lnTo>
                  <a:pt x="2631" y="597"/>
                </a:lnTo>
                <a:lnTo>
                  <a:pt x="2626" y="577"/>
                </a:lnTo>
                <a:lnTo>
                  <a:pt x="2622" y="557"/>
                </a:lnTo>
                <a:lnTo>
                  <a:pt x="2617" y="538"/>
                </a:lnTo>
                <a:lnTo>
                  <a:pt x="2612" y="520"/>
                </a:lnTo>
                <a:lnTo>
                  <a:pt x="2606" y="502"/>
                </a:lnTo>
                <a:lnTo>
                  <a:pt x="2600" y="486"/>
                </a:lnTo>
                <a:lnTo>
                  <a:pt x="2592" y="471"/>
                </a:lnTo>
                <a:lnTo>
                  <a:pt x="2582" y="457"/>
                </a:lnTo>
                <a:lnTo>
                  <a:pt x="2574" y="449"/>
                </a:lnTo>
                <a:lnTo>
                  <a:pt x="2559" y="435"/>
                </a:lnTo>
                <a:lnTo>
                  <a:pt x="2543" y="424"/>
                </a:lnTo>
                <a:lnTo>
                  <a:pt x="2526" y="415"/>
                </a:lnTo>
                <a:lnTo>
                  <a:pt x="2508" y="406"/>
                </a:lnTo>
                <a:lnTo>
                  <a:pt x="2489" y="400"/>
                </a:lnTo>
                <a:lnTo>
                  <a:pt x="2469" y="394"/>
                </a:lnTo>
                <a:lnTo>
                  <a:pt x="2449" y="389"/>
                </a:lnTo>
                <a:lnTo>
                  <a:pt x="2430" y="384"/>
                </a:lnTo>
                <a:lnTo>
                  <a:pt x="2410" y="380"/>
                </a:lnTo>
                <a:lnTo>
                  <a:pt x="2390" y="376"/>
                </a:lnTo>
                <a:lnTo>
                  <a:pt x="2371" y="372"/>
                </a:lnTo>
                <a:lnTo>
                  <a:pt x="2352" y="368"/>
                </a:lnTo>
                <a:lnTo>
                  <a:pt x="2334" y="363"/>
                </a:lnTo>
                <a:lnTo>
                  <a:pt x="2317" y="357"/>
                </a:lnTo>
                <a:lnTo>
                  <a:pt x="2301" y="350"/>
                </a:lnTo>
                <a:lnTo>
                  <a:pt x="2290" y="344"/>
                </a:lnTo>
                <a:lnTo>
                  <a:pt x="2273" y="331"/>
                </a:lnTo>
                <a:lnTo>
                  <a:pt x="2258" y="317"/>
                </a:lnTo>
                <a:lnTo>
                  <a:pt x="2243" y="301"/>
                </a:lnTo>
                <a:lnTo>
                  <a:pt x="2230" y="285"/>
                </a:lnTo>
                <a:lnTo>
                  <a:pt x="2217" y="268"/>
                </a:lnTo>
                <a:lnTo>
                  <a:pt x="2205" y="250"/>
                </a:lnTo>
                <a:lnTo>
                  <a:pt x="2193" y="232"/>
                </a:lnTo>
                <a:lnTo>
                  <a:pt x="2181" y="215"/>
                </a:lnTo>
                <a:lnTo>
                  <a:pt x="2170" y="198"/>
                </a:lnTo>
                <a:lnTo>
                  <a:pt x="2158" y="181"/>
                </a:lnTo>
                <a:lnTo>
                  <a:pt x="2145" y="166"/>
                </a:lnTo>
                <a:lnTo>
                  <a:pt x="2132" y="152"/>
                </a:lnTo>
                <a:lnTo>
                  <a:pt x="2118" y="140"/>
                </a:lnTo>
                <a:lnTo>
                  <a:pt x="2103" y="130"/>
                </a:lnTo>
                <a:lnTo>
                  <a:pt x="2087" y="122"/>
                </a:lnTo>
                <a:lnTo>
                  <a:pt x="2080" y="119"/>
                </a:lnTo>
                <a:lnTo>
                  <a:pt x="2063" y="115"/>
                </a:lnTo>
                <a:lnTo>
                  <a:pt x="2045" y="112"/>
                </a:lnTo>
                <a:lnTo>
                  <a:pt x="2027" y="111"/>
                </a:lnTo>
                <a:lnTo>
                  <a:pt x="2008" y="111"/>
                </a:lnTo>
                <a:lnTo>
                  <a:pt x="1988" y="113"/>
                </a:lnTo>
                <a:lnTo>
                  <a:pt x="1969" y="115"/>
                </a:lnTo>
                <a:lnTo>
                  <a:pt x="1949" y="118"/>
                </a:lnTo>
                <a:lnTo>
                  <a:pt x="1929" y="121"/>
                </a:lnTo>
                <a:lnTo>
                  <a:pt x="1909" y="125"/>
                </a:lnTo>
                <a:lnTo>
                  <a:pt x="1890" y="128"/>
                </a:lnTo>
                <a:lnTo>
                  <a:pt x="1870" y="132"/>
                </a:lnTo>
                <a:lnTo>
                  <a:pt x="1851" y="134"/>
                </a:lnTo>
                <a:lnTo>
                  <a:pt x="1832" y="136"/>
                </a:lnTo>
                <a:lnTo>
                  <a:pt x="1814" y="137"/>
                </a:lnTo>
                <a:lnTo>
                  <a:pt x="1796" y="136"/>
                </a:lnTo>
                <a:lnTo>
                  <a:pt x="1781" y="134"/>
                </a:lnTo>
                <a:lnTo>
                  <a:pt x="1763" y="130"/>
                </a:lnTo>
                <a:lnTo>
                  <a:pt x="1745" y="123"/>
                </a:lnTo>
                <a:lnTo>
                  <a:pt x="1727" y="115"/>
                </a:lnTo>
                <a:lnTo>
                  <a:pt x="1709" y="104"/>
                </a:lnTo>
                <a:lnTo>
                  <a:pt x="1691" y="93"/>
                </a:lnTo>
                <a:lnTo>
                  <a:pt x="1674" y="81"/>
                </a:lnTo>
                <a:lnTo>
                  <a:pt x="1656" y="68"/>
                </a:lnTo>
                <a:lnTo>
                  <a:pt x="1638" y="55"/>
                </a:lnTo>
                <a:lnTo>
                  <a:pt x="1620" y="43"/>
                </a:lnTo>
                <a:lnTo>
                  <a:pt x="1602" y="32"/>
                </a:lnTo>
                <a:lnTo>
                  <a:pt x="1584" y="21"/>
                </a:lnTo>
                <a:lnTo>
                  <a:pt x="1566" y="12"/>
                </a:lnTo>
                <a:lnTo>
                  <a:pt x="1548" y="6"/>
                </a:lnTo>
                <a:lnTo>
                  <a:pt x="1530" y="1"/>
                </a:lnTo>
                <a:lnTo>
                  <a:pt x="1513" y="0"/>
                </a:lnTo>
                <a:lnTo>
                  <a:pt x="1511" y="0"/>
                </a:lnTo>
                <a:lnTo>
                  <a:pt x="1492" y="1"/>
                </a:lnTo>
                <a:lnTo>
                  <a:pt x="1472" y="5"/>
                </a:lnTo>
                <a:lnTo>
                  <a:pt x="1453" y="11"/>
                </a:lnTo>
                <a:lnTo>
                  <a:pt x="1434" y="19"/>
                </a:lnTo>
                <a:lnTo>
                  <a:pt x="1416" y="29"/>
                </a:lnTo>
                <a:lnTo>
                  <a:pt x="1397" y="39"/>
                </a:lnTo>
                <a:lnTo>
                  <a:pt x="1379" y="51"/>
                </a:lnTo>
                <a:lnTo>
                  <a:pt x="1361" y="63"/>
                </a:lnTo>
                <a:lnTo>
                  <a:pt x="1344" y="75"/>
                </a:lnTo>
                <a:lnTo>
                  <a:pt x="1326" y="87"/>
                </a:lnTo>
                <a:lnTo>
                  <a:pt x="1309" y="98"/>
                </a:lnTo>
                <a:lnTo>
                  <a:pt x="1291" y="109"/>
                </a:lnTo>
                <a:lnTo>
                  <a:pt x="1274" y="118"/>
                </a:lnTo>
                <a:lnTo>
                  <a:pt x="1257" y="126"/>
                </a:lnTo>
                <a:lnTo>
                  <a:pt x="1240" y="131"/>
                </a:lnTo>
                <a:lnTo>
                  <a:pt x="1227" y="134"/>
                </a:lnTo>
                <a:lnTo>
                  <a:pt x="1210" y="136"/>
                </a:lnTo>
                <a:lnTo>
                  <a:pt x="1192" y="137"/>
                </a:lnTo>
                <a:lnTo>
                  <a:pt x="1173" y="136"/>
                </a:lnTo>
                <a:lnTo>
                  <a:pt x="1154" y="134"/>
                </a:lnTo>
                <a:lnTo>
                  <a:pt x="1135" y="131"/>
                </a:lnTo>
                <a:lnTo>
                  <a:pt x="1116" y="128"/>
                </a:lnTo>
                <a:lnTo>
                  <a:pt x="1096" y="124"/>
                </a:lnTo>
                <a:lnTo>
                  <a:pt x="1076" y="121"/>
                </a:lnTo>
                <a:lnTo>
                  <a:pt x="1056" y="117"/>
                </a:lnTo>
                <a:lnTo>
                  <a:pt x="1036" y="115"/>
                </a:lnTo>
                <a:lnTo>
                  <a:pt x="1017" y="112"/>
                </a:lnTo>
                <a:lnTo>
                  <a:pt x="998" y="111"/>
                </a:lnTo>
                <a:lnTo>
                  <a:pt x="979" y="111"/>
                </a:lnTo>
                <a:lnTo>
                  <a:pt x="960" y="112"/>
                </a:lnTo>
                <a:lnTo>
                  <a:pt x="943" y="115"/>
                </a:lnTo>
                <a:lnTo>
                  <a:pt x="928" y="119"/>
                </a:lnTo>
                <a:lnTo>
                  <a:pt x="910" y="127"/>
                </a:lnTo>
                <a:lnTo>
                  <a:pt x="894" y="137"/>
                </a:lnTo>
                <a:lnTo>
                  <a:pt x="880" y="149"/>
                </a:lnTo>
                <a:lnTo>
                  <a:pt x="866" y="163"/>
                </a:lnTo>
                <a:lnTo>
                  <a:pt x="853" y="178"/>
                </a:lnTo>
                <a:lnTo>
                  <a:pt x="841" y="195"/>
                </a:lnTo>
                <a:lnTo>
                  <a:pt x="830" y="213"/>
                </a:lnTo>
                <a:lnTo>
                  <a:pt x="818" y="231"/>
                </a:lnTo>
                <a:lnTo>
                  <a:pt x="807" y="249"/>
                </a:lnTo>
                <a:lnTo>
                  <a:pt x="796" y="267"/>
                </a:lnTo>
                <a:lnTo>
                  <a:pt x="784" y="285"/>
                </a:lnTo>
                <a:lnTo>
                  <a:pt x="772" y="302"/>
                </a:lnTo>
                <a:lnTo>
                  <a:pt x="759" y="318"/>
                </a:lnTo>
                <a:lnTo>
                  <a:pt x="746" y="333"/>
                </a:lnTo>
                <a:lnTo>
                  <a:pt x="733" y="344"/>
                </a:lnTo>
                <a:lnTo>
                  <a:pt x="715" y="352"/>
                </a:lnTo>
                <a:lnTo>
                  <a:pt x="697" y="358"/>
                </a:lnTo>
                <a:lnTo>
                  <a:pt x="678" y="364"/>
                </a:lnTo>
                <a:lnTo>
                  <a:pt x="658" y="369"/>
                </a:lnTo>
                <a:lnTo>
                  <a:pt x="638" y="373"/>
                </a:lnTo>
                <a:lnTo>
                  <a:pt x="617" y="377"/>
                </a:lnTo>
                <a:lnTo>
                  <a:pt x="597" y="381"/>
                </a:lnTo>
                <a:lnTo>
                  <a:pt x="577" y="386"/>
                </a:lnTo>
                <a:lnTo>
                  <a:pt x="557" y="390"/>
                </a:lnTo>
                <a:lnTo>
                  <a:pt x="538" y="395"/>
                </a:lnTo>
                <a:lnTo>
                  <a:pt x="520" y="401"/>
                </a:lnTo>
                <a:lnTo>
                  <a:pt x="502" y="408"/>
                </a:lnTo>
                <a:lnTo>
                  <a:pt x="486" y="417"/>
                </a:lnTo>
                <a:lnTo>
                  <a:pt x="471" y="427"/>
                </a:lnTo>
                <a:lnTo>
                  <a:pt x="457" y="439"/>
                </a:lnTo>
                <a:lnTo>
                  <a:pt x="449" y="449"/>
                </a:lnTo>
                <a:lnTo>
                  <a:pt x="435" y="461"/>
                </a:lnTo>
                <a:lnTo>
                  <a:pt x="424" y="475"/>
                </a:lnTo>
                <a:lnTo>
                  <a:pt x="415" y="490"/>
                </a:lnTo>
                <a:lnTo>
                  <a:pt x="406" y="507"/>
                </a:lnTo>
                <a:lnTo>
                  <a:pt x="400" y="525"/>
                </a:lnTo>
                <a:lnTo>
                  <a:pt x="394" y="543"/>
                </a:lnTo>
                <a:lnTo>
                  <a:pt x="389" y="562"/>
                </a:lnTo>
                <a:lnTo>
                  <a:pt x="384" y="582"/>
                </a:lnTo>
                <a:lnTo>
                  <a:pt x="380" y="602"/>
                </a:lnTo>
                <a:lnTo>
                  <a:pt x="376" y="623"/>
                </a:lnTo>
                <a:lnTo>
                  <a:pt x="372" y="643"/>
                </a:lnTo>
                <a:lnTo>
                  <a:pt x="368" y="663"/>
                </a:lnTo>
                <a:lnTo>
                  <a:pt x="363" y="683"/>
                </a:lnTo>
                <a:lnTo>
                  <a:pt x="357" y="702"/>
                </a:lnTo>
                <a:lnTo>
                  <a:pt x="350" y="720"/>
                </a:lnTo>
                <a:lnTo>
                  <a:pt x="344" y="733"/>
                </a:lnTo>
                <a:lnTo>
                  <a:pt x="331" y="748"/>
                </a:lnTo>
                <a:lnTo>
                  <a:pt x="316" y="761"/>
                </a:lnTo>
                <a:lnTo>
                  <a:pt x="300" y="774"/>
                </a:lnTo>
                <a:lnTo>
                  <a:pt x="283" y="786"/>
                </a:lnTo>
                <a:lnTo>
                  <a:pt x="265" y="797"/>
                </a:lnTo>
                <a:lnTo>
                  <a:pt x="246" y="809"/>
                </a:lnTo>
                <a:lnTo>
                  <a:pt x="228" y="820"/>
                </a:lnTo>
                <a:lnTo>
                  <a:pt x="210" y="831"/>
                </a:lnTo>
                <a:lnTo>
                  <a:pt x="193" y="843"/>
                </a:lnTo>
                <a:lnTo>
                  <a:pt x="176" y="855"/>
                </a:lnTo>
                <a:lnTo>
                  <a:pt x="161" y="868"/>
                </a:lnTo>
                <a:lnTo>
                  <a:pt x="147" y="882"/>
                </a:lnTo>
                <a:lnTo>
                  <a:pt x="135" y="897"/>
                </a:lnTo>
                <a:lnTo>
                  <a:pt x="125" y="913"/>
                </a:lnTo>
                <a:lnTo>
                  <a:pt x="119" y="928"/>
                </a:lnTo>
                <a:lnTo>
                  <a:pt x="113" y="944"/>
                </a:lnTo>
                <a:lnTo>
                  <a:pt x="108" y="960"/>
                </a:lnTo>
                <a:lnTo>
                  <a:pt x="106" y="977"/>
                </a:lnTo>
                <a:lnTo>
                  <a:pt x="105" y="995"/>
                </a:lnTo>
                <a:lnTo>
                  <a:pt x="105" y="1013"/>
                </a:lnTo>
                <a:lnTo>
                  <a:pt x="107" y="1031"/>
                </a:lnTo>
                <a:lnTo>
                  <a:pt x="110" y="1050"/>
                </a:lnTo>
                <a:lnTo>
                  <a:pt x="113" y="1069"/>
                </a:lnTo>
                <a:lnTo>
                  <a:pt x="117" y="1088"/>
                </a:lnTo>
                <a:lnTo>
                  <a:pt x="121" y="1107"/>
                </a:lnTo>
                <a:lnTo>
                  <a:pt x="125" y="1126"/>
                </a:lnTo>
                <a:lnTo>
                  <a:pt x="129" y="1145"/>
                </a:lnTo>
                <a:lnTo>
                  <a:pt x="132" y="1165"/>
                </a:lnTo>
                <a:lnTo>
                  <a:pt x="135" y="1184"/>
                </a:lnTo>
                <a:lnTo>
                  <a:pt x="136" y="1203"/>
                </a:lnTo>
                <a:lnTo>
                  <a:pt x="136" y="1222"/>
                </a:lnTo>
                <a:lnTo>
                  <a:pt x="134" y="1240"/>
                </a:lnTo>
                <a:lnTo>
                  <a:pt x="134" y="1242"/>
                </a:lnTo>
                <a:lnTo>
                  <a:pt x="127" y="1260"/>
                </a:lnTo>
                <a:lnTo>
                  <a:pt x="119" y="1277"/>
                </a:lnTo>
                <a:lnTo>
                  <a:pt x="109" y="1294"/>
                </a:lnTo>
                <a:lnTo>
                  <a:pt x="98" y="1311"/>
                </a:lnTo>
                <a:lnTo>
                  <a:pt x="86" y="1328"/>
                </a:lnTo>
                <a:lnTo>
                  <a:pt x="74" y="1345"/>
                </a:lnTo>
                <a:lnTo>
                  <a:pt x="62" y="1362"/>
                </a:lnTo>
                <a:lnTo>
                  <a:pt x="50" y="1379"/>
                </a:lnTo>
                <a:lnTo>
                  <a:pt x="39" y="1397"/>
                </a:lnTo>
                <a:lnTo>
                  <a:pt x="28" y="1414"/>
                </a:lnTo>
                <a:lnTo>
                  <a:pt x="19" y="1432"/>
                </a:lnTo>
                <a:lnTo>
                  <a:pt x="11" y="1451"/>
                </a:lnTo>
                <a:lnTo>
                  <a:pt x="5" y="1470"/>
                </a:lnTo>
                <a:lnTo>
                  <a:pt x="1" y="1490"/>
                </a:lnTo>
                <a:lnTo>
                  <a:pt x="0" y="1510"/>
                </a:lnTo>
                <a:lnTo>
                  <a:pt x="0" y="1511"/>
                </a:lnTo>
                <a:lnTo>
                  <a:pt x="1" y="1529"/>
                </a:lnTo>
                <a:lnTo>
                  <a:pt x="5" y="1547"/>
                </a:lnTo>
                <a:lnTo>
                  <a:pt x="11" y="1565"/>
                </a:lnTo>
                <a:lnTo>
                  <a:pt x="18" y="1583"/>
                </a:lnTo>
                <a:lnTo>
                  <a:pt x="28" y="1601"/>
                </a:lnTo>
                <a:lnTo>
                  <a:pt x="38" y="1619"/>
                </a:lnTo>
                <a:lnTo>
                  <a:pt x="49" y="1637"/>
                </a:lnTo>
                <a:lnTo>
                  <a:pt x="61" y="1655"/>
                </a:lnTo>
                <a:lnTo>
                  <a:pt x="73" y="1672"/>
                </a:lnTo>
                <a:lnTo>
                  <a:pt x="85" y="1690"/>
                </a:lnTo>
                <a:lnTo>
                  <a:pt x="97" y="1708"/>
                </a:lnTo>
                <a:lnTo>
                  <a:pt x="108" y="1726"/>
                </a:lnTo>
                <a:lnTo>
                  <a:pt x="118" y="1744"/>
                </a:lnTo>
                <a:lnTo>
                  <a:pt x="127" y="1762"/>
                </a:lnTo>
                <a:lnTo>
                  <a:pt x="134" y="1780"/>
                </a:lnTo>
                <a:lnTo>
                  <a:pt x="134" y="1781"/>
                </a:lnTo>
                <a:lnTo>
                  <a:pt x="136" y="1798"/>
                </a:lnTo>
                <a:lnTo>
                  <a:pt x="136" y="1815"/>
                </a:lnTo>
                <a:lnTo>
                  <a:pt x="135" y="1833"/>
                </a:lnTo>
                <a:lnTo>
                  <a:pt x="132" y="1851"/>
                </a:lnTo>
                <a:lnTo>
                  <a:pt x="129" y="1870"/>
                </a:lnTo>
                <a:lnTo>
                  <a:pt x="125" y="1889"/>
                </a:lnTo>
                <a:lnTo>
                  <a:pt x="121" y="1908"/>
                </a:lnTo>
                <a:lnTo>
                  <a:pt x="116" y="1927"/>
                </a:lnTo>
                <a:lnTo>
                  <a:pt x="112" y="1946"/>
                </a:lnTo>
                <a:lnTo>
                  <a:pt x="109" y="1965"/>
                </a:lnTo>
                <a:lnTo>
                  <a:pt x="106" y="1984"/>
                </a:lnTo>
                <a:lnTo>
                  <a:pt x="105" y="2003"/>
                </a:lnTo>
                <a:lnTo>
                  <a:pt x="105" y="2021"/>
                </a:lnTo>
                <a:lnTo>
                  <a:pt x="107" y="2039"/>
                </a:lnTo>
                <a:lnTo>
                  <a:pt x="110" y="2056"/>
                </a:lnTo>
                <a:lnTo>
                  <a:pt x="116" y="2073"/>
                </a:lnTo>
                <a:lnTo>
                  <a:pt x="119" y="2080"/>
                </a:lnTo>
                <a:lnTo>
                  <a:pt x="126" y="2097"/>
                </a:lnTo>
                <a:lnTo>
                  <a:pt x="136" y="2113"/>
                </a:lnTo>
                <a:lnTo>
                  <a:pt x="147" y="2128"/>
                </a:lnTo>
                <a:lnTo>
                  <a:pt x="161" y="2143"/>
                </a:lnTo>
                <a:lnTo>
                  <a:pt x="176" y="2156"/>
                </a:lnTo>
                <a:lnTo>
                  <a:pt x="192" y="2170"/>
                </a:lnTo>
                <a:lnTo>
                  <a:pt x="208" y="2182"/>
                </a:lnTo>
                <a:lnTo>
                  <a:pt x="226" y="2195"/>
                </a:lnTo>
                <a:lnTo>
                  <a:pt x="244" y="2207"/>
                </a:lnTo>
                <a:lnTo>
                  <a:pt x="261" y="2219"/>
                </a:lnTo>
                <a:lnTo>
                  <a:pt x="279" y="2232"/>
                </a:lnTo>
                <a:lnTo>
                  <a:pt x="296" y="2244"/>
                </a:lnTo>
                <a:lnTo>
                  <a:pt x="312" y="2257"/>
                </a:lnTo>
                <a:lnTo>
                  <a:pt x="326" y="2271"/>
                </a:lnTo>
                <a:lnTo>
                  <a:pt x="340" y="2285"/>
                </a:lnTo>
                <a:lnTo>
                  <a:pt x="344" y="2290"/>
                </a:lnTo>
                <a:lnTo>
                  <a:pt x="352" y="2305"/>
                </a:lnTo>
                <a:lnTo>
                  <a:pt x="358" y="2321"/>
                </a:lnTo>
                <a:lnTo>
                  <a:pt x="364" y="2338"/>
                </a:lnTo>
                <a:lnTo>
                  <a:pt x="369" y="2357"/>
                </a:lnTo>
                <a:lnTo>
                  <a:pt x="373" y="2376"/>
                </a:lnTo>
                <a:lnTo>
                  <a:pt x="377" y="2395"/>
                </a:lnTo>
                <a:lnTo>
                  <a:pt x="381" y="2415"/>
                </a:lnTo>
                <a:lnTo>
                  <a:pt x="386" y="2435"/>
                </a:lnTo>
                <a:lnTo>
                  <a:pt x="390" y="2455"/>
                </a:lnTo>
                <a:lnTo>
                  <a:pt x="395" y="2474"/>
                </a:lnTo>
                <a:lnTo>
                  <a:pt x="401" y="2494"/>
                </a:lnTo>
                <a:lnTo>
                  <a:pt x="408" y="2513"/>
                </a:lnTo>
                <a:lnTo>
                  <a:pt x="417" y="2531"/>
                </a:lnTo>
                <a:lnTo>
                  <a:pt x="427" y="2548"/>
                </a:lnTo>
                <a:lnTo>
                  <a:pt x="439" y="2563"/>
                </a:lnTo>
                <a:lnTo>
                  <a:pt x="449" y="2574"/>
                </a:lnTo>
                <a:lnTo>
                  <a:pt x="461" y="2585"/>
                </a:lnTo>
                <a:lnTo>
                  <a:pt x="475" y="2594"/>
                </a:lnTo>
                <a:lnTo>
                  <a:pt x="490" y="2601"/>
                </a:lnTo>
                <a:lnTo>
                  <a:pt x="507" y="2608"/>
                </a:lnTo>
                <a:lnTo>
                  <a:pt x="525" y="2614"/>
                </a:lnTo>
                <a:lnTo>
                  <a:pt x="543" y="2619"/>
                </a:lnTo>
                <a:lnTo>
                  <a:pt x="562" y="2623"/>
                </a:lnTo>
                <a:lnTo>
                  <a:pt x="582" y="2627"/>
                </a:lnTo>
                <a:lnTo>
                  <a:pt x="602" y="2632"/>
                </a:lnTo>
                <a:lnTo>
                  <a:pt x="623" y="2636"/>
                </a:lnTo>
                <a:lnTo>
                  <a:pt x="643" y="2641"/>
                </a:lnTo>
                <a:lnTo>
                  <a:pt x="663" y="2647"/>
                </a:lnTo>
                <a:lnTo>
                  <a:pt x="683" y="2654"/>
                </a:lnTo>
                <a:lnTo>
                  <a:pt x="702" y="2662"/>
                </a:lnTo>
                <a:lnTo>
                  <a:pt x="720" y="2671"/>
                </a:lnTo>
                <a:lnTo>
                  <a:pt x="733" y="2679"/>
                </a:lnTo>
                <a:lnTo>
                  <a:pt x="748" y="2689"/>
                </a:lnTo>
                <a:lnTo>
                  <a:pt x="761" y="2702"/>
                </a:lnTo>
                <a:lnTo>
                  <a:pt x="774" y="2716"/>
                </a:lnTo>
                <a:lnTo>
                  <a:pt x="786" y="2731"/>
                </a:lnTo>
                <a:lnTo>
                  <a:pt x="797" y="2748"/>
                </a:lnTo>
                <a:lnTo>
                  <a:pt x="809" y="2766"/>
                </a:lnTo>
                <a:lnTo>
                  <a:pt x="820" y="2784"/>
                </a:lnTo>
                <a:lnTo>
                  <a:pt x="831" y="2802"/>
                </a:lnTo>
                <a:lnTo>
                  <a:pt x="843" y="2820"/>
                </a:lnTo>
                <a:lnTo>
                  <a:pt x="855" y="2837"/>
                </a:lnTo>
                <a:lnTo>
                  <a:pt x="868" y="2854"/>
                </a:lnTo>
                <a:lnTo>
                  <a:pt x="882" y="2869"/>
                </a:lnTo>
                <a:lnTo>
                  <a:pt x="897" y="2883"/>
                </a:lnTo>
                <a:lnTo>
                  <a:pt x="913" y="2895"/>
                </a:lnTo>
                <a:lnTo>
                  <a:pt x="928" y="2904"/>
                </a:lnTo>
                <a:lnTo>
                  <a:pt x="944" y="2908"/>
                </a:lnTo>
                <a:lnTo>
                  <a:pt x="962" y="2910"/>
                </a:lnTo>
                <a:lnTo>
                  <a:pt x="980" y="2911"/>
                </a:lnTo>
                <a:lnTo>
                  <a:pt x="998" y="2910"/>
                </a:lnTo>
                <a:lnTo>
                  <a:pt x="1016" y="2908"/>
                </a:lnTo>
                <a:lnTo>
                  <a:pt x="1035" y="2905"/>
                </a:lnTo>
                <a:lnTo>
                  <a:pt x="1054" y="2901"/>
                </a:lnTo>
                <a:lnTo>
                  <a:pt x="1073" y="2897"/>
                </a:lnTo>
                <a:lnTo>
                  <a:pt x="1093" y="2893"/>
                </a:lnTo>
                <a:lnTo>
                  <a:pt x="1112" y="2889"/>
                </a:lnTo>
                <a:lnTo>
                  <a:pt x="1131" y="2886"/>
                </a:lnTo>
                <a:lnTo>
                  <a:pt x="1149" y="2883"/>
                </a:lnTo>
                <a:lnTo>
                  <a:pt x="1168" y="2882"/>
                </a:lnTo>
                <a:lnTo>
                  <a:pt x="1186" y="2882"/>
                </a:lnTo>
                <a:lnTo>
                  <a:pt x="1203" y="2883"/>
                </a:lnTo>
                <a:lnTo>
                  <a:pt x="1220" y="2887"/>
                </a:lnTo>
                <a:lnTo>
                  <a:pt x="1227" y="2889"/>
                </a:lnTo>
                <a:lnTo>
                  <a:pt x="1245" y="2893"/>
                </a:lnTo>
                <a:lnTo>
                  <a:pt x="1262" y="2899"/>
                </a:lnTo>
                <a:lnTo>
                  <a:pt x="1280" y="2906"/>
                </a:lnTo>
                <a:lnTo>
                  <a:pt x="1297" y="2915"/>
                </a:lnTo>
                <a:lnTo>
                  <a:pt x="1315" y="2925"/>
                </a:lnTo>
                <a:lnTo>
                  <a:pt x="1333" y="2935"/>
                </a:lnTo>
                <a:lnTo>
                  <a:pt x="1351" y="2946"/>
                </a:lnTo>
                <a:lnTo>
                  <a:pt x="1369" y="2957"/>
                </a:lnTo>
                <a:lnTo>
                  <a:pt x="1387" y="2968"/>
                </a:lnTo>
                <a:lnTo>
                  <a:pt x="1406" y="2978"/>
                </a:lnTo>
                <a:lnTo>
                  <a:pt x="1425" y="2987"/>
                </a:lnTo>
                <a:lnTo>
                  <a:pt x="1444" y="2995"/>
                </a:lnTo>
                <a:lnTo>
                  <a:pt x="1463" y="3001"/>
                </a:lnTo>
                <a:lnTo>
                  <a:pt x="1483" y="3006"/>
                </a:lnTo>
                <a:lnTo>
                  <a:pt x="1503" y="3008"/>
                </a:lnTo>
                <a:lnTo>
                  <a:pt x="1511" y="3009"/>
                </a:lnTo>
                <a:lnTo>
                  <a:pt x="1530" y="3007"/>
                </a:lnTo>
                <a:lnTo>
                  <a:pt x="1548" y="3003"/>
                </a:lnTo>
                <a:lnTo>
                  <a:pt x="1566" y="2997"/>
                </a:lnTo>
                <a:lnTo>
                  <a:pt x="1585" y="2989"/>
                </a:lnTo>
                <a:lnTo>
                  <a:pt x="1603" y="2980"/>
                </a:lnTo>
                <a:lnTo>
                  <a:pt x="1621" y="2970"/>
                </a:lnTo>
                <a:lnTo>
                  <a:pt x="1639" y="2958"/>
                </a:lnTo>
                <a:lnTo>
                  <a:pt x="1658" y="2947"/>
                </a:lnTo>
                <a:lnTo>
                  <a:pt x="1676" y="2936"/>
                </a:lnTo>
                <a:lnTo>
                  <a:pt x="1694" y="2925"/>
                </a:lnTo>
                <a:lnTo>
                  <a:pt x="1713" y="2914"/>
                </a:lnTo>
                <a:lnTo>
                  <a:pt x="1731" y="2905"/>
                </a:lnTo>
                <a:lnTo>
                  <a:pt x="1749" y="2897"/>
                </a:lnTo>
                <a:lnTo>
                  <a:pt x="1767" y="2892"/>
                </a:lnTo>
                <a:lnTo>
                  <a:pt x="1781" y="2889"/>
                </a:lnTo>
                <a:lnTo>
                  <a:pt x="1798" y="2884"/>
                </a:lnTo>
                <a:lnTo>
                  <a:pt x="1815" y="2882"/>
                </a:lnTo>
                <a:lnTo>
                  <a:pt x="1833" y="2882"/>
                </a:lnTo>
                <a:lnTo>
                  <a:pt x="1851" y="2882"/>
                </a:lnTo>
                <a:lnTo>
                  <a:pt x="1870" y="2885"/>
                </a:lnTo>
                <a:lnTo>
                  <a:pt x="1889" y="2888"/>
                </a:lnTo>
                <a:lnTo>
                  <a:pt x="1908" y="2891"/>
                </a:lnTo>
                <a:lnTo>
                  <a:pt x="1927" y="2895"/>
                </a:lnTo>
                <a:lnTo>
                  <a:pt x="1946" y="2899"/>
                </a:lnTo>
                <a:lnTo>
                  <a:pt x="1965" y="2903"/>
                </a:lnTo>
                <a:lnTo>
                  <a:pt x="1984" y="2907"/>
                </a:lnTo>
                <a:lnTo>
                  <a:pt x="2003" y="2909"/>
                </a:lnTo>
                <a:lnTo>
                  <a:pt x="2021" y="2911"/>
                </a:lnTo>
                <a:lnTo>
                  <a:pt x="2039" y="2911"/>
                </a:lnTo>
                <a:lnTo>
                  <a:pt x="2056" y="2909"/>
                </a:lnTo>
                <a:lnTo>
                  <a:pt x="2073" y="2906"/>
                </a:lnTo>
                <a:lnTo>
                  <a:pt x="2080" y="2904"/>
                </a:lnTo>
                <a:lnTo>
                  <a:pt x="2097" y="2894"/>
                </a:lnTo>
                <a:lnTo>
                  <a:pt x="2113" y="2882"/>
                </a:lnTo>
                <a:lnTo>
                  <a:pt x="2127" y="2868"/>
                </a:lnTo>
                <a:lnTo>
                  <a:pt x="2140" y="2854"/>
                </a:lnTo>
                <a:lnTo>
                  <a:pt x="2153" y="2837"/>
                </a:lnTo>
                <a:lnTo>
                  <a:pt x="2165" y="2821"/>
                </a:lnTo>
                <a:lnTo>
                  <a:pt x="2177" y="2803"/>
                </a:lnTo>
                <a:lnTo>
                  <a:pt x="2189" y="2786"/>
                </a:lnTo>
                <a:lnTo>
                  <a:pt x="2201" y="2768"/>
                </a:lnTo>
                <a:lnTo>
                  <a:pt x="2213" y="2751"/>
                </a:lnTo>
                <a:lnTo>
                  <a:pt x="2225" y="2735"/>
                </a:lnTo>
                <a:lnTo>
                  <a:pt x="2238" y="2720"/>
                </a:lnTo>
                <a:lnTo>
                  <a:pt x="2252" y="2706"/>
                </a:lnTo>
                <a:lnTo>
                  <a:pt x="2267" y="2693"/>
                </a:lnTo>
                <a:lnTo>
                  <a:pt x="2284" y="2682"/>
                </a:lnTo>
                <a:lnTo>
                  <a:pt x="2290" y="2679"/>
                </a:lnTo>
                <a:lnTo>
                  <a:pt x="2305" y="2669"/>
                </a:lnTo>
                <a:lnTo>
                  <a:pt x="2321" y="2660"/>
                </a:lnTo>
                <a:lnTo>
                  <a:pt x="2338" y="2652"/>
                </a:lnTo>
                <a:lnTo>
                  <a:pt x="2357" y="2646"/>
                </a:lnTo>
                <a:lnTo>
                  <a:pt x="2376" y="2640"/>
                </a:lnTo>
                <a:lnTo>
                  <a:pt x="2395" y="2635"/>
                </a:lnTo>
                <a:lnTo>
                  <a:pt x="2415" y="2630"/>
                </a:lnTo>
                <a:lnTo>
                  <a:pt x="2435" y="2626"/>
                </a:lnTo>
                <a:lnTo>
                  <a:pt x="2455" y="2622"/>
                </a:lnTo>
                <a:lnTo>
                  <a:pt x="2474" y="2617"/>
                </a:lnTo>
                <a:lnTo>
                  <a:pt x="2494" y="2612"/>
                </a:lnTo>
                <a:lnTo>
                  <a:pt x="2513" y="2606"/>
                </a:lnTo>
                <a:lnTo>
                  <a:pt x="2531" y="2600"/>
                </a:lnTo>
                <a:lnTo>
                  <a:pt x="2548" y="2592"/>
                </a:lnTo>
                <a:lnTo>
                  <a:pt x="2563" y="2582"/>
                </a:lnTo>
                <a:lnTo>
                  <a:pt x="2574" y="2574"/>
                </a:lnTo>
                <a:lnTo>
                  <a:pt x="2585" y="2559"/>
                </a:lnTo>
                <a:lnTo>
                  <a:pt x="2594" y="2543"/>
                </a:lnTo>
                <a:lnTo>
                  <a:pt x="2601" y="2526"/>
                </a:lnTo>
                <a:lnTo>
                  <a:pt x="2608" y="2508"/>
                </a:lnTo>
                <a:lnTo>
                  <a:pt x="2614" y="2489"/>
                </a:lnTo>
                <a:lnTo>
                  <a:pt x="2619" y="2469"/>
                </a:lnTo>
                <a:lnTo>
                  <a:pt x="2623" y="2449"/>
                </a:lnTo>
                <a:lnTo>
                  <a:pt x="2627" y="2430"/>
                </a:lnTo>
                <a:lnTo>
                  <a:pt x="2632" y="2410"/>
                </a:lnTo>
                <a:lnTo>
                  <a:pt x="2636" y="2390"/>
                </a:lnTo>
                <a:lnTo>
                  <a:pt x="2641" y="2371"/>
                </a:lnTo>
                <a:lnTo>
                  <a:pt x="2647" y="2352"/>
                </a:lnTo>
                <a:lnTo>
                  <a:pt x="2654" y="2334"/>
                </a:lnTo>
                <a:lnTo>
                  <a:pt x="2662" y="2317"/>
                </a:lnTo>
                <a:lnTo>
                  <a:pt x="2671" y="2301"/>
                </a:lnTo>
                <a:lnTo>
                  <a:pt x="2679" y="2290"/>
                </a:lnTo>
                <a:lnTo>
                  <a:pt x="2689" y="2275"/>
                </a:lnTo>
                <a:lnTo>
                  <a:pt x="2702" y="2261"/>
                </a:lnTo>
                <a:lnTo>
                  <a:pt x="2716" y="2248"/>
                </a:lnTo>
                <a:lnTo>
                  <a:pt x="2731" y="2234"/>
                </a:lnTo>
                <a:lnTo>
                  <a:pt x="2748" y="2222"/>
                </a:lnTo>
                <a:lnTo>
                  <a:pt x="2765" y="2209"/>
                </a:lnTo>
                <a:lnTo>
                  <a:pt x="2782" y="2196"/>
                </a:lnTo>
                <a:lnTo>
                  <a:pt x="2800" y="2183"/>
                </a:lnTo>
                <a:lnTo>
                  <a:pt x="2817" y="2170"/>
                </a:lnTo>
                <a:lnTo>
                  <a:pt x="2833" y="2156"/>
                </a:lnTo>
                <a:lnTo>
                  <a:pt x="2848" y="2142"/>
                </a:lnTo>
                <a:lnTo>
                  <a:pt x="2862" y="2127"/>
                </a:lnTo>
                <a:lnTo>
                  <a:pt x="2873" y="2112"/>
                </a:lnTo>
                <a:lnTo>
                  <a:pt x="2883" y="2095"/>
                </a:lnTo>
                <a:lnTo>
                  <a:pt x="2889" y="2080"/>
                </a:lnTo>
                <a:lnTo>
                  <a:pt x="2896" y="2064"/>
                </a:lnTo>
                <a:lnTo>
                  <a:pt x="2900" y="2047"/>
                </a:lnTo>
                <a:lnTo>
                  <a:pt x="2903" y="2030"/>
                </a:lnTo>
                <a:lnTo>
                  <a:pt x="2903" y="2012"/>
                </a:lnTo>
                <a:lnTo>
                  <a:pt x="2903" y="1993"/>
                </a:lnTo>
                <a:lnTo>
                  <a:pt x="2901" y="1975"/>
                </a:lnTo>
                <a:lnTo>
                  <a:pt x="2899" y="1956"/>
                </a:lnTo>
                <a:lnTo>
                  <a:pt x="2896" y="1938"/>
                </a:lnTo>
                <a:lnTo>
                  <a:pt x="2892" y="1919"/>
                </a:lnTo>
                <a:lnTo>
                  <a:pt x="2889" y="1900"/>
                </a:lnTo>
                <a:lnTo>
                  <a:pt x="2886" y="1881"/>
                </a:lnTo>
                <a:lnTo>
                  <a:pt x="2883" y="1863"/>
                </a:lnTo>
                <a:lnTo>
                  <a:pt x="2882" y="1845"/>
                </a:lnTo>
                <a:lnTo>
                  <a:pt x="2881" y="1827"/>
                </a:lnTo>
                <a:lnTo>
                  <a:pt x="2883" y="1810"/>
                </a:lnTo>
                <a:lnTo>
                  <a:pt x="2885" y="1793"/>
                </a:lnTo>
                <a:lnTo>
                  <a:pt x="2889" y="1781"/>
                </a:lnTo>
                <a:close/>
              </a:path>
            </a:pathLst>
          </a:custGeom>
          <a:noFill/>
          <a:ln>
            <a:solidFill>
              <a:schemeClr val="tx2">
                <a:lumMod val="7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8198" name="Freeform 6"/>
          <xdr:cNvSpPr>
            <a:spLocks/>
          </xdr:cNvSpPr>
        </xdr:nvSpPr>
        <xdr:spPr bwMode="auto">
          <a:xfrm>
            <a:off x="1704" y="7304"/>
            <a:ext cx="2500" cy="2500"/>
          </a:xfrm>
          <a:custGeom>
            <a:avLst/>
            <a:gdLst/>
            <a:ahLst/>
            <a:cxnLst>
              <a:cxn ang="0">
                <a:pos x="1155" y="2495"/>
              </a:cxn>
              <a:cxn ang="0">
                <a:pos x="957" y="2464"/>
              </a:cxn>
              <a:cxn ang="0">
                <a:pos x="770" y="2402"/>
              </a:cxn>
              <a:cxn ang="0">
                <a:pos x="597" y="2314"/>
              </a:cxn>
              <a:cxn ang="0">
                <a:pos x="441" y="2201"/>
              </a:cxn>
              <a:cxn ang="0">
                <a:pos x="304" y="2067"/>
              </a:cxn>
              <a:cxn ang="0">
                <a:pos x="189" y="1913"/>
              </a:cxn>
              <a:cxn ang="0">
                <a:pos x="99" y="1742"/>
              </a:cxn>
              <a:cxn ang="0">
                <a:pos x="36" y="1556"/>
              </a:cxn>
              <a:cxn ang="0">
                <a:pos x="4" y="1359"/>
              </a:cxn>
              <a:cxn ang="0">
                <a:pos x="4" y="1155"/>
              </a:cxn>
              <a:cxn ang="0">
                <a:pos x="36" y="957"/>
              </a:cxn>
              <a:cxn ang="0">
                <a:pos x="99" y="770"/>
              </a:cxn>
              <a:cxn ang="0">
                <a:pos x="189" y="597"/>
              </a:cxn>
              <a:cxn ang="0">
                <a:pos x="304" y="441"/>
              </a:cxn>
              <a:cxn ang="0">
                <a:pos x="441" y="304"/>
              </a:cxn>
              <a:cxn ang="0">
                <a:pos x="597" y="189"/>
              </a:cxn>
              <a:cxn ang="0">
                <a:pos x="770" y="99"/>
              </a:cxn>
              <a:cxn ang="0">
                <a:pos x="957" y="36"/>
              </a:cxn>
              <a:cxn ang="0">
                <a:pos x="1155" y="4"/>
              </a:cxn>
              <a:cxn ang="0">
                <a:pos x="1359" y="4"/>
              </a:cxn>
              <a:cxn ang="0">
                <a:pos x="1556" y="36"/>
              </a:cxn>
              <a:cxn ang="0">
                <a:pos x="1742" y="99"/>
              </a:cxn>
              <a:cxn ang="0">
                <a:pos x="1913" y="189"/>
              </a:cxn>
              <a:cxn ang="0">
                <a:pos x="2067" y="304"/>
              </a:cxn>
              <a:cxn ang="0">
                <a:pos x="2201" y="441"/>
              </a:cxn>
              <a:cxn ang="0">
                <a:pos x="2314" y="597"/>
              </a:cxn>
              <a:cxn ang="0">
                <a:pos x="2402" y="770"/>
              </a:cxn>
              <a:cxn ang="0">
                <a:pos x="2464" y="957"/>
              </a:cxn>
              <a:cxn ang="0">
                <a:pos x="2495" y="1155"/>
              </a:cxn>
              <a:cxn ang="0">
                <a:pos x="2495" y="1359"/>
              </a:cxn>
              <a:cxn ang="0">
                <a:pos x="2464" y="1556"/>
              </a:cxn>
              <a:cxn ang="0">
                <a:pos x="2402" y="1742"/>
              </a:cxn>
              <a:cxn ang="0">
                <a:pos x="2314" y="1913"/>
              </a:cxn>
              <a:cxn ang="0">
                <a:pos x="2201" y="2067"/>
              </a:cxn>
              <a:cxn ang="0">
                <a:pos x="2067" y="2201"/>
              </a:cxn>
              <a:cxn ang="0">
                <a:pos x="1913" y="2314"/>
              </a:cxn>
              <a:cxn ang="0">
                <a:pos x="1742" y="2402"/>
              </a:cxn>
              <a:cxn ang="0">
                <a:pos x="1556" y="2464"/>
              </a:cxn>
              <a:cxn ang="0">
                <a:pos x="1359" y="2495"/>
              </a:cxn>
            </a:cxnLst>
            <a:rect l="0" t="0" r="r" b="b"/>
            <a:pathLst>
              <a:path w="2500" h="2500">
                <a:moveTo>
                  <a:pt x="1257" y="2500"/>
                </a:moveTo>
                <a:lnTo>
                  <a:pt x="1155" y="2495"/>
                </a:lnTo>
                <a:lnTo>
                  <a:pt x="1054" y="2483"/>
                </a:lnTo>
                <a:lnTo>
                  <a:pt x="957" y="2464"/>
                </a:lnTo>
                <a:lnTo>
                  <a:pt x="862" y="2436"/>
                </a:lnTo>
                <a:lnTo>
                  <a:pt x="770" y="2402"/>
                </a:lnTo>
                <a:lnTo>
                  <a:pt x="682" y="2361"/>
                </a:lnTo>
                <a:lnTo>
                  <a:pt x="597" y="2314"/>
                </a:lnTo>
                <a:lnTo>
                  <a:pt x="517" y="2260"/>
                </a:lnTo>
                <a:lnTo>
                  <a:pt x="441" y="2201"/>
                </a:lnTo>
                <a:lnTo>
                  <a:pt x="370" y="2136"/>
                </a:lnTo>
                <a:lnTo>
                  <a:pt x="304" y="2067"/>
                </a:lnTo>
                <a:lnTo>
                  <a:pt x="244" y="1992"/>
                </a:lnTo>
                <a:lnTo>
                  <a:pt x="189" y="1913"/>
                </a:lnTo>
                <a:lnTo>
                  <a:pt x="141" y="1829"/>
                </a:lnTo>
                <a:lnTo>
                  <a:pt x="99" y="1742"/>
                </a:lnTo>
                <a:lnTo>
                  <a:pt x="64" y="1651"/>
                </a:lnTo>
                <a:lnTo>
                  <a:pt x="36" y="1556"/>
                </a:lnTo>
                <a:lnTo>
                  <a:pt x="16" y="1459"/>
                </a:lnTo>
                <a:lnTo>
                  <a:pt x="4" y="1359"/>
                </a:lnTo>
                <a:lnTo>
                  <a:pt x="0" y="1257"/>
                </a:lnTo>
                <a:lnTo>
                  <a:pt x="4" y="1155"/>
                </a:lnTo>
                <a:lnTo>
                  <a:pt x="16" y="1054"/>
                </a:lnTo>
                <a:lnTo>
                  <a:pt x="36" y="957"/>
                </a:lnTo>
                <a:lnTo>
                  <a:pt x="64" y="862"/>
                </a:lnTo>
                <a:lnTo>
                  <a:pt x="99" y="770"/>
                </a:lnTo>
                <a:lnTo>
                  <a:pt x="141" y="682"/>
                </a:lnTo>
                <a:lnTo>
                  <a:pt x="189" y="597"/>
                </a:lnTo>
                <a:lnTo>
                  <a:pt x="244" y="517"/>
                </a:lnTo>
                <a:lnTo>
                  <a:pt x="304" y="441"/>
                </a:lnTo>
                <a:lnTo>
                  <a:pt x="370" y="370"/>
                </a:lnTo>
                <a:lnTo>
                  <a:pt x="441" y="304"/>
                </a:lnTo>
                <a:lnTo>
                  <a:pt x="517" y="244"/>
                </a:lnTo>
                <a:lnTo>
                  <a:pt x="597" y="189"/>
                </a:lnTo>
                <a:lnTo>
                  <a:pt x="682" y="141"/>
                </a:lnTo>
                <a:lnTo>
                  <a:pt x="770" y="99"/>
                </a:lnTo>
                <a:lnTo>
                  <a:pt x="862" y="64"/>
                </a:lnTo>
                <a:lnTo>
                  <a:pt x="957" y="36"/>
                </a:lnTo>
                <a:lnTo>
                  <a:pt x="1054" y="16"/>
                </a:lnTo>
                <a:lnTo>
                  <a:pt x="1155" y="4"/>
                </a:lnTo>
                <a:lnTo>
                  <a:pt x="1257" y="0"/>
                </a:lnTo>
                <a:lnTo>
                  <a:pt x="1359" y="4"/>
                </a:lnTo>
                <a:lnTo>
                  <a:pt x="1459" y="16"/>
                </a:lnTo>
                <a:lnTo>
                  <a:pt x="1556" y="36"/>
                </a:lnTo>
                <a:lnTo>
                  <a:pt x="1651" y="64"/>
                </a:lnTo>
                <a:lnTo>
                  <a:pt x="1742" y="99"/>
                </a:lnTo>
                <a:lnTo>
                  <a:pt x="1829" y="141"/>
                </a:lnTo>
                <a:lnTo>
                  <a:pt x="1913" y="189"/>
                </a:lnTo>
                <a:lnTo>
                  <a:pt x="1992" y="244"/>
                </a:lnTo>
                <a:lnTo>
                  <a:pt x="2067" y="304"/>
                </a:lnTo>
                <a:lnTo>
                  <a:pt x="2136" y="370"/>
                </a:lnTo>
                <a:lnTo>
                  <a:pt x="2201" y="441"/>
                </a:lnTo>
                <a:lnTo>
                  <a:pt x="2260" y="517"/>
                </a:lnTo>
                <a:lnTo>
                  <a:pt x="2314" y="597"/>
                </a:lnTo>
                <a:lnTo>
                  <a:pt x="2361" y="682"/>
                </a:lnTo>
                <a:lnTo>
                  <a:pt x="2402" y="770"/>
                </a:lnTo>
                <a:lnTo>
                  <a:pt x="2436" y="862"/>
                </a:lnTo>
                <a:lnTo>
                  <a:pt x="2464" y="957"/>
                </a:lnTo>
                <a:lnTo>
                  <a:pt x="2483" y="1054"/>
                </a:lnTo>
                <a:lnTo>
                  <a:pt x="2495" y="1155"/>
                </a:lnTo>
                <a:lnTo>
                  <a:pt x="2500" y="1257"/>
                </a:lnTo>
                <a:lnTo>
                  <a:pt x="2495" y="1359"/>
                </a:lnTo>
                <a:lnTo>
                  <a:pt x="2483" y="1459"/>
                </a:lnTo>
                <a:lnTo>
                  <a:pt x="2464" y="1556"/>
                </a:lnTo>
                <a:lnTo>
                  <a:pt x="2436" y="1651"/>
                </a:lnTo>
                <a:lnTo>
                  <a:pt x="2402" y="1742"/>
                </a:lnTo>
                <a:lnTo>
                  <a:pt x="2361" y="1829"/>
                </a:lnTo>
                <a:lnTo>
                  <a:pt x="2314" y="1913"/>
                </a:lnTo>
                <a:lnTo>
                  <a:pt x="2260" y="1992"/>
                </a:lnTo>
                <a:lnTo>
                  <a:pt x="2201" y="2067"/>
                </a:lnTo>
                <a:lnTo>
                  <a:pt x="2136" y="2136"/>
                </a:lnTo>
                <a:lnTo>
                  <a:pt x="2067" y="2201"/>
                </a:lnTo>
                <a:lnTo>
                  <a:pt x="1992" y="2260"/>
                </a:lnTo>
                <a:lnTo>
                  <a:pt x="1913" y="2314"/>
                </a:lnTo>
                <a:lnTo>
                  <a:pt x="1829" y="2361"/>
                </a:lnTo>
                <a:lnTo>
                  <a:pt x="1742" y="2402"/>
                </a:lnTo>
                <a:lnTo>
                  <a:pt x="1651" y="2436"/>
                </a:lnTo>
                <a:lnTo>
                  <a:pt x="1556" y="2464"/>
                </a:lnTo>
                <a:lnTo>
                  <a:pt x="1459" y="2483"/>
                </a:lnTo>
                <a:lnTo>
                  <a:pt x="1359" y="2495"/>
                </a:lnTo>
                <a:lnTo>
                  <a:pt x="1257" y="2500"/>
                </a:lnTo>
                <a:close/>
              </a:path>
            </a:pathLst>
          </a:custGeom>
          <a:noFill/>
          <a:ln w="12699">
            <a:solidFill>
              <a:srgbClr val="A3AAA5"/>
            </a:solidFill>
            <a:round/>
            <a:headEnd/>
            <a:tailEnd/>
          </a:ln>
        </xdr:spPr>
      </xdr:sp>
      <xdr:sp macro="" textlink="">
        <xdr:nvSpPr>
          <xdr:cNvPr id="8197" name="Freeform 5"/>
          <xdr:cNvSpPr>
            <a:spLocks/>
          </xdr:cNvSpPr>
        </xdr:nvSpPr>
        <xdr:spPr bwMode="auto">
          <a:xfrm>
            <a:off x="1705" y="7275"/>
            <a:ext cx="2516" cy="2529"/>
          </a:xfrm>
          <a:custGeom>
            <a:avLst/>
            <a:gdLst/>
            <a:ahLst/>
            <a:cxnLst>
              <a:cxn ang="0">
                <a:pos x="1154" y="4"/>
              </a:cxn>
              <a:cxn ang="0">
                <a:pos x="955" y="36"/>
              </a:cxn>
              <a:cxn ang="0">
                <a:pos x="768" y="99"/>
              </a:cxn>
              <a:cxn ang="0">
                <a:pos x="595" y="189"/>
              </a:cxn>
              <a:cxn ang="0">
                <a:pos x="439" y="304"/>
              </a:cxn>
              <a:cxn ang="0">
                <a:pos x="302" y="441"/>
              </a:cxn>
              <a:cxn ang="0">
                <a:pos x="188" y="598"/>
              </a:cxn>
              <a:cxn ang="0">
                <a:pos x="98" y="772"/>
              </a:cxn>
              <a:cxn ang="0">
                <a:pos x="36" y="960"/>
              </a:cxn>
              <a:cxn ang="0">
                <a:pos x="4" y="1160"/>
              </a:cxn>
              <a:cxn ang="0">
                <a:pos x="4" y="1368"/>
              </a:cxn>
              <a:cxn ang="0">
                <a:pos x="36" y="1568"/>
              </a:cxn>
              <a:cxn ang="0">
                <a:pos x="98" y="1756"/>
              </a:cxn>
              <a:cxn ang="0">
                <a:pos x="188" y="1930"/>
              </a:cxn>
              <a:cxn ang="0">
                <a:pos x="302" y="2087"/>
              </a:cxn>
              <a:cxn ang="0">
                <a:pos x="439" y="2224"/>
              </a:cxn>
              <a:cxn ang="0">
                <a:pos x="595" y="2339"/>
              </a:cxn>
              <a:cxn ang="0">
                <a:pos x="768" y="2429"/>
              </a:cxn>
              <a:cxn ang="0">
                <a:pos x="955" y="2492"/>
              </a:cxn>
              <a:cxn ang="0">
                <a:pos x="1154" y="2524"/>
              </a:cxn>
              <a:cxn ang="0">
                <a:pos x="1361" y="2524"/>
              </a:cxn>
              <a:cxn ang="0">
                <a:pos x="1560" y="2492"/>
              </a:cxn>
              <a:cxn ang="0">
                <a:pos x="1747" y="2429"/>
              </a:cxn>
              <a:cxn ang="0">
                <a:pos x="1920" y="2339"/>
              </a:cxn>
              <a:cxn ang="0">
                <a:pos x="2076" y="2224"/>
              </a:cxn>
              <a:cxn ang="0">
                <a:pos x="2213" y="2087"/>
              </a:cxn>
              <a:cxn ang="0">
                <a:pos x="2327" y="1930"/>
              </a:cxn>
              <a:cxn ang="0">
                <a:pos x="2417" y="1756"/>
              </a:cxn>
              <a:cxn ang="0">
                <a:pos x="2479" y="1568"/>
              </a:cxn>
              <a:cxn ang="0">
                <a:pos x="2511" y="1368"/>
              </a:cxn>
              <a:cxn ang="0">
                <a:pos x="2511" y="1160"/>
              </a:cxn>
              <a:cxn ang="0">
                <a:pos x="2479" y="960"/>
              </a:cxn>
              <a:cxn ang="0">
                <a:pos x="2417" y="772"/>
              </a:cxn>
              <a:cxn ang="0">
                <a:pos x="2327" y="598"/>
              </a:cxn>
              <a:cxn ang="0">
                <a:pos x="2213" y="441"/>
              </a:cxn>
              <a:cxn ang="0">
                <a:pos x="2076" y="304"/>
              </a:cxn>
              <a:cxn ang="0">
                <a:pos x="1920" y="189"/>
              </a:cxn>
              <a:cxn ang="0">
                <a:pos x="1747" y="99"/>
              </a:cxn>
              <a:cxn ang="0">
                <a:pos x="1560" y="36"/>
              </a:cxn>
              <a:cxn ang="0">
                <a:pos x="1361" y="4"/>
              </a:cxn>
            </a:cxnLst>
            <a:rect l="0" t="0" r="r" b="b"/>
            <a:pathLst>
              <a:path w="2516" h="2529">
                <a:moveTo>
                  <a:pt x="1258" y="0"/>
                </a:moveTo>
                <a:lnTo>
                  <a:pt x="1154" y="4"/>
                </a:lnTo>
                <a:lnTo>
                  <a:pt x="1053" y="16"/>
                </a:lnTo>
                <a:lnTo>
                  <a:pt x="955" y="36"/>
                </a:lnTo>
                <a:lnTo>
                  <a:pt x="860" y="64"/>
                </a:lnTo>
                <a:lnTo>
                  <a:pt x="768" y="99"/>
                </a:lnTo>
                <a:lnTo>
                  <a:pt x="679" y="141"/>
                </a:lnTo>
                <a:lnTo>
                  <a:pt x="595" y="189"/>
                </a:lnTo>
                <a:lnTo>
                  <a:pt x="515" y="243"/>
                </a:lnTo>
                <a:lnTo>
                  <a:pt x="439" y="304"/>
                </a:lnTo>
                <a:lnTo>
                  <a:pt x="368" y="370"/>
                </a:lnTo>
                <a:lnTo>
                  <a:pt x="302" y="441"/>
                </a:lnTo>
                <a:lnTo>
                  <a:pt x="242" y="517"/>
                </a:lnTo>
                <a:lnTo>
                  <a:pt x="188" y="598"/>
                </a:lnTo>
                <a:lnTo>
                  <a:pt x="140" y="683"/>
                </a:lnTo>
                <a:lnTo>
                  <a:pt x="98" y="772"/>
                </a:lnTo>
                <a:lnTo>
                  <a:pt x="64" y="864"/>
                </a:lnTo>
                <a:lnTo>
                  <a:pt x="36" y="960"/>
                </a:lnTo>
                <a:lnTo>
                  <a:pt x="16" y="1059"/>
                </a:lnTo>
                <a:lnTo>
                  <a:pt x="4" y="1160"/>
                </a:lnTo>
                <a:lnTo>
                  <a:pt x="0" y="1264"/>
                </a:lnTo>
                <a:lnTo>
                  <a:pt x="4" y="1368"/>
                </a:lnTo>
                <a:lnTo>
                  <a:pt x="16" y="1469"/>
                </a:lnTo>
                <a:lnTo>
                  <a:pt x="36" y="1568"/>
                </a:lnTo>
                <a:lnTo>
                  <a:pt x="64" y="1664"/>
                </a:lnTo>
                <a:lnTo>
                  <a:pt x="98" y="1756"/>
                </a:lnTo>
                <a:lnTo>
                  <a:pt x="140" y="1845"/>
                </a:lnTo>
                <a:lnTo>
                  <a:pt x="188" y="1930"/>
                </a:lnTo>
                <a:lnTo>
                  <a:pt x="242" y="2011"/>
                </a:lnTo>
                <a:lnTo>
                  <a:pt x="302" y="2087"/>
                </a:lnTo>
                <a:lnTo>
                  <a:pt x="368" y="2158"/>
                </a:lnTo>
                <a:lnTo>
                  <a:pt x="439" y="2224"/>
                </a:lnTo>
                <a:lnTo>
                  <a:pt x="515" y="2285"/>
                </a:lnTo>
                <a:lnTo>
                  <a:pt x="595" y="2339"/>
                </a:lnTo>
                <a:lnTo>
                  <a:pt x="679" y="2387"/>
                </a:lnTo>
                <a:lnTo>
                  <a:pt x="768" y="2429"/>
                </a:lnTo>
                <a:lnTo>
                  <a:pt x="860" y="2464"/>
                </a:lnTo>
                <a:lnTo>
                  <a:pt x="955" y="2492"/>
                </a:lnTo>
                <a:lnTo>
                  <a:pt x="1053" y="2512"/>
                </a:lnTo>
                <a:lnTo>
                  <a:pt x="1154" y="2524"/>
                </a:lnTo>
                <a:lnTo>
                  <a:pt x="1258" y="2529"/>
                </a:lnTo>
                <a:lnTo>
                  <a:pt x="1361" y="2524"/>
                </a:lnTo>
                <a:lnTo>
                  <a:pt x="1462" y="2512"/>
                </a:lnTo>
                <a:lnTo>
                  <a:pt x="1560" y="2492"/>
                </a:lnTo>
                <a:lnTo>
                  <a:pt x="1655" y="2464"/>
                </a:lnTo>
                <a:lnTo>
                  <a:pt x="1747" y="2429"/>
                </a:lnTo>
                <a:lnTo>
                  <a:pt x="1836" y="2387"/>
                </a:lnTo>
                <a:lnTo>
                  <a:pt x="1920" y="2339"/>
                </a:lnTo>
                <a:lnTo>
                  <a:pt x="2000" y="2285"/>
                </a:lnTo>
                <a:lnTo>
                  <a:pt x="2076" y="2224"/>
                </a:lnTo>
                <a:lnTo>
                  <a:pt x="2147" y="2158"/>
                </a:lnTo>
                <a:lnTo>
                  <a:pt x="2213" y="2087"/>
                </a:lnTo>
                <a:lnTo>
                  <a:pt x="2273" y="2011"/>
                </a:lnTo>
                <a:lnTo>
                  <a:pt x="2327" y="1930"/>
                </a:lnTo>
                <a:lnTo>
                  <a:pt x="2375" y="1845"/>
                </a:lnTo>
                <a:lnTo>
                  <a:pt x="2417" y="1756"/>
                </a:lnTo>
                <a:lnTo>
                  <a:pt x="2451" y="1664"/>
                </a:lnTo>
                <a:lnTo>
                  <a:pt x="2479" y="1568"/>
                </a:lnTo>
                <a:lnTo>
                  <a:pt x="2499" y="1469"/>
                </a:lnTo>
                <a:lnTo>
                  <a:pt x="2511" y="1368"/>
                </a:lnTo>
                <a:lnTo>
                  <a:pt x="2516" y="1264"/>
                </a:lnTo>
                <a:lnTo>
                  <a:pt x="2511" y="1160"/>
                </a:lnTo>
                <a:lnTo>
                  <a:pt x="2499" y="1059"/>
                </a:lnTo>
                <a:lnTo>
                  <a:pt x="2479" y="960"/>
                </a:lnTo>
                <a:lnTo>
                  <a:pt x="2451" y="864"/>
                </a:lnTo>
                <a:lnTo>
                  <a:pt x="2417" y="772"/>
                </a:lnTo>
                <a:lnTo>
                  <a:pt x="2375" y="683"/>
                </a:lnTo>
                <a:lnTo>
                  <a:pt x="2327" y="598"/>
                </a:lnTo>
                <a:lnTo>
                  <a:pt x="2273" y="517"/>
                </a:lnTo>
                <a:lnTo>
                  <a:pt x="2213" y="441"/>
                </a:lnTo>
                <a:lnTo>
                  <a:pt x="2147" y="370"/>
                </a:lnTo>
                <a:lnTo>
                  <a:pt x="2076" y="304"/>
                </a:lnTo>
                <a:lnTo>
                  <a:pt x="2000" y="243"/>
                </a:lnTo>
                <a:lnTo>
                  <a:pt x="1920" y="189"/>
                </a:lnTo>
                <a:lnTo>
                  <a:pt x="1836" y="141"/>
                </a:lnTo>
                <a:lnTo>
                  <a:pt x="1747" y="99"/>
                </a:lnTo>
                <a:lnTo>
                  <a:pt x="1655" y="64"/>
                </a:lnTo>
                <a:lnTo>
                  <a:pt x="1560" y="36"/>
                </a:lnTo>
                <a:lnTo>
                  <a:pt x="1462" y="16"/>
                </a:lnTo>
                <a:lnTo>
                  <a:pt x="1361" y="4"/>
                </a:lnTo>
                <a:lnTo>
                  <a:pt x="1258" y="0"/>
                </a:lnTo>
                <a:close/>
              </a:path>
            </a:pathLst>
          </a:custGeom>
          <a:noFill/>
          <a:ln>
            <a:solidFill>
              <a:schemeClr val="tx2">
                <a:lumMod val="75000"/>
              </a:schemeClr>
            </a:solidFill>
            <a:headEnd/>
            <a:tailEnd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</xdr:sp>
      <xdr:sp macro="" textlink="">
        <xdr:nvSpPr>
          <xdr:cNvPr id="8196" name="Freeform 4"/>
          <xdr:cNvSpPr>
            <a:spLocks/>
          </xdr:cNvSpPr>
        </xdr:nvSpPr>
        <xdr:spPr bwMode="auto">
          <a:xfrm>
            <a:off x="1750" y="7320"/>
            <a:ext cx="2424" cy="2440"/>
          </a:xfrm>
          <a:custGeom>
            <a:avLst/>
            <a:gdLst/>
            <a:ahLst/>
            <a:cxnLst>
              <a:cxn ang="0">
                <a:pos x="1112" y="4"/>
              </a:cxn>
              <a:cxn ang="0">
                <a:pos x="920" y="35"/>
              </a:cxn>
              <a:cxn ang="0">
                <a:pos x="740" y="95"/>
              </a:cxn>
              <a:cxn ang="0">
                <a:pos x="573" y="182"/>
              </a:cxn>
              <a:cxn ang="0">
                <a:pos x="423" y="293"/>
              </a:cxn>
              <a:cxn ang="0">
                <a:pos x="291" y="426"/>
              </a:cxn>
              <a:cxn ang="0">
                <a:pos x="181" y="577"/>
              </a:cxn>
              <a:cxn ang="0">
                <a:pos x="95" y="745"/>
              </a:cxn>
              <a:cxn ang="0">
                <a:pos x="35" y="926"/>
              </a:cxn>
              <a:cxn ang="0">
                <a:pos x="4" y="1119"/>
              </a:cxn>
              <a:cxn ang="0">
                <a:pos x="4" y="1320"/>
              </a:cxn>
              <a:cxn ang="0">
                <a:pos x="35" y="1513"/>
              </a:cxn>
              <a:cxn ang="0">
                <a:pos x="95" y="1694"/>
              </a:cxn>
              <a:cxn ang="0">
                <a:pos x="181" y="1862"/>
              </a:cxn>
              <a:cxn ang="0">
                <a:pos x="291" y="2013"/>
              </a:cxn>
              <a:cxn ang="0">
                <a:pos x="423" y="2146"/>
              </a:cxn>
              <a:cxn ang="0">
                <a:pos x="573" y="2257"/>
              </a:cxn>
              <a:cxn ang="0">
                <a:pos x="740" y="2344"/>
              </a:cxn>
              <a:cxn ang="0">
                <a:pos x="920" y="2404"/>
              </a:cxn>
              <a:cxn ang="0">
                <a:pos x="1112" y="2435"/>
              </a:cxn>
              <a:cxn ang="0">
                <a:pos x="1311" y="2435"/>
              </a:cxn>
              <a:cxn ang="0">
                <a:pos x="1503" y="2404"/>
              </a:cxn>
              <a:cxn ang="0">
                <a:pos x="1683" y="2344"/>
              </a:cxn>
              <a:cxn ang="0">
                <a:pos x="1850" y="2257"/>
              </a:cxn>
              <a:cxn ang="0">
                <a:pos x="2000" y="2146"/>
              </a:cxn>
              <a:cxn ang="0">
                <a:pos x="2132" y="2013"/>
              </a:cxn>
              <a:cxn ang="0">
                <a:pos x="2242" y="1862"/>
              </a:cxn>
              <a:cxn ang="0">
                <a:pos x="2328" y="1694"/>
              </a:cxn>
              <a:cxn ang="0">
                <a:pos x="2388" y="1513"/>
              </a:cxn>
              <a:cxn ang="0">
                <a:pos x="2419" y="1320"/>
              </a:cxn>
              <a:cxn ang="0">
                <a:pos x="2419" y="1119"/>
              </a:cxn>
              <a:cxn ang="0">
                <a:pos x="2388" y="926"/>
              </a:cxn>
              <a:cxn ang="0">
                <a:pos x="2328" y="745"/>
              </a:cxn>
              <a:cxn ang="0">
                <a:pos x="2242" y="577"/>
              </a:cxn>
              <a:cxn ang="0">
                <a:pos x="2132" y="426"/>
              </a:cxn>
              <a:cxn ang="0">
                <a:pos x="2000" y="293"/>
              </a:cxn>
              <a:cxn ang="0">
                <a:pos x="1850" y="182"/>
              </a:cxn>
              <a:cxn ang="0">
                <a:pos x="1683" y="95"/>
              </a:cxn>
              <a:cxn ang="0">
                <a:pos x="1503" y="35"/>
              </a:cxn>
              <a:cxn ang="0">
                <a:pos x="1311" y="4"/>
              </a:cxn>
            </a:cxnLst>
            <a:rect l="0" t="0" r="r" b="b"/>
            <a:pathLst>
              <a:path w="2424" h="2440">
                <a:moveTo>
                  <a:pt x="1212" y="0"/>
                </a:moveTo>
                <a:lnTo>
                  <a:pt x="1112" y="4"/>
                </a:lnTo>
                <a:lnTo>
                  <a:pt x="1015" y="15"/>
                </a:lnTo>
                <a:lnTo>
                  <a:pt x="920" y="35"/>
                </a:lnTo>
                <a:lnTo>
                  <a:pt x="828" y="62"/>
                </a:lnTo>
                <a:lnTo>
                  <a:pt x="740" y="95"/>
                </a:lnTo>
                <a:lnTo>
                  <a:pt x="655" y="136"/>
                </a:lnTo>
                <a:lnTo>
                  <a:pt x="573" y="182"/>
                </a:lnTo>
                <a:lnTo>
                  <a:pt x="496" y="235"/>
                </a:lnTo>
                <a:lnTo>
                  <a:pt x="423" y="293"/>
                </a:lnTo>
                <a:lnTo>
                  <a:pt x="354" y="357"/>
                </a:lnTo>
                <a:lnTo>
                  <a:pt x="291" y="426"/>
                </a:lnTo>
                <a:lnTo>
                  <a:pt x="233" y="499"/>
                </a:lnTo>
                <a:lnTo>
                  <a:pt x="181" y="577"/>
                </a:lnTo>
                <a:lnTo>
                  <a:pt x="135" y="659"/>
                </a:lnTo>
                <a:lnTo>
                  <a:pt x="95" y="745"/>
                </a:lnTo>
                <a:lnTo>
                  <a:pt x="61" y="834"/>
                </a:lnTo>
                <a:lnTo>
                  <a:pt x="35" y="926"/>
                </a:lnTo>
                <a:lnTo>
                  <a:pt x="15" y="1022"/>
                </a:lnTo>
                <a:lnTo>
                  <a:pt x="4" y="1119"/>
                </a:lnTo>
                <a:lnTo>
                  <a:pt x="0" y="1220"/>
                </a:lnTo>
                <a:lnTo>
                  <a:pt x="4" y="1320"/>
                </a:lnTo>
                <a:lnTo>
                  <a:pt x="15" y="1417"/>
                </a:lnTo>
                <a:lnTo>
                  <a:pt x="35" y="1513"/>
                </a:lnTo>
                <a:lnTo>
                  <a:pt x="61" y="1605"/>
                </a:lnTo>
                <a:lnTo>
                  <a:pt x="95" y="1694"/>
                </a:lnTo>
                <a:lnTo>
                  <a:pt x="135" y="1780"/>
                </a:lnTo>
                <a:lnTo>
                  <a:pt x="181" y="1862"/>
                </a:lnTo>
                <a:lnTo>
                  <a:pt x="233" y="1940"/>
                </a:lnTo>
                <a:lnTo>
                  <a:pt x="291" y="2013"/>
                </a:lnTo>
                <a:lnTo>
                  <a:pt x="354" y="2082"/>
                </a:lnTo>
                <a:lnTo>
                  <a:pt x="423" y="2146"/>
                </a:lnTo>
                <a:lnTo>
                  <a:pt x="496" y="2204"/>
                </a:lnTo>
                <a:lnTo>
                  <a:pt x="573" y="2257"/>
                </a:lnTo>
                <a:lnTo>
                  <a:pt x="655" y="2303"/>
                </a:lnTo>
                <a:lnTo>
                  <a:pt x="740" y="2344"/>
                </a:lnTo>
                <a:lnTo>
                  <a:pt x="828" y="2377"/>
                </a:lnTo>
                <a:lnTo>
                  <a:pt x="920" y="2404"/>
                </a:lnTo>
                <a:lnTo>
                  <a:pt x="1015" y="2424"/>
                </a:lnTo>
                <a:lnTo>
                  <a:pt x="1112" y="2435"/>
                </a:lnTo>
                <a:lnTo>
                  <a:pt x="1212" y="2440"/>
                </a:lnTo>
                <a:lnTo>
                  <a:pt x="1311" y="2435"/>
                </a:lnTo>
                <a:lnTo>
                  <a:pt x="1408" y="2424"/>
                </a:lnTo>
                <a:lnTo>
                  <a:pt x="1503" y="2404"/>
                </a:lnTo>
                <a:lnTo>
                  <a:pt x="1595" y="2377"/>
                </a:lnTo>
                <a:lnTo>
                  <a:pt x="1683" y="2344"/>
                </a:lnTo>
                <a:lnTo>
                  <a:pt x="1768" y="2303"/>
                </a:lnTo>
                <a:lnTo>
                  <a:pt x="1850" y="2257"/>
                </a:lnTo>
                <a:lnTo>
                  <a:pt x="1927" y="2204"/>
                </a:lnTo>
                <a:lnTo>
                  <a:pt x="2000" y="2146"/>
                </a:lnTo>
                <a:lnTo>
                  <a:pt x="2069" y="2082"/>
                </a:lnTo>
                <a:lnTo>
                  <a:pt x="2132" y="2013"/>
                </a:lnTo>
                <a:lnTo>
                  <a:pt x="2190" y="1940"/>
                </a:lnTo>
                <a:lnTo>
                  <a:pt x="2242" y="1862"/>
                </a:lnTo>
                <a:lnTo>
                  <a:pt x="2288" y="1780"/>
                </a:lnTo>
                <a:lnTo>
                  <a:pt x="2328" y="1694"/>
                </a:lnTo>
                <a:lnTo>
                  <a:pt x="2362" y="1605"/>
                </a:lnTo>
                <a:lnTo>
                  <a:pt x="2388" y="1513"/>
                </a:lnTo>
                <a:lnTo>
                  <a:pt x="2408" y="1417"/>
                </a:lnTo>
                <a:lnTo>
                  <a:pt x="2419" y="1320"/>
                </a:lnTo>
                <a:lnTo>
                  <a:pt x="2424" y="1220"/>
                </a:lnTo>
                <a:lnTo>
                  <a:pt x="2419" y="1119"/>
                </a:lnTo>
                <a:lnTo>
                  <a:pt x="2408" y="1022"/>
                </a:lnTo>
                <a:lnTo>
                  <a:pt x="2388" y="926"/>
                </a:lnTo>
                <a:lnTo>
                  <a:pt x="2362" y="834"/>
                </a:lnTo>
                <a:lnTo>
                  <a:pt x="2328" y="745"/>
                </a:lnTo>
                <a:lnTo>
                  <a:pt x="2288" y="659"/>
                </a:lnTo>
                <a:lnTo>
                  <a:pt x="2242" y="577"/>
                </a:lnTo>
                <a:lnTo>
                  <a:pt x="2190" y="499"/>
                </a:lnTo>
                <a:lnTo>
                  <a:pt x="2132" y="426"/>
                </a:lnTo>
                <a:lnTo>
                  <a:pt x="2069" y="357"/>
                </a:lnTo>
                <a:lnTo>
                  <a:pt x="2000" y="293"/>
                </a:lnTo>
                <a:lnTo>
                  <a:pt x="1927" y="235"/>
                </a:lnTo>
                <a:lnTo>
                  <a:pt x="1850" y="182"/>
                </a:lnTo>
                <a:lnTo>
                  <a:pt x="1768" y="136"/>
                </a:lnTo>
                <a:lnTo>
                  <a:pt x="1683" y="95"/>
                </a:lnTo>
                <a:lnTo>
                  <a:pt x="1595" y="62"/>
                </a:lnTo>
                <a:lnTo>
                  <a:pt x="1503" y="35"/>
                </a:lnTo>
                <a:lnTo>
                  <a:pt x="1408" y="15"/>
                </a:lnTo>
                <a:lnTo>
                  <a:pt x="1311" y="4"/>
                </a:lnTo>
                <a:lnTo>
                  <a:pt x="1212" y="0"/>
                </a:lnTo>
                <a:close/>
              </a:path>
            </a:pathLst>
          </a:custGeom>
          <a:noFill/>
          <a:ln w="762">
            <a:solidFill>
              <a:srgbClr val="322411"/>
            </a:solidFill>
            <a:round/>
            <a:headEnd/>
            <a:tailEnd/>
          </a:ln>
        </xdr:spPr>
      </xdr:sp>
      <xdr:sp macro="" textlink="">
        <xdr:nvSpPr>
          <xdr:cNvPr id="8195" name="Rectangle 3"/>
          <xdr:cNvSpPr>
            <a:spLocks noChangeArrowheads="1"/>
          </xdr:cNvSpPr>
        </xdr:nvSpPr>
        <xdr:spPr bwMode="auto">
          <a:xfrm>
            <a:off x="12548" y="6046"/>
            <a:ext cx="1900" cy="48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sp macro="" textlink="">
        <xdr:nvSpPr>
          <xdr:cNvPr id="8194" name="Rectangle 2"/>
          <xdr:cNvSpPr>
            <a:spLocks noChangeArrowheads="1"/>
          </xdr:cNvSpPr>
        </xdr:nvSpPr>
        <xdr:spPr bwMode="auto">
          <a:xfrm>
            <a:off x="1384" y="6046"/>
            <a:ext cx="1900" cy="48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r" rtl="0">
              <a:defRPr sz="1000"/>
            </a:pPr>
            <a:r>
              <a:rPr lang="en-Z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</xdr:grpSp>
    <xdr:clientData/>
  </xdr:twoCellAnchor>
  <xdr:twoCellAnchor>
    <xdr:from>
      <xdr:col>13</xdr:col>
      <xdr:colOff>542925</xdr:colOff>
      <xdr:row>22</xdr:row>
      <xdr:rowOff>9525</xdr:rowOff>
    </xdr:from>
    <xdr:to>
      <xdr:col>16</xdr:col>
      <xdr:colOff>723900</xdr:colOff>
      <xdr:row>25</xdr:row>
      <xdr:rowOff>47625</xdr:rowOff>
    </xdr:to>
    <xdr:pic>
      <xdr:nvPicPr>
        <xdr:cNvPr id="8390" name="Picture 198" descr="Intabanet Logo Smal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601075" y="5067300"/>
          <a:ext cx="1866900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552450</xdr:colOff>
      <xdr:row>23</xdr:row>
      <xdr:rowOff>114300</xdr:rowOff>
    </xdr:from>
    <xdr:to>
      <xdr:col>11</xdr:col>
      <xdr:colOff>433802</xdr:colOff>
      <xdr:row>25</xdr:row>
      <xdr:rowOff>333375</xdr:rowOff>
    </xdr:to>
    <xdr:pic>
      <xdr:nvPicPr>
        <xdr:cNvPr id="200" name="Picture 199" descr="Sign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62650" y="5362575"/>
          <a:ext cx="1567277" cy="7334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rian%20Copies\Intabanet\Intabanet%20Control%20Workbook%20Save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ster"/>
      <sheetName val="Licensee"/>
      <sheetName val="Agent"/>
      <sheetName val="Sales"/>
      <sheetName val="Policy breakdown"/>
      <sheetName val="Policy Numbers"/>
      <sheetName val="Commission splits"/>
      <sheetName val="Certificate"/>
      <sheetName val="Commission"/>
      <sheetName val="Smartcom"/>
      <sheetName val="CommReceived"/>
      <sheetName val="Statement"/>
      <sheetName val="StatementLicensee"/>
      <sheetName val="StatementAgent"/>
      <sheetName val="StatementMail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3" t="str">
            <v>ACF5</v>
          </cell>
        </row>
        <row r="4">
          <cell r="A4" t="str">
            <v>ACS5</v>
          </cell>
        </row>
        <row r="5">
          <cell r="A5" t="str">
            <v>ACF10</v>
          </cell>
        </row>
        <row r="6">
          <cell r="A6" t="str">
            <v>ACS10</v>
          </cell>
        </row>
        <row r="7">
          <cell r="A7" t="str">
            <v>ACF18</v>
          </cell>
        </row>
        <row r="8">
          <cell r="A8" t="str">
            <v>ACS18</v>
          </cell>
        </row>
        <row r="9">
          <cell r="A9" t="str">
            <v>AVF18</v>
          </cell>
        </row>
        <row r="10">
          <cell r="A10" t="str">
            <v>AVS18</v>
          </cell>
        </row>
        <row r="11">
          <cell r="A11" t="str">
            <v>IACF5</v>
          </cell>
        </row>
        <row r="12">
          <cell r="A12" t="str">
            <v>IACS5</v>
          </cell>
        </row>
        <row r="13">
          <cell r="A13" t="str">
            <v>IACF10</v>
          </cell>
        </row>
        <row r="14">
          <cell r="A14" t="str">
            <v>IACS10</v>
          </cell>
        </row>
        <row r="15">
          <cell r="A15" t="str">
            <v>IACF10</v>
          </cell>
        </row>
        <row r="16">
          <cell r="A16" t="str">
            <v>IACS10</v>
          </cell>
        </row>
        <row r="17">
          <cell r="A17" t="str">
            <v>IAVF10</v>
          </cell>
        </row>
        <row r="18">
          <cell r="A18" t="str">
            <v>IAVS10</v>
          </cell>
        </row>
        <row r="19">
          <cell r="A19" t="str">
            <v>GBF48</v>
          </cell>
        </row>
        <row r="20">
          <cell r="A20" t="str">
            <v>GBS48</v>
          </cell>
        </row>
        <row r="21">
          <cell r="A21" t="str">
            <v>GGF78</v>
          </cell>
        </row>
        <row r="22">
          <cell r="A22" t="str">
            <v>GGS78</v>
          </cell>
        </row>
        <row r="23">
          <cell r="A23" t="str">
            <v>GDF95</v>
          </cell>
        </row>
        <row r="24">
          <cell r="A24" t="str">
            <v>GDS95</v>
          </cell>
        </row>
        <row r="25">
          <cell r="A25" t="str">
            <v>CGBF58</v>
          </cell>
        </row>
        <row r="26">
          <cell r="A26" t="str">
            <v>CGBS58</v>
          </cell>
        </row>
        <row r="27">
          <cell r="A27" t="str">
            <v>CGGF88</v>
          </cell>
        </row>
        <row r="28">
          <cell r="A28" t="str">
            <v>CGGS88</v>
          </cell>
        </row>
        <row r="29">
          <cell r="A29" t="str">
            <v>CGDF105</v>
          </cell>
        </row>
        <row r="30">
          <cell r="A30" t="str">
            <v>CGDS105</v>
          </cell>
        </row>
        <row r="31">
          <cell r="A31" t="str">
            <v>CGES50</v>
          </cell>
        </row>
        <row r="32">
          <cell r="A32" t="str">
            <v>CGES95</v>
          </cell>
        </row>
        <row r="33">
          <cell r="A33">
            <v>0</v>
          </cell>
        </row>
        <row r="34">
          <cell r="A34" t="str">
            <v>IGGF48</v>
          </cell>
        </row>
        <row r="35">
          <cell r="A35" t="str">
            <v>IGGS48</v>
          </cell>
        </row>
        <row r="36">
          <cell r="A36" t="str">
            <v>IGDF78</v>
          </cell>
        </row>
        <row r="37">
          <cell r="A37" t="str">
            <v>IGDS78</v>
          </cell>
        </row>
        <row r="38">
          <cell r="A38">
            <v>0</v>
          </cell>
        </row>
        <row r="39">
          <cell r="A39" t="str">
            <v>CC50</v>
          </cell>
        </row>
        <row r="40">
          <cell r="A40" t="str">
            <v>CC100</v>
          </cell>
        </row>
        <row r="41">
          <cell r="A41" t="str">
            <v>CC125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intabanet.co.z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hyperlink" Target="mailto:jonkersjd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bblack@intabanet.co.za" TargetMode="External"/><Relationship Id="rId3" Type="http://schemas.openxmlformats.org/officeDocument/2006/relationships/hyperlink" Target="mailto:tjverone@gmail.com" TargetMode="External"/><Relationship Id="rId7" Type="http://schemas.openxmlformats.org/officeDocument/2006/relationships/hyperlink" Target="mailto:mark.felix63@gmail.com" TargetMode="External"/><Relationship Id="rId2" Type="http://schemas.openxmlformats.org/officeDocument/2006/relationships/hyperlink" Target="mailto:nakkiestapelberg@gmail.com" TargetMode="External"/><Relationship Id="rId1" Type="http://schemas.openxmlformats.org/officeDocument/2006/relationships/hyperlink" Target="mailto:carmel@sh-zen.co.za" TargetMode="External"/><Relationship Id="rId6" Type="http://schemas.openxmlformats.org/officeDocument/2006/relationships/hyperlink" Target="mailto:jonkersjd@gmail.com" TargetMode="External"/><Relationship Id="rId5" Type="http://schemas.openxmlformats.org/officeDocument/2006/relationships/hyperlink" Target="mailto:karelslukas@gmail.com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mailto:janicewalsh07@gmail.com" TargetMode="External"/><Relationship Id="rId9" Type="http://schemas.openxmlformats.org/officeDocument/2006/relationships/hyperlink" Target="mailto:equiride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AL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7" sqref="N7"/>
    </sheetView>
  </sheetViews>
  <sheetFormatPr defaultRowHeight="15"/>
  <cols>
    <col min="1" max="1" width="15.5703125" customWidth="1"/>
    <col min="2" max="2" width="34.7109375" customWidth="1"/>
    <col min="3" max="3" width="12.85546875" style="398" customWidth="1"/>
    <col min="4" max="4" width="12.42578125" customWidth="1"/>
    <col min="5" max="5" width="18.28515625" customWidth="1"/>
    <col min="6" max="6" width="18.140625" customWidth="1"/>
    <col min="7" max="7" width="18.42578125" customWidth="1"/>
    <col min="8" max="8" width="13.28515625" customWidth="1"/>
    <col min="9" max="9" width="11.85546875" style="35" customWidth="1"/>
    <col min="10" max="10" width="13.7109375" style="35" customWidth="1"/>
    <col min="11" max="11" width="13.85546875" style="35" customWidth="1"/>
    <col min="12" max="12" width="28.5703125" customWidth="1"/>
    <col min="13" max="13" width="31.42578125" style="446" customWidth="1"/>
    <col min="14" max="14" width="15.7109375" style="35" customWidth="1"/>
    <col min="15" max="15" width="12.42578125" customWidth="1"/>
    <col min="17" max="17" width="11.85546875" customWidth="1"/>
    <col min="18" max="18" width="14.85546875" style="36" customWidth="1"/>
    <col min="19" max="20" width="16" style="35" customWidth="1"/>
    <col min="21" max="21" width="14.7109375" style="35" customWidth="1"/>
    <col min="22" max="23" width="14.7109375" style="36" customWidth="1"/>
    <col min="24" max="24" width="30.42578125" customWidth="1"/>
    <col min="27" max="27" width="14.85546875" style="41" customWidth="1"/>
    <col min="30" max="30" width="6.85546875" customWidth="1"/>
    <col min="31" max="31" width="5.7109375" customWidth="1"/>
    <col min="32" max="32" width="15" customWidth="1"/>
  </cols>
  <sheetData>
    <row r="1" spans="1:38" ht="24.75" customHeight="1">
      <c r="A1" s="117" t="s">
        <v>101</v>
      </c>
      <c r="B1" s="117"/>
      <c r="G1" s="306" t="s">
        <v>2285</v>
      </c>
      <c r="H1" s="463">
        <f>COUNTA(A3:A18)</f>
        <v>2</v>
      </c>
      <c r="AL1" t="s">
        <v>62</v>
      </c>
    </row>
    <row r="2" spans="1:38">
      <c r="A2" s="42" t="s">
        <v>2286</v>
      </c>
      <c r="B2" s="42" t="s">
        <v>2038</v>
      </c>
      <c r="C2" s="443" t="s">
        <v>104</v>
      </c>
      <c r="D2" s="42" t="s">
        <v>43</v>
      </c>
      <c r="E2" s="42" t="s">
        <v>107</v>
      </c>
      <c r="F2" s="42" t="s">
        <v>108</v>
      </c>
      <c r="G2" s="42" t="s">
        <v>46</v>
      </c>
      <c r="H2" s="42" t="s">
        <v>47</v>
      </c>
      <c r="I2" s="44" t="s">
        <v>109</v>
      </c>
      <c r="J2" s="44" t="s">
        <v>2039</v>
      </c>
      <c r="K2" s="44" t="s">
        <v>53</v>
      </c>
      <c r="L2" s="42" t="s">
        <v>111</v>
      </c>
      <c r="M2" s="447" t="s">
        <v>50</v>
      </c>
      <c r="N2" s="44" t="s">
        <v>53</v>
      </c>
      <c r="O2" s="44" t="s">
        <v>56</v>
      </c>
      <c r="P2" s="44" t="s">
        <v>57</v>
      </c>
      <c r="Q2" s="44" t="s">
        <v>62</v>
      </c>
      <c r="R2" s="43" t="s">
        <v>59</v>
      </c>
      <c r="S2" s="44" t="s">
        <v>60</v>
      </c>
      <c r="T2" s="44" t="s">
        <v>1438</v>
      </c>
      <c r="U2" s="44" t="s">
        <v>210</v>
      </c>
      <c r="V2" s="43" t="s">
        <v>61</v>
      </c>
      <c r="W2" s="43" t="s">
        <v>58</v>
      </c>
      <c r="X2" s="44" t="s">
        <v>100</v>
      </c>
      <c r="AA2" s="333" t="s">
        <v>1771</v>
      </c>
      <c r="AC2" s="225"/>
      <c r="AL2" s="237" t="s">
        <v>65</v>
      </c>
    </row>
    <row r="3" spans="1:38">
      <c r="A3" t="s">
        <v>74</v>
      </c>
      <c r="B3" t="s">
        <v>2288</v>
      </c>
      <c r="C3" s="398">
        <v>42095</v>
      </c>
      <c r="E3" t="s">
        <v>76</v>
      </c>
      <c r="G3" t="s">
        <v>77</v>
      </c>
      <c r="H3" t="s">
        <v>78</v>
      </c>
      <c r="I3" s="35" t="s">
        <v>79</v>
      </c>
      <c r="J3" s="35" t="s">
        <v>2289</v>
      </c>
      <c r="K3" s="35" t="s">
        <v>2290</v>
      </c>
      <c r="L3" s="263" t="s">
        <v>2291</v>
      </c>
      <c r="M3" s="448" t="s">
        <v>80</v>
      </c>
      <c r="N3" s="35" t="s">
        <v>2290</v>
      </c>
      <c r="R3"/>
      <c r="AL3" s="237" t="s">
        <v>1656</v>
      </c>
    </row>
    <row r="4" spans="1:38">
      <c r="A4" t="s">
        <v>2287</v>
      </c>
      <c r="H4" s="225"/>
      <c r="R4" s="37"/>
      <c r="AL4" s="237"/>
    </row>
    <row r="5" spans="1:38">
      <c r="L5" s="263"/>
      <c r="M5" s="448"/>
      <c r="R5" s="37"/>
      <c r="V5" s="37"/>
      <c r="W5" s="37"/>
      <c r="AL5" s="237"/>
    </row>
    <row r="6" spans="1:38">
      <c r="AL6" s="237"/>
    </row>
    <row r="7" spans="1:38">
      <c r="D7" s="36"/>
      <c r="J7"/>
      <c r="L7" s="35"/>
      <c r="N7"/>
      <c r="O7" s="35"/>
      <c r="Q7" s="41"/>
      <c r="R7" s="37"/>
      <c r="V7" s="37"/>
      <c r="W7" s="37"/>
      <c r="AL7" s="237"/>
    </row>
    <row r="8" spans="1:38">
      <c r="AL8" s="237"/>
    </row>
    <row r="10" spans="1:38">
      <c r="L10" s="263"/>
      <c r="M10" s="448"/>
    </row>
    <row r="11" spans="1:38">
      <c r="L11" s="263"/>
      <c r="M11" s="448"/>
      <c r="X11" s="37"/>
    </row>
    <row r="12" spans="1:38">
      <c r="L12" s="263"/>
      <c r="M12" s="448"/>
    </row>
    <row r="13" spans="1:38">
      <c r="L13" s="263"/>
      <c r="M13" s="448"/>
    </row>
    <row r="14" spans="1:38">
      <c r="C14" s="392"/>
    </row>
    <row r="15" spans="1:38">
      <c r="L15" s="263"/>
      <c r="M15" s="448"/>
    </row>
    <row r="16" spans="1:38">
      <c r="I16"/>
      <c r="J16"/>
      <c r="K16"/>
      <c r="N16"/>
      <c r="R16"/>
      <c r="S16"/>
      <c r="T16"/>
      <c r="U16"/>
      <c r="V16"/>
      <c r="W16"/>
      <c r="AA16"/>
    </row>
    <row r="18" spans="3:24">
      <c r="L18" s="263"/>
      <c r="M18" s="448"/>
    </row>
    <row r="19" spans="3:24">
      <c r="L19" s="263"/>
      <c r="M19" s="448"/>
      <c r="X19" s="37"/>
    </row>
    <row r="20" spans="3:24">
      <c r="C20" s="392"/>
    </row>
  </sheetData>
  <conditionalFormatting sqref="G5:I11 H3:I4 R3:W17">
    <cfRule type="expression" dxfId="89" priority="6">
      <formula>AND($A3&lt;&gt;"",G3="")</formula>
    </cfRule>
  </conditionalFormatting>
  <conditionalFormatting sqref="G3:G4">
    <cfRule type="expression" dxfId="88" priority="5">
      <formula>AND($A3&lt;&gt;"",G3="")</formula>
    </cfRule>
  </conditionalFormatting>
  <conditionalFormatting sqref="N4:N17">
    <cfRule type="expression" dxfId="87" priority="4">
      <formula>AND(A4&lt;&gt;"",LEN(N4)&lt;&gt;13)</formula>
    </cfRule>
  </conditionalFormatting>
  <conditionalFormatting sqref="A2:B3 A5:B8">
    <cfRule type="expression" dxfId="86" priority="3">
      <formula>COUNTIF($A$3:$A$18,A3)&gt;1</formula>
    </cfRule>
  </conditionalFormatting>
  <conditionalFormatting sqref="A4:B4">
    <cfRule type="expression" dxfId="85" priority="2">
      <formula>COUNTIF($A$3:$A$18,#REF!)&gt;1</formula>
    </cfRule>
  </conditionalFormatting>
  <conditionalFormatting sqref="R3">
    <cfRule type="expression" dxfId="84" priority="1">
      <formula>COUNTIF($A$3:$A$18,R4)&gt;1</formula>
    </cfRule>
  </conditionalFormatting>
  <dataValidations count="1">
    <dataValidation type="list" allowBlank="1" showInputMessage="1" showErrorMessage="1" sqref="Q3:Q17">
      <formula1>$AL$2:$AL$8</formula1>
    </dataValidation>
  </dataValidations>
  <hyperlinks>
    <hyperlink ref="L3" r:id="rId1"/>
  </hyperlinks>
  <pageMargins left="0.7" right="0.7" top="0.75" bottom="0.75" header="0.3" footer="0.3"/>
  <pageSetup paperSize="9" orientation="portrait" verticalDpi="0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U134"/>
  <sheetViews>
    <sheetView showGridLines="0" workbookViewId="0"/>
  </sheetViews>
  <sheetFormatPr defaultRowHeight="15"/>
  <cols>
    <col min="3" max="3" width="14.42578125" customWidth="1"/>
    <col min="5" max="5" width="13.5703125" customWidth="1"/>
    <col min="9" max="10" width="10.7109375" bestFit="1" customWidth="1"/>
  </cols>
  <sheetData>
    <row r="2" spans="2:7" ht="15.75" thickBot="1">
      <c r="D2" s="269" t="s">
        <v>1648</v>
      </c>
      <c r="E2" s="270">
        <f ca="1">TODAY()</f>
        <v>42196</v>
      </c>
    </row>
    <row r="3" spans="2:7">
      <c r="E3" s="239">
        <f>COUNTA(Licensee!A3:A1000)</f>
        <v>8</v>
      </c>
      <c r="F3" s="266" t="s">
        <v>1649</v>
      </c>
    </row>
    <row r="4" spans="2:7">
      <c r="E4" s="271">
        <f t="array" ref="E4">SUM((Licensee!$A$3:$A$1000&lt;&gt;" ")*(Licensee!$Y$3:$Y$1000="Active"))</f>
        <v>8</v>
      </c>
      <c r="F4" s="267" t="s">
        <v>1647</v>
      </c>
    </row>
    <row r="5" spans="2:7">
      <c r="E5" s="272">
        <f t="array" ref="E5">SUM((Licensee!$A$3:$A$1000&lt;&gt;" ")*(Licensee!$Y$3:$Y$1000="Unpaid"))</f>
        <v>0</v>
      </c>
      <c r="F5" s="273" t="s">
        <v>1658</v>
      </c>
    </row>
    <row r="6" spans="2:7">
      <c r="E6" s="236">
        <f t="array" ref="E6">SUM((Licensee!$A$3:$A$1000&lt;&gt;" ")*(Licensee!$Y$3:$Y$1000="Terminated"))</f>
        <v>0</v>
      </c>
      <c r="F6" s="266" t="s">
        <v>1659</v>
      </c>
      <c r="G6" s="268"/>
    </row>
    <row r="7" spans="2:7" ht="15.75" thickBot="1">
      <c r="B7" s="227"/>
      <c r="C7" s="227"/>
      <c r="D7" s="227"/>
      <c r="E7" s="227"/>
      <c r="F7" s="279"/>
      <c r="G7" s="227"/>
    </row>
    <row r="8" spans="2:7">
      <c r="E8" s="239">
        <f t="array" ref="E8">COUNTA(Agent!$A$3:$A$18)</f>
        <v>16</v>
      </c>
      <c r="F8" s="266" t="s">
        <v>1650</v>
      </c>
    </row>
    <row r="9" spans="2:7">
      <c r="E9" s="271">
        <f t="array" ref="E9">SUM((Agent!$A$3:$A$18&lt;&gt;" ")*(Agent!$V$3:$V$18="Active"))</f>
        <v>15</v>
      </c>
      <c r="F9" s="267" t="s">
        <v>1651</v>
      </c>
    </row>
    <row r="10" spans="2:7">
      <c r="E10" s="272">
        <f t="array" ref="E10">SUM((Agent!$A$3:$A$18&lt;&gt;" ")*(Agent!$V$3:$V$18="Suspended"))</f>
        <v>0</v>
      </c>
      <c r="F10" s="273" t="s">
        <v>1660</v>
      </c>
    </row>
    <row r="11" spans="2:7">
      <c r="E11" s="236">
        <f t="array" ref="E11">SUM((Agent!$A$3:$A$18&lt;&gt;" ")*(Agent!$V$3:$V$18="Terminated"))</f>
        <v>1</v>
      </c>
      <c r="F11" s="274" t="s">
        <v>1661</v>
      </c>
    </row>
    <row r="12" spans="2:7">
      <c r="E12" s="276">
        <f t="array" ref="E12">SUM((Agent!$A$3:$A$18&lt;&gt;" ")*(Agent!$V$3:$V$18="Retired"))</f>
        <v>0</v>
      </c>
      <c r="F12" s="275" t="s">
        <v>1662</v>
      </c>
    </row>
    <row r="13" spans="2:7">
      <c r="E13" s="278">
        <f t="array" ref="E13">SUM((Agent!$A$3:$A$18&lt;&gt;" ")*(Agent!$V$3:$V$18="Deceased"))</f>
        <v>0</v>
      </c>
      <c r="F13" s="277" t="s">
        <v>1663</v>
      </c>
    </row>
    <row r="14" spans="2:7" ht="15.75" thickBot="1">
      <c r="B14" s="227"/>
      <c r="C14" s="227"/>
      <c r="D14" s="227"/>
      <c r="E14" s="227"/>
      <c r="F14" s="227"/>
      <c r="G14" s="227"/>
    </row>
    <row r="15" spans="2:7">
      <c r="E15" s="239">
        <f>COUNTA(Sales!C3:C1000)</f>
        <v>29</v>
      </c>
      <c r="F15" s="266" t="s">
        <v>1652</v>
      </c>
    </row>
    <row r="16" spans="2:7">
      <c r="E16" s="271">
        <f t="array" ref="E16">SUM((Sales!$C$3:$C$1000&lt;&gt;" ")*(Sales!$FS$3:$FS$1000="Active"))</f>
        <v>25</v>
      </c>
      <c r="F16" s="267" t="s">
        <v>1653</v>
      </c>
    </row>
    <row r="17" spans="2:7">
      <c r="E17" s="272">
        <f t="array" ref="E17">SUM((Sales!$C$3:$C$1000&lt;&gt;" ")*(Sales!$FS$3:$FS$1000="Dormant"))</f>
        <v>0</v>
      </c>
      <c r="F17" s="273" t="s">
        <v>1657</v>
      </c>
    </row>
    <row r="18" spans="2:7">
      <c r="E18" s="236">
        <f t="array" ref="E18">SUM((Sales!$C$3:$C$1000&lt;&gt;" ")*(Sales!$FS$3:$FS$1000="Cancelled"))</f>
        <v>4</v>
      </c>
      <c r="F18" s="274" t="s">
        <v>1654</v>
      </c>
    </row>
    <row r="19" spans="2:7" ht="15.75" thickBot="1">
      <c r="B19" s="227"/>
      <c r="C19" s="227"/>
      <c r="D19" s="227"/>
      <c r="E19" s="227"/>
      <c r="F19" s="227"/>
      <c r="G19" s="227"/>
    </row>
    <row r="99" spans="1:13">
      <c r="C99" t="s">
        <v>1722</v>
      </c>
      <c r="D99">
        <f>IF(C99="","",VLOOKUP($C99,'Policy breakdown'!$A$3:$S$41,6,FALSE))</f>
        <v>125</v>
      </c>
      <c r="E99">
        <f>IF(C99="","",VLOOKUP($C99,'Policy breakdown'!$A$3:$S$41,7,FALSE))</f>
        <v>75</v>
      </c>
      <c r="F99">
        <f>IF(C99="","",VLOOKUP($C99,'Policy breakdown'!$A$3:$S$41,12,FALSE))</f>
        <v>22</v>
      </c>
      <c r="G99">
        <f>IF(C99="","",VLOOKUP($C99,'Policy breakdown'!$A$3:$S$41,13,FALSE))</f>
        <v>50</v>
      </c>
      <c r="H99">
        <f>IF(C99="","",VLOOKUP($C99,'Policy breakdown'!$A$3:$S$41,14,FALSE))</f>
        <v>72</v>
      </c>
      <c r="I99">
        <f>IF(ISERROR(D99-H99),"",D99-H99)</f>
        <v>53</v>
      </c>
      <c r="J99" s="228"/>
    </row>
    <row r="100" spans="1:13">
      <c r="A100" t="s">
        <v>1353</v>
      </c>
      <c r="B100" t="s">
        <v>1358</v>
      </c>
      <c r="C100" s="35" t="s">
        <v>2379</v>
      </c>
      <c r="D100" t="str">
        <f>IF(C100="","",LEFT(C100,6))</f>
        <v>510919</v>
      </c>
      <c r="E100" s="198">
        <f ca="1">YEAR(TODAY())</f>
        <v>2015</v>
      </c>
      <c r="F100" t="str">
        <f ca="1">IF(C100="","",IF(RIGHT(E100,2)-LEFT(D100,2)&lt;0,19&amp;LEFT(D100,2),20&amp;LEFT(D100,2)))</f>
        <v>1951</v>
      </c>
      <c r="G100" t="str">
        <f>IF(C100="","",RIGHT(LEFT(C100,4),2))</f>
        <v>09</v>
      </c>
      <c r="H100" t="str">
        <f>IF(C100="","",RIGHT(LEFT(C100,6),2))</f>
        <v>19</v>
      </c>
      <c r="I100" s="396">
        <f t="shared" ref="I100:I112" ca="1" si="0">IF(C100="","",DATEVALUE(H100&amp;"/"&amp;G100&amp;"/"&amp;F100))</f>
        <v>18890</v>
      </c>
      <c r="J100" s="462">
        <v>42012</v>
      </c>
      <c r="K100">
        <f ca="1">IF(C100="","",DATEDIF(I100,J100,"Y"))</f>
        <v>63</v>
      </c>
    </row>
    <row r="101" spans="1:13">
      <c r="A101" t="s">
        <v>1354</v>
      </c>
      <c r="B101" t="s">
        <v>1359</v>
      </c>
      <c r="C101" s="450"/>
      <c r="D101" t="str">
        <f t="shared" ref="D101:D111" si="1">IF(C101="","",LEFT(C101,6))</f>
        <v/>
      </c>
      <c r="E101" s="198">
        <f t="shared" ref="E101:E113" ca="1" si="2">YEAR(TODAY())</f>
        <v>2015</v>
      </c>
      <c r="F101" t="str">
        <f t="shared" ref="F101:F102" si="3">IF(C101="","",IF(RIGHT(E101,2)-LEFT(D101,2)&lt;0,19&amp;LEFT(D101,2),20&amp;LEFT(D101,2)))</f>
        <v/>
      </c>
      <c r="G101" t="str">
        <f t="shared" ref="G101:G102" si="4">IF(C101="","",RIGHT(LEFT(C101,4),2))</f>
        <v/>
      </c>
      <c r="H101" t="str">
        <f t="shared" ref="H101:H102" si="5">IF(C101="","",RIGHT(LEFT(C101,6),2))</f>
        <v/>
      </c>
      <c r="I101" s="396" t="str">
        <f t="shared" si="0"/>
        <v/>
      </c>
      <c r="J101" s="462">
        <v>42012</v>
      </c>
      <c r="K101" t="str">
        <f t="shared" ref="K101:K102" si="6">IF(C101="","",DATEDIF(I101,J101,"Y"))</f>
        <v/>
      </c>
    </row>
    <row r="102" spans="1:13">
      <c r="A102" t="s">
        <v>1355</v>
      </c>
      <c r="C102" s="450"/>
      <c r="D102" t="str">
        <f t="shared" si="1"/>
        <v/>
      </c>
      <c r="E102" s="198">
        <f t="shared" ca="1" si="2"/>
        <v>2015</v>
      </c>
      <c r="F102" t="str">
        <f t="shared" si="3"/>
        <v/>
      </c>
      <c r="G102" t="str">
        <f t="shared" si="4"/>
        <v/>
      </c>
      <c r="H102" t="str">
        <f t="shared" si="5"/>
        <v/>
      </c>
      <c r="I102" s="396" t="str">
        <f t="shared" si="0"/>
        <v/>
      </c>
      <c r="J102" s="462">
        <v>42012</v>
      </c>
      <c r="K102" t="str">
        <f t="shared" si="6"/>
        <v/>
      </c>
    </row>
    <row r="103" spans="1:13">
      <c r="A103" t="s">
        <v>1356</v>
      </c>
      <c r="C103" s="450"/>
      <c r="D103" t="str">
        <f t="shared" si="1"/>
        <v/>
      </c>
      <c r="E103" s="198">
        <f t="shared" ca="1" si="2"/>
        <v>2015</v>
      </c>
      <c r="F103" t="str">
        <f t="shared" ref="F103:F111" si="7">IF(C103="","",IF(RIGHT(E103,2)-LEFT(D103,2)&lt;0,19&amp;LEFT(D103,2),20&amp;LEFT(D103,2)))</f>
        <v/>
      </c>
      <c r="G103" t="str">
        <f t="shared" ref="G103:G111" si="8">IF(C103="","",RIGHT(LEFT(C103,4),2))</f>
        <v/>
      </c>
      <c r="H103" t="str">
        <f t="shared" ref="H103:H111" si="9">IF(C103="","",RIGHT(LEFT(C103,6),2))</f>
        <v/>
      </c>
      <c r="I103" s="396" t="str">
        <f t="shared" si="0"/>
        <v/>
      </c>
      <c r="J103" s="462">
        <v>42012</v>
      </c>
      <c r="K103" t="str">
        <f t="shared" ref="K103:K113" si="10">IF(C103="","",DATEDIF(I103,J103,"Y"))</f>
        <v/>
      </c>
    </row>
    <row r="104" spans="1:13">
      <c r="A104" t="s">
        <v>1357</v>
      </c>
      <c r="C104" s="450"/>
      <c r="D104" t="str">
        <f t="shared" si="1"/>
        <v/>
      </c>
      <c r="E104" s="198">
        <f t="shared" ca="1" si="2"/>
        <v>2015</v>
      </c>
      <c r="F104" t="str">
        <f t="shared" si="7"/>
        <v/>
      </c>
      <c r="G104" t="str">
        <f t="shared" si="8"/>
        <v/>
      </c>
      <c r="H104" t="str">
        <f t="shared" si="9"/>
        <v/>
      </c>
      <c r="I104" s="396" t="str">
        <f t="shared" si="0"/>
        <v/>
      </c>
      <c r="J104" s="462">
        <v>42012</v>
      </c>
      <c r="K104" t="str">
        <f t="shared" si="10"/>
        <v/>
      </c>
    </row>
    <row r="105" spans="1:13">
      <c r="C105" s="450"/>
      <c r="D105" t="str">
        <f t="shared" si="1"/>
        <v/>
      </c>
      <c r="E105" s="198">
        <f t="shared" ca="1" si="2"/>
        <v>2015</v>
      </c>
      <c r="F105" t="str">
        <f t="shared" si="7"/>
        <v/>
      </c>
      <c r="G105" t="str">
        <f t="shared" si="8"/>
        <v/>
      </c>
      <c r="H105" t="str">
        <f t="shared" si="9"/>
        <v/>
      </c>
      <c r="I105" s="396" t="str">
        <f t="shared" si="0"/>
        <v/>
      </c>
      <c r="J105" s="462">
        <v>42012</v>
      </c>
      <c r="K105" t="str">
        <f t="shared" si="10"/>
        <v/>
      </c>
    </row>
    <row r="106" spans="1:13">
      <c r="C106" s="450"/>
      <c r="D106" t="str">
        <f t="shared" si="1"/>
        <v/>
      </c>
      <c r="E106" s="198">
        <f t="shared" ca="1" si="2"/>
        <v>2015</v>
      </c>
      <c r="F106" t="str">
        <f t="shared" si="7"/>
        <v/>
      </c>
      <c r="G106" t="str">
        <f t="shared" si="8"/>
        <v/>
      </c>
      <c r="H106" t="str">
        <f t="shared" si="9"/>
        <v/>
      </c>
      <c r="I106" s="396" t="str">
        <f t="shared" si="0"/>
        <v/>
      </c>
      <c r="J106" s="462">
        <v>42012</v>
      </c>
      <c r="K106" t="str">
        <f t="shared" si="10"/>
        <v/>
      </c>
    </row>
    <row r="107" spans="1:13">
      <c r="A107" t="s">
        <v>1360</v>
      </c>
      <c r="C107" s="450"/>
      <c r="D107" t="str">
        <f t="shared" si="1"/>
        <v/>
      </c>
      <c r="E107" s="198">
        <f t="shared" ca="1" si="2"/>
        <v>2015</v>
      </c>
      <c r="F107" t="str">
        <f t="shared" si="7"/>
        <v/>
      </c>
      <c r="G107" t="str">
        <f t="shared" si="8"/>
        <v/>
      </c>
      <c r="H107" t="str">
        <f t="shared" si="9"/>
        <v/>
      </c>
      <c r="I107" s="396" t="str">
        <f t="shared" si="0"/>
        <v/>
      </c>
      <c r="J107" s="462">
        <v>42012</v>
      </c>
      <c r="K107" t="str">
        <f t="shared" si="10"/>
        <v/>
      </c>
    </row>
    <row r="108" spans="1:13">
      <c r="A108" t="s">
        <v>1361</v>
      </c>
      <c r="C108" s="450"/>
      <c r="D108" t="str">
        <f t="shared" si="1"/>
        <v/>
      </c>
      <c r="E108" s="198">
        <f t="shared" ca="1" si="2"/>
        <v>2015</v>
      </c>
      <c r="F108" t="str">
        <f t="shared" si="7"/>
        <v/>
      </c>
      <c r="G108" t="str">
        <f t="shared" si="8"/>
        <v/>
      </c>
      <c r="H108" t="str">
        <f t="shared" si="9"/>
        <v/>
      </c>
      <c r="I108" s="396" t="str">
        <f t="shared" si="0"/>
        <v/>
      </c>
      <c r="J108" s="462">
        <v>42012</v>
      </c>
      <c r="K108" t="str">
        <f t="shared" si="10"/>
        <v/>
      </c>
      <c r="L108" t="str">
        <f>IF(C108="","",IF(K108&lt;66,22,42))</f>
        <v/>
      </c>
    </row>
    <row r="109" spans="1:13">
      <c r="A109" t="s">
        <v>1362</v>
      </c>
      <c r="C109" s="450"/>
      <c r="D109" t="str">
        <f t="shared" si="1"/>
        <v/>
      </c>
      <c r="E109" s="198">
        <f t="shared" ca="1" si="2"/>
        <v>2015</v>
      </c>
      <c r="F109" t="str">
        <f t="shared" si="7"/>
        <v/>
      </c>
      <c r="G109" t="str">
        <f t="shared" si="8"/>
        <v/>
      </c>
      <c r="H109" t="str">
        <f t="shared" si="9"/>
        <v/>
      </c>
      <c r="I109" s="396" t="str">
        <f t="shared" si="0"/>
        <v/>
      </c>
      <c r="J109" s="462">
        <v>42012</v>
      </c>
      <c r="K109" t="str">
        <f t="shared" si="10"/>
        <v/>
      </c>
      <c r="L109" t="str">
        <f t="shared" ref="L109:L111" si="11">IF(C109="","",IF(K109&lt;66,22,42))</f>
        <v/>
      </c>
    </row>
    <row r="110" spans="1:13">
      <c r="A110" t="s">
        <v>1363</v>
      </c>
      <c r="C110" s="450"/>
      <c r="D110" t="str">
        <f t="shared" si="1"/>
        <v/>
      </c>
      <c r="E110" s="198">
        <f t="shared" ca="1" si="2"/>
        <v>2015</v>
      </c>
      <c r="F110" t="str">
        <f t="shared" si="7"/>
        <v/>
      </c>
      <c r="G110" t="str">
        <f t="shared" si="8"/>
        <v/>
      </c>
      <c r="H110" t="str">
        <f t="shared" si="9"/>
        <v/>
      </c>
      <c r="I110" s="396" t="str">
        <f t="shared" si="0"/>
        <v/>
      </c>
      <c r="J110" s="462">
        <v>42012</v>
      </c>
      <c r="K110" t="str">
        <f t="shared" si="10"/>
        <v/>
      </c>
      <c r="L110" t="str">
        <f t="shared" si="11"/>
        <v/>
      </c>
    </row>
    <row r="111" spans="1:13">
      <c r="C111" s="450"/>
      <c r="D111" t="str">
        <f t="shared" si="1"/>
        <v/>
      </c>
      <c r="E111" s="198">
        <f t="shared" ca="1" si="2"/>
        <v>2015</v>
      </c>
      <c r="F111" t="str">
        <f t="shared" si="7"/>
        <v/>
      </c>
      <c r="G111" t="str">
        <f t="shared" si="8"/>
        <v/>
      </c>
      <c r="H111" t="str">
        <f t="shared" si="9"/>
        <v/>
      </c>
      <c r="I111" s="396" t="str">
        <f t="shared" si="0"/>
        <v/>
      </c>
      <c r="J111" s="462">
        <v>42012</v>
      </c>
      <c r="K111" t="str">
        <f t="shared" si="10"/>
        <v/>
      </c>
      <c r="L111" t="str">
        <f t="shared" si="11"/>
        <v/>
      </c>
    </row>
    <row r="112" spans="1:13">
      <c r="C112" s="451">
        <v>5212225019088</v>
      </c>
      <c r="D112" t="str">
        <f t="shared" ref="D112:D113" si="12">IF(C112="","",LEFT(C112,6))</f>
        <v>521222</v>
      </c>
      <c r="E112" s="198">
        <f t="shared" ca="1" si="2"/>
        <v>2015</v>
      </c>
      <c r="F112" t="str">
        <f t="shared" ref="F112:F113" ca="1" si="13">IF(C112="","",IF(RIGHT(E112,2)-LEFT(D112,2)&lt;0,19&amp;LEFT(D112,2),20&amp;LEFT(D112,2)))</f>
        <v>1952</v>
      </c>
      <c r="G112" t="str">
        <f t="shared" ref="G112:G113" si="14">IF(C112="","",RIGHT(LEFT(C112,4),2))</f>
        <v>12</v>
      </c>
      <c r="H112" t="str">
        <f t="shared" ref="H112:H113" si="15">IF(C112="","",RIGHT(LEFT(C112,6),2))</f>
        <v>22</v>
      </c>
      <c r="I112" s="396">
        <f t="shared" ca="1" si="0"/>
        <v>19350</v>
      </c>
      <c r="J112" s="462">
        <v>42012</v>
      </c>
      <c r="K112">
        <f t="shared" ca="1" si="10"/>
        <v>62</v>
      </c>
      <c r="L112" s="197">
        <f>SUM(L108:L111)</f>
        <v>0</v>
      </c>
      <c r="M112" t="s">
        <v>1386</v>
      </c>
    </row>
    <row r="113" spans="1:21">
      <c r="A113" t="s">
        <v>1364</v>
      </c>
      <c r="C113" s="451"/>
      <c r="D113" t="str">
        <f t="shared" si="12"/>
        <v/>
      </c>
      <c r="E113" s="198">
        <f t="shared" ca="1" si="2"/>
        <v>2015</v>
      </c>
      <c r="F113" t="str">
        <f t="shared" si="13"/>
        <v/>
      </c>
      <c r="G113" t="str">
        <f t="shared" si="14"/>
        <v/>
      </c>
      <c r="H113" t="str">
        <f t="shared" si="15"/>
        <v/>
      </c>
      <c r="I113" s="228" t="str">
        <f>IF(C113="","",DATEVALUE(H113&amp;"/"&amp;G113&amp;"/"&amp;F113))</f>
        <v/>
      </c>
      <c r="J113" s="462">
        <v>42012</v>
      </c>
      <c r="K113" t="str">
        <f t="shared" si="10"/>
        <v/>
      </c>
      <c r="L113" s="197">
        <f>COUNT(L108:L111)*50</f>
        <v>0</v>
      </c>
      <c r="M113" t="s">
        <v>1385</v>
      </c>
    </row>
    <row r="114" spans="1:21">
      <c r="A114" t="s">
        <v>1365</v>
      </c>
      <c r="L114" s="197">
        <f>COUNT(L108:L111)</f>
        <v>0</v>
      </c>
      <c r="M114" t="s">
        <v>1566</v>
      </c>
    </row>
    <row r="115" spans="1:21">
      <c r="A115" t="s">
        <v>1368</v>
      </c>
      <c r="E115" t="s">
        <v>193</v>
      </c>
      <c r="F115" t="s">
        <v>1372</v>
      </c>
      <c r="G115" t="s">
        <v>1373</v>
      </c>
      <c r="H115" t="s">
        <v>1374</v>
      </c>
      <c r="I115" t="s">
        <v>1375</v>
      </c>
      <c r="J115" t="s">
        <v>187</v>
      </c>
      <c r="K115" t="s">
        <v>1376</v>
      </c>
      <c r="L115" t="s">
        <v>1377</v>
      </c>
      <c r="M115" t="s">
        <v>1378</v>
      </c>
      <c r="N115" t="s">
        <v>1379</v>
      </c>
      <c r="O115" t="s">
        <v>146</v>
      </c>
      <c r="P115" t="s">
        <v>1380</v>
      </c>
      <c r="Q115" t="s">
        <v>1381</v>
      </c>
      <c r="R115" t="s">
        <v>1383</v>
      </c>
      <c r="S115" t="s">
        <v>1384</v>
      </c>
      <c r="T115" t="s">
        <v>1378</v>
      </c>
      <c r="U115" t="s">
        <v>1382</v>
      </c>
    </row>
    <row r="116" spans="1:21">
      <c r="A116" t="s">
        <v>1366</v>
      </c>
      <c r="C116" s="229" t="s">
        <v>1722</v>
      </c>
      <c r="D116" t="str">
        <f>IF(C116="","",VLOOKUP(C116,'Policy breakdown'!$A$3:$C$41,2,FALSE))</f>
        <v>Single Airtime/Funeral Plan Cell C 10</v>
      </c>
      <c r="E116" s="452">
        <v>125</v>
      </c>
      <c r="F116" s="452">
        <v>0</v>
      </c>
      <c r="G116" s="452">
        <v>75</v>
      </c>
      <c r="H116" s="452">
        <f>SUM(E116:G116)</f>
        <v>200</v>
      </c>
      <c r="I116" s="452">
        <f>SUM(E116:F116)</f>
        <v>125</v>
      </c>
      <c r="J116" s="452">
        <v>22</v>
      </c>
      <c r="K116" s="452">
        <v>0</v>
      </c>
      <c r="L116" s="452">
        <f>SUM(J116:K116)</f>
        <v>22</v>
      </c>
      <c r="M116" s="452">
        <f>H116-L116</f>
        <v>178</v>
      </c>
      <c r="N116" s="452">
        <f>I116-L116</f>
        <v>103</v>
      </c>
      <c r="O116" s="452">
        <v>50</v>
      </c>
      <c r="P116" s="452">
        <f>M116-O116</f>
        <v>128</v>
      </c>
      <c r="Q116" s="452">
        <f>N116-O116</f>
        <v>53</v>
      </c>
      <c r="R116" s="452">
        <f>IF($C116="","",VLOOKUP(Master!$C116,'Policy breakdown'!$A$3:$S$41,8,FALSE)+VLOOKUP(Master!$C116,'Policy breakdown'!$A$3:$S$41,9,FALSE)+COUNT(L108:L111)*4)</f>
        <v>79.5</v>
      </c>
      <c r="S116" s="452">
        <f>IF($C116="","",VLOOKUP(Master!$C116,'Policy breakdown'!$A$3:$S$41,9,FALSE)+COUNT(L108:L111)*4)</f>
        <v>17</v>
      </c>
      <c r="T116" s="452">
        <f>IF(ISERROR(P116-R116),"",P116-R116)</f>
        <v>48.5</v>
      </c>
      <c r="U116" s="452">
        <f>IF(ISERROR(Q116-S116),"",Q116-S116)</f>
        <v>36</v>
      </c>
    </row>
    <row r="117" spans="1:21">
      <c r="A117" t="s">
        <v>1367</v>
      </c>
      <c r="E117" s="451"/>
      <c r="F117" s="451"/>
      <c r="G117" s="451"/>
      <c r="H117" s="451"/>
      <c r="I117" s="451"/>
      <c r="J117" s="451"/>
      <c r="K117" s="451"/>
      <c r="L117" s="451"/>
      <c r="M117" s="451"/>
      <c r="N117" s="451"/>
      <c r="O117" s="451"/>
      <c r="P117" s="451"/>
      <c r="Q117" s="451"/>
      <c r="R117" s="451"/>
      <c r="S117" s="451"/>
      <c r="T117" s="451"/>
      <c r="U117" s="451"/>
    </row>
    <row r="120" spans="1:21">
      <c r="A120" t="s">
        <v>254</v>
      </c>
    </row>
    <row r="121" spans="1:21">
      <c r="A121" t="s">
        <v>213</v>
      </c>
    </row>
    <row r="122" spans="1:21">
      <c r="A122" t="s">
        <v>1369</v>
      </c>
    </row>
    <row r="123" spans="1:21">
      <c r="A123" t="s">
        <v>1370</v>
      </c>
    </row>
    <row r="126" spans="1:21">
      <c r="A126" t="s">
        <v>197</v>
      </c>
    </row>
    <row r="127" spans="1:21">
      <c r="A127" t="s">
        <v>191</v>
      </c>
    </row>
    <row r="128" spans="1:21">
      <c r="A128" t="s">
        <v>194</v>
      </c>
    </row>
    <row r="129" spans="1:1">
      <c r="A129" t="s">
        <v>192</v>
      </c>
    </row>
    <row r="131" spans="1:1">
      <c r="A131" t="s">
        <v>254</v>
      </c>
    </row>
    <row r="132" spans="1:1">
      <c r="A132" t="s">
        <v>213</v>
      </c>
    </row>
    <row r="133" spans="1:1">
      <c r="A133" t="s">
        <v>1369</v>
      </c>
    </row>
    <row r="134" spans="1:1">
      <c r="A134" t="s">
        <v>1370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B1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1" max="1" width="10.85546875" bestFit="1" customWidth="1"/>
    <col min="2" max="2" width="15.7109375" style="228" customWidth="1"/>
    <col min="3" max="3" width="26.28515625" customWidth="1"/>
    <col min="4" max="4" width="14.28515625" customWidth="1"/>
    <col min="5" max="5" width="17.28515625" customWidth="1"/>
    <col min="6" max="6" width="12.42578125" customWidth="1"/>
    <col min="7" max="7" width="11.7109375" customWidth="1"/>
    <col min="8" max="8" width="14.28515625" customWidth="1"/>
    <col min="9" max="9" width="16.28515625" customWidth="1"/>
    <col min="10" max="10" width="24.28515625" customWidth="1"/>
    <col min="11" max="11" width="15.7109375" style="35" customWidth="1"/>
    <col min="12" max="12" width="15.140625" style="35" customWidth="1"/>
    <col min="13" max="13" width="25.5703125" customWidth="1"/>
    <col min="14" max="14" width="15.85546875" customWidth="1"/>
    <col min="15" max="15" width="13.140625" customWidth="1"/>
    <col min="16" max="16" width="12.140625" customWidth="1"/>
    <col min="17" max="17" width="17.140625" customWidth="1"/>
    <col min="18" max="20" width="12.85546875" customWidth="1"/>
    <col min="21" max="22" width="13" customWidth="1"/>
    <col min="23" max="23" width="17.28515625" customWidth="1"/>
    <col min="24" max="24" width="19.140625" bestFit="1" customWidth="1"/>
    <col min="25" max="25" width="11.7109375" customWidth="1"/>
    <col min="26" max="26" width="46.42578125" customWidth="1"/>
    <col min="27" max="27" width="15.28515625" style="41" customWidth="1"/>
    <col min="53" max="53" width="10" customWidth="1"/>
    <col min="54" max="54" width="11.7109375" customWidth="1"/>
  </cols>
  <sheetData>
    <row r="1" spans="1:54" ht="26.25" customHeight="1">
      <c r="A1">
        <v>7784</v>
      </c>
      <c r="H1" s="230" t="s">
        <v>1711</v>
      </c>
      <c r="I1" s="299">
        <f>COUNTA($A$3:$A$1000)</f>
        <v>8</v>
      </c>
    </row>
    <row r="2" spans="1:54">
      <c r="A2" s="38" t="s">
        <v>55</v>
      </c>
      <c r="B2" s="341" t="s">
        <v>42</v>
      </c>
      <c r="C2" s="38" t="s">
        <v>63</v>
      </c>
      <c r="D2" s="38" t="s">
        <v>43</v>
      </c>
      <c r="E2" s="38" t="s">
        <v>44</v>
      </c>
      <c r="F2" s="38" t="s">
        <v>45</v>
      </c>
      <c r="G2" s="38" t="s">
        <v>46</v>
      </c>
      <c r="H2" s="38" t="s">
        <v>47</v>
      </c>
      <c r="I2" s="38" t="s">
        <v>49</v>
      </c>
      <c r="J2" s="38" t="s">
        <v>50</v>
      </c>
      <c r="K2" s="39" t="s">
        <v>51</v>
      </c>
      <c r="L2" s="39" t="s">
        <v>53</v>
      </c>
      <c r="M2" s="38" t="s">
        <v>54</v>
      </c>
      <c r="N2" s="38" t="s">
        <v>52</v>
      </c>
      <c r="O2" s="38" t="s">
        <v>56</v>
      </c>
      <c r="P2" s="38" t="s">
        <v>57</v>
      </c>
      <c r="Q2" s="38" t="s">
        <v>59</v>
      </c>
      <c r="R2" s="38" t="s">
        <v>60</v>
      </c>
      <c r="S2" s="38" t="s">
        <v>1438</v>
      </c>
      <c r="T2" s="38" t="s">
        <v>64</v>
      </c>
      <c r="U2" s="38" t="s">
        <v>61</v>
      </c>
      <c r="V2" s="38" t="s">
        <v>58</v>
      </c>
      <c r="W2" s="38" t="s">
        <v>69</v>
      </c>
      <c r="X2" s="38" t="s">
        <v>70</v>
      </c>
      <c r="Y2" s="38" t="s">
        <v>62</v>
      </c>
      <c r="Z2" s="40" t="s">
        <v>100</v>
      </c>
      <c r="AA2" s="333" t="s">
        <v>1963</v>
      </c>
      <c r="BA2" t="s">
        <v>71</v>
      </c>
      <c r="BB2" t="s">
        <v>65</v>
      </c>
    </row>
    <row r="3" spans="1:54">
      <c r="A3" t="s">
        <v>127</v>
      </c>
      <c r="B3" s="228">
        <v>42005</v>
      </c>
      <c r="C3" t="s">
        <v>74</v>
      </c>
      <c r="D3" t="s">
        <v>75</v>
      </c>
      <c r="E3" t="s">
        <v>76</v>
      </c>
      <c r="F3" t="s">
        <v>75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s="35" t="s">
        <v>82</v>
      </c>
      <c r="M3" s="35" t="s">
        <v>83</v>
      </c>
      <c r="N3" t="s">
        <v>84</v>
      </c>
      <c r="O3" t="s">
        <v>75</v>
      </c>
      <c r="P3" t="s">
        <v>75</v>
      </c>
      <c r="Q3" t="s">
        <v>85</v>
      </c>
      <c r="R3" t="s">
        <v>86</v>
      </c>
      <c r="T3" t="s">
        <v>87</v>
      </c>
      <c r="U3" t="s">
        <v>88</v>
      </c>
      <c r="V3" t="s">
        <v>89</v>
      </c>
      <c r="W3" t="s">
        <v>23</v>
      </c>
      <c r="X3" t="s">
        <v>23</v>
      </c>
      <c r="Y3" t="s">
        <v>65</v>
      </c>
      <c r="Z3" t="s">
        <v>1351</v>
      </c>
      <c r="BA3" t="s">
        <v>66</v>
      </c>
      <c r="BB3" t="s">
        <v>1809</v>
      </c>
    </row>
    <row r="4" spans="1:54">
      <c r="A4" t="s">
        <v>128</v>
      </c>
      <c r="B4" s="228">
        <v>42062</v>
      </c>
      <c r="C4" t="s">
        <v>1844</v>
      </c>
      <c r="D4" t="s">
        <v>75</v>
      </c>
      <c r="E4" t="s">
        <v>91</v>
      </c>
      <c r="F4" t="s">
        <v>75</v>
      </c>
      <c r="G4" t="s">
        <v>92</v>
      </c>
      <c r="H4" t="s">
        <v>78</v>
      </c>
      <c r="I4" t="s">
        <v>93</v>
      </c>
      <c r="J4" t="s">
        <v>94</v>
      </c>
      <c r="K4" s="35" t="s">
        <v>75</v>
      </c>
      <c r="L4" s="35" t="s">
        <v>95</v>
      </c>
      <c r="M4" t="s">
        <v>96</v>
      </c>
      <c r="N4" t="s">
        <v>97</v>
      </c>
      <c r="O4" t="s">
        <v>75</v>
      </c>
      <c r="P4" t="s">
        <v>75</v>
      </c>
      <c r="Q4" t="s">
        <v>1853</v>
      </c>
      <c r="R4">
        <v>1103559257</v>
      </c>
      <c r="S4" t="s">
        <v>284</v>
      </c>
      <c r="T4">
        <v>12040500</v>
      </c>
      <c r="U4" t="s">
        <v>88</v>
      </c>
      <c r="V4" t="s">
        <v>89</v>
      </c>
      <c r="W4" t="s">
        <v>72</v>
      </c>
      <c r="Y4" t="s">
        <v>65</v>
      </c>
      <c r="Z4" t="s">
        <v>99</v>
      </c>
      <c r="BA4" t="s">
        <v>72</v>
      </c>
      <c r="BB4" t="s">
        <v>66</v>
      </c>
    </row>
    <row r="5" spans="1:54">
      <c r="A5" t="s">
        <v>242</v>
      </c>
      <c r="B5" s="228">
        <v>41949</v>
      </c>
      <c r="C5" t="s">
        <v>243</v>
      </c>
      <c r="D5" t="s">
        <v>75</v>
      </c>
      <c r="E5" t="s">
        <v>244</v>
      </c>
      <c r="F5" t="s">
        <v>75</v>
      </c>
      <c r="G5" t="s">
        <v>245</v>
      </c>
      <c r="H5" t="s">
        <v>246</v>
      </c>
      <c r="I5" t="s">
        <v>247</v>
      </c>
      <c r="J5" t="s">
        <v>248</v>
      </c>
      <c r="K5" s="35" t="s">
        <v>249</v>
      </c>
      <c r="L5" s="35" t="s">
        <v>250</v>
      </c>
      <c r="M5" s="263" t="s">
        <v>1642</v>
      </c>
      <c r="N5" t="s">
        <v>75</v>
      </c>
      <c r="O5" t="s">
        <v>251</v>
      </c>
      <c r="P5" t="s">
        <v>75</v>
      </c>
      <c r="Q5" t="s">
        <v>248</v>
      </c>
      <c r="R5" t="s">
        <v>252</v>
      </c>
      <c r="T5" t="s">
        <v>253</v>
      </c>
      <c r="U5" t="s">
        <v>88</v>
      </c>
      <c r="V5" t="s">
        <v>241</v>
      </c>
      <c r="W5" t="s">
        <v>71</v>
      </c>
      <c r="X5" t="s">
        <v>98</v>
      </c>
      <c r="Y5" t="s">
        <v>65</v>
      </c>
      <c r="Z5" t="s">
        <v>75</v>
      </c>
      <c r="BA5" t="s">
        <v>23</v>
      </c>
      <c r="BB5" t="s">
        <v>67</v>
      </c>
    </row>
    <row r="6" spans="1:54">
      <c r="A6" t="s">
        <v>255</v>
      </c>
      <c r="B6" s="228">
        <v>42019</v>
      </c>
      <c r="C6" t="s">
        <v>256</v>
      </c>
      <c r="D6" t="s">
        <v>75</v>
      </c>
      <c r="E6" t="s">
        <v>257</v>
      </c>
      <c r="F6" t="s">
        <v>75</v>
      </c>
      <c r="G6" t="s">
        <v>258</v>
      </c>
      <c r="H6" t="s">
        <v>78</v>
      </c>
      <c r="I6" t="s">
        <v>259</v>
      </c>
      <c r="J6" t="s">
        <v>256</v>
      </c>
      <c r="K6" s="35" t="s">
        <v>75</v>
      </c>
      <c r="L6" s="35" t="s">
        <v>260</v>
      </c>
      <c r="M6" t="s">
        <v>261</v>
      </c>
      <c r="N6" t="s">
        <v>75</v>
      </c>
      <c r="O6" t="s">
        <v>75</v>
      </c>
      <c r="P6" t="s">
        <v>75</v>
      </c>
      <c r="Q6" t="s">
        <v>75</v>
      </c>
      <c r="R6" t="s">
        <v>75</v>
      </c>
      <c r="T6" t="s">
        <v>75</v>
      </c>
      <c r="U6" t="s">
        <v>75</v>
      </c>
      <c r="V6" t="s">
        <v>75</v>
      </c>
      <c r="W6" t="s">
        <v>72</v>
      </c>
      <c r="X6" t="s">
        <v>75</v>
      </c>
      <c r="Y6" t="s">
        <v>65</v>
      </c>
      <c r="Z6" t="s">
        <v>99</v>
      </c>
      <c r="BB6" t="s">
        <v>68</v>
      </c>
    </row>
    <row r="7" spans="1:54">
      <c r="A7" s="225" t="s">
        <v>201</v>
      </c>
      <c r="B7" s="340">
        <v>42005</v>
      </c>
      <c r="C7" t="s">
        <v>1343</v>
      </c>
      <c r="E7" t="s">
        <v>1794</v>
      </c>
      <c r="G7" s="225" t="s">
        <v>1795</v>
      </c>
      <c r="H7" s="225" t="s">
        <v>78</v>
      </c>
      <c r="I7" s="339" t="s">
        <v>1325</v>
      </c>
      <c r="J7" t="s">
        <v>1343</v>
      </c>
      <c r="L7" s="35" t="s">
        <v>1796</v>
      </c>
      <c r="M7" t="s">
        <v>1344</v>
      </c>
      <c r="Q7" s="225" t="s">
        <v>1798</v>
      </c>
      <c r="R7" s="339" t="s">
        <v>1799</v>
      </c>
      <c r="T7">
        <v>470010</v>
      </c>
      <c r="U7" s="225" t="s">
        <v>213</v>
      </c>
      <c r="V7" s="225" t="s">
        <v>214</v>
      </c>
      <c r="W7" t="s">
        <v>23</v>
      </c>
      <c r="X7" t="s">
        <v>23</v>
      </c>
      <c r="Y7" t="s">
        <v>65</v>
      </c>
      <c r="Z7" t="s">
        <v>1352</v>
      </c>
    </row>
    <row r="8" spans="1:54">
      <c r="A8" t="s">
        <v>1772</v>
      </c>
      <c r="B8" s="228">
        <v>42079</v>
      </c>
      <c r="C8" t="s">
        <v>1773</v>
      </c>
      <c r="D8" t="s">
        <v>1774</v>
      </c>
      <c r="E8" t="s">
        <v>1775</v>
      </c>
      <c r="F8" t="s">
        <v>1776</v>
      </c>
      <c r="G8" t="s">
        <v>1777</v>
      </c>
      <c r="H8" t="s">
        <v>78</v>
      </c>
      <c r="I8" t="s">
        <v>1749</v>
      </c>
      <c r="J8" t="s">
        <v>1778</v>
      </c>
      <c r="K8" s="35" t="s">
        <v>75</v>
      </c>
      <c r="L8" s="35" t="s">
        <v>1779</v>
      </c>
      <c r="M8" t="s">
        <v>1780</v>
      </c>
      <c r="N8" t="s">
        <v>75</v>
      </c>
      <c r="O8" t="s">
        <v>75</v>
      </c>
      <c r="P8" t="s">
        <v>75</v>
      </c>
      <c r="Q8" t="s">
        <v>1781</v>
      </c>
      <c r="R8" t="s">
        <v>1782</v>
      </c>
      <c r="S8" t="s">
        <v>1783</v>
      </c>
      <c r="T8" t="s">
        <v>1784</v>
      </c>
      <c r="U8" t="s">
        <v>213</v>
      </c>
      <c r="V8" t="s">
        <v>89</v>
      </c>
      <c r="W8" t="s">
        <v>23</v>
      </c>
      <c r="X8" t="s">
        <v>23</v>
      </c>
      <c r="Y8" t="s">
        <v>65</v>
      </c>
      <c r="Z8" t="s">
        <v>1785</v>
      </c>
    </row>
    <row r="9" spans="1:54">
      <c r="A9" t="s">
        <v>2024</v>
      </c>
      <c r="B9" s="454">
        <v>42163</v>
      </c>
      <c r="C9" t="s">
        <v>2025</v>
      </c>
      <c r="D9" t="s">
        <v>75</v>
      </c>
      <c r="E9" t="s">
        <v>2026</v>
      </c>
      <c r="F9" t="s">
        <v>2027</v>
      </c>
      <c r="G9" t="s">
        <v>2028</v>
      </c>
      <c r="H9" t="s">
        <v>78</v>
      </c>
      <c r="I9">
        <v>7785</v>
      </c>
      <c r="J9" t="s">
        <v>2025</v>
      </c>
      <c r="K9" s="35" t="s">
        <v>2029</v>
      </c>
      <c r="L9" s="35" t="s">
        <v>2030</v>
      </c>
      <c r="M9" t="s">
        <v>2031</v>
      </c>
      <c r="N9" t="s">
        <v>75</v>
      </c>
      <c r="O9" t="s">
        <v>75</v>
      </c>
      <c r="P9" t="s">
        <v>75</v>
      </c>
      <c r="Q9" t="s">
        <v>75</v>
      </c>
      <c r="R9" t="s">
        <v>75</v>
      </c>
      <c r="S9" t="s">
        <v>75</v>
      </c>
      <c r="T9" t="s">
        <v>75</v>
      </c>
      <c r="U9" t="s">
        <v>75</v>
      </c>
      <c r="V9" t="s">
        <v>75</v>
      </c>
      <c r="W9" t="s">
        <v>23</v>
      </c>
      <c r="X9" t="s">
        <v>75</v>
      </c>
      <c r="Y9" t="s">
        <v>65</v>
      </c>
      <c r="Z9" t="s">
        <v>75</v>
      </c>
    </row>
    <row r="10" spans="1:54">
      <c r="A10" t="s">
        <v>2281</v>
      </c>
      <c r="B10" s="350" t="s">
        <v>2292</v>
      </c>
      <c r="C10" t="s">
        <v>2293</v>
      </c>
      <c r="D10" t="s">
        <v>2294</v>
      </c>
      <c r="E10" t="s">
        <v>2295</v>
      </c>
      <c r="F10" t="s">
        <v>2296</v>
      </c>
      <c r="G10" t="s">
        <v>2297</v>
      </c>
      <c r="H10" t="s">
        <v>78</v>
      </c>
      <c r="I10">
        <v>7784</v>
      </c>
      <c r="J10" t="s">
        <v>2298</v>
      </c>
      <c r="K10" s="35" t="s">
        <v>2299</v>
      </c>
      <c r="L10" s="35" t="s">
        <v>2300</v>
      </c>
      <c r="M10" t="s">
        <v>2301</v>
      </c>
      <c r="N10" t="s">
        <v>2302</v>
      </c>
      <c r="O10" t="s">
        <v>75</v>
      </c>
      <c r="P10" t="s">
        <v>75</v>
      </c>
      <c r="Q10" t="s">
        <v>75</v>
      </c>
      <c r="R10" t="s">
        <v>75</v>
      </c>
      <c r="S10" t="s">
        <v>75</v>
      </c>
      <c r="T10" t="s">
        <v>75</v>
      </c>
      <c r="U10" t="s">
        <v>75</v>
      </c>
      <c r="V10" t="s">
        <v>75</v>
      </c>
      <c r="W10" t="s">
        <v>23</v>
      </c>
      <c r="X10" t="s">
        <v>75</v>
      </c>
      <c r="Y10" t="s">
        <v>65</v>
      </c>
      <c r="Z10" t="s">
        <v>75</v>
      </c>
    </row>
  </sheetData>
  <conditionalFormatting sqref="Q3:V1000 X8">
    <cfRule type="expression" dxfId="83" priority="4">
      <formula>AND($A3&lt;&gt;"",Q3="")</formula>
    </cfRule>
  </conditionalFormatting>
  <conditionalFormatting sqref="A3:A8">
    <cfRule type="expression" dxfId="82" priority="3">
      <formula>COUNTIF($A$3:$A$1000,A3)&gt;1</formula>
    </cfRule>
  </conditionalFormatting>
  <conditionalFormatting sqref="G3:I2000">
    <cfRule type="expression" dxfId="81" priority="2">
      <formula>AND($A3&lt;&gt;"",G3="")</formula>
    </cfRule>
  </conditionalFormatting>
  <conditionalFormatting sqref="M3:M4 M6:M2000">
    <cfRule type="expression" dxfId="80" priority="1">
      <formula>AND($A3&lt;&gt;"",M3="")</formula>
    </cfRule>
  </conditionalFormatting>
  <dataValidations count="1">
    <dataValidation type="list" allowBlank="1" showInputMessage="1" showErrorMessage="1" sqref="Y3:Y1000">
      <formula1>LicenseeStatus</formula1>
    </dataValidation>
  </dataValidations>
  <hyperlinks>
    <hyperlink ref="M5" r:id="rId1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AM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1" max="1" width="15.5703125" customWidth="1"/>
    <col min="2" max="2" width="34.7109375" customWidth="1"/>
    <col min="3" max="3" width="12.5703125" customWidth="1"/>
    <col min="4" max="4" width="12.85546875" style="398" customWidth="1"/>
    <col min="5" max="5" width="12.42578125" customWidth="1"/>
    <col min="6" max="6" width="18.28515625" customWidth="1"/>
    <col min="7" max="7" width="18.140625" customWidth="1"/>
    <col min="8" max="8" width="18.42578125" customWidth="1"/>
    <col min="9" max="9" width="13.28515625" customWidth="1"/>
    <col min="10" max="10" width="11.85546875" style="35" customWidth="1"/>
    <col min="11" max="11" width="13.7109375" style="35" customWidth="1"/>
    <col min="12" max="12" width="13.85546875" style="35" customWidth="1"/>
    <col min="13" max="13" width="28.5703125" customWidth="1"/>
    <col min="14" max="14" width="31.42578125" style="446" customWidth="1"/>
    <col min="15" max="15" width="15.7109375" style="35" customWidth="1"/>
    <col min="16" max="16" width="12.42578125" customWidth="1"/>
    <col min="18" max="18" width="11.85546875" customWidth="1"/>
    <col min="19" max="19" width="14.85546875" style="36" customWidth="1"/>
    <col min="20" max="21" width="16" style="35" customWidth="1"/>
    <col min="22" max="22" width="14.7109375" style="35" customWidth="1"/>
    <col min="23" max="24" width="14.7109375" style="36" customWidth="1"/>
    <col min="25" max="25" width="30.42578125" customWidth="1"/>
    <col min="28" max="28" width="14.85546875" style="41" customWidth="1"/>
    <col min="31" max="31" width="6.85546875" customWidth="1"/>
    <col min="32" max="32" width="5.7109375" customWidth="1"/>
    <col min="33" max="33" width="15" customWidth="1"/>
  </cols>
  <sheetData>
    <row r="1" spans="1:39" ht="24.75" customHeight="1">
      <c r="A1" s="117" t="s">
        <v>101</v>
      </c>
      <c r="B1" s="117"/>
      <c r="H1" s="306" t="s">
        <v>2036</v>
      </c>
      <c r="I1" s="441">
        <f>COUNTA(A3:A18)</f>
        <v>1</v>
      </c>
      <c r="AM1" t="s">
        <v>62</v>
      </c>
    </row>
    <row r="2" spans="1:39">
      <c r="A2" s="42" t="s">
        <v>2037</v>
      </c>
      <c r="B2" s="42" t="s">
        <v>2038</v>
      </c>
      <c r="C2" s="42" t="s">
        <v>103</v>
      </c>
      <c r="D2" s="443" t="s">
        <v>104</v>
      </c>
      <c r="E2" s="42" t="s">
        <v>43</v>
      </c>
      <c r="F2" s="42" t="s">
        <v>107</v>
      </c>
      <c r="G2" s="42" t="s">
        <v>108</v>
      </c>
      <c r="H2" s="42" t="s">
        <v>46</v>
      </c>
      <c r="I2" s="42" t="s">
        <v>47</v>
      </c>
      <c r="J2" s="44" t="s">
        <v>109</v>
      </c>
      <c r="K2" s="44" t="s">
        <v>2039</v>
      </c>
      <c r="L2" s="44" t="s">
        <v>53</v>
      </c>
      <c r="M2" s="42" t="s">
        <v>111</v>
      </c>
      <c r="N2" s="447" t="s">
        <v>50</v>
      </c>
      <c r="O2" s="44" t="s">
        <v>53</v>
      </c>
      <c r="P2" s="44" t="s">
        <v>56</v>
      </c>
      <c r="Q2" s="44" t="s">
        <v>57</v>
      </c>
      <c r="R2" s="44" t="s">
        <v>62</v>
      </c>
      <c r="S2" s="43" t="s">
        <v>59</v>
      </c>
      <c r="T2" s="44" t="s">
        <v>60</v>
      </c>
      <c r="U2" s="44" t="s">
        <v>1438</v>
      </c>
      <c r="V2" s="44" t="s">
        <v>210</v>
      </c>
      <c r="W2" s="43" t="s">
        <v>61</v>
      </c>
      <c r="X2" s="43" t="s">
        <v>58</v>
      </c>
      <c r="Y2" s="44" t="s">
        <v>100</v>
      </c>
      <c r="AB2" s="333" t="s">
        <v>1771</v>
      </c>
      <c r="AD2" s="225"/>
      <c r="AM2" s="237" t="s">
        <v>65</v>
      </c>
    </row>
    <row r="3" spans="1:39">
      <c r="A3" t="s">
        <v>2040</v>
      </c>
      <c r="B3" t="s">
        <v>2041</v>
      </c>
      <c r="C3" t="s">
        <v>2024</v>
      </c>
      <c r="D3" s="398">
        <v>42156</v>
      </c>
      <c r="F3" t="s">
        <v>2042</v>
      </c>
      <c r="G3" t="s">
        <v>2043</v>
      </c>
      <c r="H3" t="s">
        <v>2044</v>
      </c>
      <c r="I3" t="s">
        <v>78</v>
      </c>
      <c r="J3" s="35" t="s">
        <v>2045</v>
      </c>
      <c r="L3" s="35" t="s">
        <v>2046</v>
      </c>
      <c r="M3" s="263"/>
      <c r="N3" s="448" t="s">
        <v>2047</v>
      </c>
      <c r="O3" s="35" t="s">
        <v>2046</v>
      </c>
      <c r="S3" t="s">
        <v>2041</v>
      </c>
      <c r="T3" s="35" t="s">
        <v>2048</v>
      </c>
      <c r="U3" s="35" t="s">
        <v>2049</v>
      </c>
      <c r="W3" s="36" t="s">
        <v>213</v>
      </c>
      <c r="X3" s="36" t="s">
        <v>291</v>
      </c>
      <c r="AM3" s="237" t="s">
        <v>1656</v>
      </c>
    </row>
    <row r="4" spans="1:39">
      <c r="I4" s="225"/>
      <c r="S4" s="37"/>
      <c r="AM4" s="237"/>
    </row>
    <row r="5" spans="1:39">
      <c r="M5" s="263"/>
      <c r="N5" s="448"/>
      <c r="S5" s="37"/>
      <c r="W5" s="37"/>
      <c r="X5" s="37"/>
      <c r="AM5" s="237"/>
    </row>
    <row r="6" spans="1:39">
      <c r="AM6" s="237"/>
    </row>
    <row r="7" spans="1:39">
      <c r="E7" s="36"/>
      <c r="K7"/>
      <c r="M7" s="35"/>
      <c r="O7"/>
      <c r="P7" s="35"/>
      <c r="R7" s="41"/>
      <c r="S7" s="37"/>
      <c r="W7" s="37"/>
      <c r="X7" s="37"/>
      <c r="AM7" s="237"/>
    </row>
    <row r="8" spans="1:39">
      <c r="AM8" s="237"/>
    </row>
    <row r="10" spans="1:39">
      <c r="M10" s="263"/>
      <c r="N10" s="448"/>
    </row>
    <row r="11" spans="1:39">
      <c r="M11" s="263"/>
      <c r="N11" s="448"/>
      <c r="Y11" s="37"/>
    </row>
    <row r="12" spans="1:39">
      <c r="M12" s="263"/>
      <c r="N12" s="448"/>
    </row>
    <row r="13" spans="1:39">
      <c r="M13" s="263"/>
      <c r="N13" s="448"/>
    </row>
    <row r="14" spans="1:39">
      <c r="D14" s="392"/>
    </row>
    <row r="15" spans="1:39">
      <c r="M15" s="263"/>
      <c r="N15" s="448"/>
    </row>
    <row r="16" spans="1:39">
      <c r="J16"/>
      <c r="K16"/>
      <c r="L16"/>
      <c r="O16"/>
      <c r="S16"/>
      <c r="T16"/>
      <c r="U16"/>
      <c r="V16"/>
      <c r="W16"/>
      <c r="X16"/>
      <c r="AB16"/>
    </row>
    <row r="18" spans="4:25">
      <c r="M18" s="263"/>
      <c r="N18" s="448"/>
    </row>
    <row r="19" spans="4:25">
      <c r="M19" s="263"/>
      <c r="N19" s="448"/>
      <c r="Y19" s="37"/>
    </row>
    <row r="20" spans="4:25">
      <c r="D20" s="392"/>
    </row>
  </sheetData>
  <conditionalFormatting sqref="H5:J11 I3:J4 S3:X17">
    <cfRule type="expression" dxfId="79" priority="7">
      <formula>AND($A3&lt;&gt;"",H3="")</formula>
    </cfRule>
  </conditionalFormatting>
  <conditionalFormatting sqref="H3:H4">
    <cfRule type="expression" dxfId="78" priority="5">
      <formula>AND($A3&lt;&gt;"",H3="")</formula>
    </cfRule>
  </conditionalFormatting>
  <conditionalFormatting sqref="O4:O17">
    <cfRule type="expression" dxfId="77" priority="4">
      <formula>AND(A4&lt;&gt;"",LEN(O4)&lt;&gt;13)</formula>
    </cfRule>
  </conditionalFormatting>
  <conditionalFormatting sqref="A2:B3 A5:B8">
    <cfRule type="expression" dxfId="76" priority="3">
      <formula>COUNTIF($A$3:$A$18,A3)&gt;1</formula>
    </cfRule>
  </conditionalFormatting>
  <conditionalFormatting sqref="A4:B4">
    <cfRule type="expression" dxfId="75" priority="2">
      <formula>COUNTIF($A$3:$A$18,#REF!)&gt;1</formula>
    </cfRule>
  </conditionalFormatting>
  <conditionalFormatting sqref="S3">
    <cfRule type="expression" dxfId="74" priority="1">
      <formula>COUNTIF($A$3:$A$18,S4)&gt;1</formula>
    </cfRule>
  </conditionalFormatting>
  <dataValidations count="1">
    <dataValidation type="list" allowBlank="1" showInputMessage="1" showErrorMessage="1" sqref="R3:R17">
      <formula1>$AM$2:$AM$8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S2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1" max="1" width="11.85546875" customWidth="1"/>
    <col min="2" max="2" width="12.5703125" customWidth="1"/>
    <col min="3" max="3" width="12.85546875" style="228" customWidth="1"/>
    <col min="4" max="4" width="12.42578125" customWidth="1"/>
    <col min="5" max="5" width="10.5703125" customWidth="1"/>
    <col min="6" max="6" width="18.28515625" customWidth="1"/>
    <col min="7" max="7" width="18.140625" customWidth="1"/>
    <col min="8" max="8" width="18.42578125" customWidth="1"/>
    <col min="9" max="9" width="13.28515625" customWidth="1"/>
    <col min="11" max="11" width="11.85546875" style="35" customWidth="1"/>
    <col min="12" max="12" width="13.7109375" style="35" customWidth="1"/>
    <col min="13" max="13" width="13.85546875" style="35" customWidth="1"/>
    <col min="14" max="14" width="28.5703125" customWidth="1"/>
    <col min="15" max="15" width="15.7109375" style="35" customWidth="1"/>
    <col min="16" max="16" width="12.42578125" customWidth="1"/>
    <col min="19" max="19" width="9.140625" style="35"/>
    <col min="20" max="20" width="9.140625" style="41"/>
    <col min="21" max="21" width="10.140625" style="41" customWidth="1"/>
    <col min="22" max="22" width="11.85546875" customWidth="1"/>
    <col min="23" max="23" width="12.42578125" style="36" customWidth="1"/>
    <col min="24" max="25" width="14.7109375" style="36" customWidth="1"/>
    <col min="26" max="27" width="16" style="35" customWidth="1"/>
    <col min="28" max="28" width="14.7109375" style="35" customWidth="1"/>
    <col min="29" max="30" width="14.7109375" style="36" customWidth="1"/>
    <col min="31" max="31" width="30.42578125" customWidth="1"/>
    <col min="34" max="34" width="14.85546875" style="41" customWidth="1"/>
    <col min="37" max="37" width="6.85546875" customWidth="1"/>
    <col min="38" max="38" width="5.7109375" customWidth="1"/>
    <col min="39" max="39" width="15" customWidth="1"/>
  </cols>
  <sheetData>
    <row r="1" spans="1:45" ht="24.75" customHeight="1">
      <c r="A1" s="117" t="s">
        <v>101</v>
      </c>
      <c r="H1" s="306" t="s">
        <v>1715</v>
      </c>
      <c r="I1" s="302">
        <f>COUNTA(A3:A18)</f>
        <v>16</v>
      </c>
      <c r="AS1" t="s">
        <v>62</v>
      </c>
    </row>
    <row r="2" spans="1:45">
      <c r="A2" s="42" t="s">
        <v>102</v>
      </c>
      <c r="B2" s="42" t="s">
        <v>103</v>
      </c>
      <c r="C2" s="342" t="s">
        <v>104</v>
      </c>
      <c r="D2" s="42" t="s">
        <v>105</v>
      </c>
      <c r="E2" s="42" t="s">
        <v>106</v>
      </c>
      <c r="F2" s="42" t="s">
        <v>107</v>
      </c>
      <c r="G2" s="42" t="s">
        <v>108</v>
      </c>
      <c r="H2" s="42" t="s">
        <v>46</v>
      </c>
      <c r="I2" s="42" t="s">
        <v>47</v>
      </c>
      <c r="J2" s="42" t="s">
        <v>48</v>
      </c>
      <c r="K2" s="44" t="s">
        <v>109</v>
      </c>
      <c r="L2" s="44" t="s">
        <v>110</v>
      </c>
      <c r="M2" s="44" t="s">
        <v>53</v>
      </c>
      <c r="N2" s="42" t="s">
        <v>111</v>
      </c>
      <c r="O2" s="44" t="s">
        <v>112</v>
      </c>
      <c r="P2" s="44" t="s">
        <v>56</v>
      </c>
      <c r="Q2" s="44" t="s">
        <v>57</v>
      </c>
      <c r="R2" s="44" t="s">
        <v>113</v>
      </c>
      <c r="S2" s="44" t="s">
        <v>114</v>
      </c>
      <c r="T2" s="45" t="s">
        <v>129</v>
      </c>
      <c r="U2" s="45" t="s">
        <v>130</v>
      </c>
      <c r="V2" s="44" t="s">
        <v>62</v>
      </c>
      <c r="W2" s="43" t="s">
        <v>118</v>
      </c>
      <c r="X2" s="43" t="s">
        <v>119</v>
      </c>
      <c r="Y2" s="43" t="s">
        <v>59</v>
      </c>
      <c r="Z2" s="44" t="s">
        <v>60</v>
      </c>
      <c r="AA2" s="44" t="s">
        <v>1438</v>
      </c>
      <c r="AB2" s="44" t="s">
        <v>210</v>
      </c>
      <c r="AC2" s="43" t="s">
        <v>61</v>
      </c>
      <c r="AD2" s="43" t="s">
        <v>58</v>
      </c>
      <c r="AE2" s="44" t="s">
        <v>100</v>
      </c>
      <c r="AH2" s="333" t="s">
        <v>1771</v>
      </c>
      <c r="AJ2" s="225" t="s">
        <v>1636</v>
      </c>
      <c r="AO2">
        <v>1</v>
      </c>
      <c r="AQ2" t="s">
        <v>115</v>
      </c>
      <c r="AR2" t="s">
        <v>115</v>
      </c>
      <c r="AS2" s="237" t="s">
        <v>65</v>
      </c>
    </row>
    <row r="3" spans="1:45">
      <c r="A3" t="s">
        <v>131</v>
      </c>
      <c r="B3" t="s">
        <v>127</v>
      </c>
      <c r="C3" s="429">
        <v>42005</v>
      </c>
      <c r="D3" t="s">
        <v>122</v>
      </c>
      <c r="E3" t="s">
        <v>123</v>
      </c>
      <c r="F3" t="s">
        <v>124</v>
      </c>
      <c r="G3" t="s">
        <v>75</v>
      </c>
      <c r="H3" t="s">
        <v>125</v>
      </c>
      <c r="I3" t="s">
        <v>78</v>
      </c>
      <c r="J3" t="s">
        <v>120</v>
      </c>
      <c r="K3" s="35" t="s">
        <v>79</v>
      </c>
      <c r="L3" s="35" t="s">
        <v>81</v>
      </c>
      <c r="M3" s="35" t="s">
        <v>82</v>
      </c>
      <c r="N3" s="263" t="s">
        <v>1644</v>
      </c>
      <c r="O3" s="35" t="s">
        <v>126</v>
      </c>
      <c r="P3" t="s">
        <v>75</v>
      </c>
      <c r="Q3" t="s">
        <v>75</v>
      </c>
      <c r="R3" t="s">
        <v>23</v>
      </c>
      <c r="S3" s="35" t="s">
        <v>75</v>
      </c>
      <c r="T3" s="41" t="s">
        <v>115</v>
      </c>
      <c r="U3" s="41" t="s">
        <v>115</v>
      </c>
      <c r="V3" t="s">
        <v>65</v>
      </c>
      <c r="W3" s="36" t="s">
        <v>121</v>
      </c>
      <c r="X3" s="37" t="s">
        <v>121</v>
      </c>
      <c r="Y3" s="37" t="s">
        <v>80</v>
      </c>
      <c r="Z3" s="35" t="s">
        <v>240</v>
      </c>
      <c r="AA3" s="35" t="s">
        <v>1626</v>
      </c>
      <c r="AC3" s="37" t="s">
        <v>213</v>
      </c>
      <c r="AD3" s="37" t="s">
        <v>241</v>
      </c>
      <c r="AE3" t="s">
        <v>1332</v>
      </c>
      <c r="AJ3" t="str">
        <f t="shared" ref="AJ3:AJ17" ca="1" si="0">IF(E3="","",INDIRECT("Agent!D"&amp;ROW())&amp;" "&amp;INDIRECT("Agent!E"&amp;ROW()))</f>
        <v>Brian F Black</v>
      </c>
      <c r="AQ3" t="s">
        <v>116</v>
      </c>
      <c r="AR3" t="s">
        <v>116</v>
      </c>
      <c r="AS3" s="237" t="s">
        <v>262</v>
      </c>
    </row>
    <row r="4" spans="1:45">
      <c r="A4" t="s">
        <v>1830</v>
      </c>
      <c r="B4" t="s">
        <v>127</v>
      </c>
      <c r="C4" s="429">
        <v>42109</v>
      </c>
      <c r="D4" t="s">
        <v>1831</v>
      </c>
      <c r="E4" t="s">
        <v>1832</v>
      </c>
      <c r="F4" t="s">
        <v>1833</v>
      </c>
      <c r="G4" t="s">
        <v>75</v>
      </c>
      <c r="H4" t="s">
        <v>125</v>
      </c>
      <c r="I4" t="s">
        <v>78</v>
      </c>
      <c r="J4" t="s">
        <v>120</v>
      </c>
      <c r="K4" s="35" t="s">
        <v>79</v>
      </c>
      <c r="L4" s="35" t="s">
        <v>75</v>
      </c>
      <c r="M4" s="35" t="s">
        <v>1834</v>
      </c>
      <c r="N4" s="263" t="s">
        <v>1835</v>
      </c>
      <c r="O4" s="35" t="s">
        <v>1836</v>
      </c>
      <c r="P4" t="s">
        <v>75</v>
      </c>
      <c r="Q4" t="s">
        <v>1837</v>
      </c>
      <c r="R4" t="s">
        <v>116</v>
      </c>
      <c r="S4" s="35" t="s">
        <v>75</v>
      </c>
      <c r="T4" s="41" t="s">
        <v>115</v>
      </c>
      <c r="U4" s="41" t="s">
        <v>115</v>
      </c>
      <c r="V4" t="s">
        <v>65</v>
      </c>
      <c r="W4" s="350" t="s">
        <v>75</v>
      </c>
      <c r="X4" s="350" t="s">
        <v>75</v>
      </c>
      <c r="Y4" s="36" t="s">
        <v>1838</v>
      </c>
      <c r="Z4" s="35" t="s">
        <v>1839</v>
      </c>
      <c r="AA4" s="35" t="s">
        <v>75</v>
      </c>
      <c r="AB4" s="35" t="s">
        <v>278</v>
      </c>
      <c r="AC4" s="36" t="s">
        <v>213</v>
      </c>
      <c r="AD4" s="36" t="s">
        <v>214</v>
      </c>
      <c r="AE4" t="s">
        <v>75</v>
      </c>
      <c r="AJ4" t="str">
        <f t="shared" ca="1" si="0"/>
        <v>Evan Aarons</v>
      </c>
      <c r="AQ4" t="s">
        <v>23</v>
      </c>
      <c r="AS4" s="237" t="s">
        <v>67</v>
      </c>
    </row>
    <row r="5" spans="1:45">
      <c r="A5" t="s">
        <v>1786</v>
      </c>
      <c r="B5" t="s">
        <v>1772</v>
      </c>
      <c r="C5" s="228">
        <v>42079</v>
      </c>
      <c r="D5" t="s">
        <v>1787</v>
      </c>
      <c r="E5" t="s">
        <v>1788</v>
      </c>
      <c r="F5" t="s">
        <v>1775</v>
      </c>
      <c r="G5" t="s">
        <v>1776</v>
      </c>
      <c r="H5" t="s">
        <v>1777</v>
      </c>
      <c r="I5" t="s">
        <v>78</v>
      </c>
      <c r="J5" t="s">
        <v>120</v>
      </c>
      <c r="K5" s="35" t="s">
        <v>1789</v>
      </c>
      <c r="L5" s="35" t="s">
        <v>75</v>
      </c>
      <c r="M5" s="35" t="s">
        <v>1779</v>
      </c>
      <c r="N5" s="263" t="s">
        <v>1780</v>
      </c>
      <c r="O5" s="35" t="s">
        <v>1790</v>
      </c>
      <c r="P5" t="s">
        <v>75</v>
      </c>
      <c r="Q5" t="s">
        <v>75</v>
      </c>
      <c r="R5" t="s">
        <v>116</v>
      </c>
      <c r="S5" s="35" t="s">
        <v>75</v>
      </c>
      <c r="T5" s="41" t="s">
        <v>116</v>
      </c>
      <c r="U5" s="41" t="s">
        <v>116</v>
      </c>
      <c r="V5" t="s">
        <v>65</v>
      </c>
      <c r="W5" s="37" t="s">
        <v>1791</v>
      </c>
      <c r="X5" s="336" t="s">
        <v>1807</v>
      </c>
      <c r="Y5" s="36" t="s">
        <v>1781</v>
      </c>
      <c r="Z5" s="35" t="s">
        <v>1792</v>
      </c>
      <c r="AA5" s="35" t="s">
        <v>1783</v>
      </c>
      <c r="AB5" s="35" t="s">
        <v>1784</v>
      </c>
      <c r="AC5" s="36" t="s">
        <v>213</v>
      </c>
      <c r="AD5" s="36" t="s">
        <v>89</v>
      </c>
      <c r="AE5" t="s">
        <v>1793</v>
      </c>
      <c r="AJ5" t="str">
        <f t="shared" ca="1" si="0"/>
        <v>Craig Du Mont</v>
      </c>
      <c r="AS5" s="237" t="s">
        <v>117</v>
      </c>
    </row>
    <row r="6" spans="1:45">
      <c r="A6" t="s">
        <v>2152</v>
      </c>
      <c r="B6" t="s">
        <v>1810</v>
      </c>
      <c r="C6" s="399">
        <v>42110</v>
      </c>
      <c r="D6" t="s">
        <v>1822</v>
      </c>
      <c r="E6" t="s">
        <v>1811</v>
      </c>
      <c r="F6" t="s">
        <v>1812</v>
      </c>
      <c r="G6" t="s">
        <v>75</v>
      </c>
      <c r="H6" t="s">
        <v>1813</v>
      </c>
      <c r="I6" t="s">
        <v>1814</v>
      </c>
      <c r="J6" t="s">
        <v>120</v>
      </c>
      <c r="K6" s="35" t="s">
        <v>1815</v>
      </c>
      <c r="L6" s="35" t="s">
        <v>75</v>
      </c>
      <c r="M6" s="35" t="s">
        <v>1816</v>
      </c>
      <c r="N6" s="263" t="s">
        <v>1817</v>
      </c>
      <c r="O6" s="35" t="s">
        <v>1818</v>
      </c>
      <c r="P6" t="s">
        <v>75</v>
      </c>
      <c r="Q6" t="s">
        <v>75</v>
      </c>
      <c r="R6" t="s">
        <v>116</v>
      </c>
      <c r="S6" s="35" t="s">
        <v>75</v>
      </c>
      <c r="T6" s="41" t="s">
        <v>115</v>
      </c>
      <c r="U6" s="41" t="s">
        <v>115</v>
      </c>
      <c r="V6" t="s">
        <v>65</v>
      </c>
      <c r="W6" s="37" t="s">
        <v>75</v>
      </c>
      <c r="X6" s="37" t="s">
        <v>75</v>
      </c>
      <c r="Y6" s="36" t="s">
        <v>1819</v>
      </c>
      <c r="Z6" s="35" t="s">
        <v>1820</v>
      </c>
      <c r="AA6" s="35" t="s">
        <v>1821</v>
      </c>
      <c r="AB6" s="35" t="s">
        <v>87</v>
      </c>
      <c r="AC6" s="36" t="s">
        <v>88</v>
      </c>
      <c r="AD6" s="36" t="s">
        <v>89</v>
      </c>
      <c r="AE6" t="s">
        <v>75</v>
      </c>
      <c r="AJ6" t="str">
        <f t="shared" ca="1" si="0"/>
        <v>Darren A Du mont</v>
      </c>
      <c r="AS6" s="237" t="s">
        <v>68</v>
      </c>
    </row>
    <row r="7" spans="1:45">
      <c r="A7" t="s">
        <v>2153</v>
      </c>
      <c r="B7" t="s">
        <v>1810</v>
      </c>
      <c r="C7" s="454">
        <v>42152</v>
      </c>
      <c r="D7" t="s">
        <v>2006</v>
      </c>
      <c r="E7" t="s">
        <v>2007</v>
      </c>
      <c r="F7" t="s">
        <v>2008</v>
      </c>
      <c r="G7" t="s">
        <v>75</v>
      </c>
      <c r="H7" t="s">
        <v>2009</v>
      </c>
      <c r="I7" t="s">
        <v>78</v>
      </c>
      <c r="J7" t="s">
        <v>120</v>
      </c>
      <c r="K7" s="35" t="s">
        <v>1749</v>
      </c>
      <c r="L7" s="35" t="s">
        <v>75</v>
      </c>
      <c r="M7" s="35" t="s">
        <v>2010</v>
      </c>
      <c r="N7" s="263" t="s">
        <v>2011</v>
      </c>
      <c r="O7" s="35" t="s">
        <v>2012</v>
      </c>
      <c r="P7" t="s">
        <v>75</v>
      </c>
      <c r="Q7" t="s">
        <v>75</v>
      </c>
      <c r="R7" t="s">
        <v>23</v>
      </c>
      <c r="S7" s="35" t="s">
        <v>75</v>
      </c>
      <c r="T7" s="41" t="s">
        <v>115</v>
      </c>
      <c r="U7" s="41" t="s">
        <v>116</v>
      </c>
      <c r="V7" t="s">
        <v>65</v>
      </c>
      <c r="W7" s="350" t="s">
        <v>2005</v>
      </c>
      <c r="X7" s="350" t="s">
        <v>2013</v>
      </c>
      <c r="Y7" s="36" t="s">
        <v>2014</v>
      </c>
      <c r="Z7" s="35" t="s">
        <v>2015</v>
      </c>
      <c r="AA7" s="35" t="s">
        <v>2016</v>
      </c>
      <c r="AB7" s="35" t="s">
        <v>2017</v>
      </c>
      <c r="AC7" s="36" t="s">
        <v>213</v>
      </c>
      <c r="AD7" s="36" t="s">
        <v>241</v>
      </c>
      <c r="AE7" t="s">
        <v>75</v>
      </c>
      <c r="AJ7" t="str">
        <f t="shared" ca="1" si="0"/>
        <v>Catherine Snyman</v>
      </c>
      <c r="AS7" s="237" t="s">
        <v>263</v>
      </c>
    </row>
    <row r="8" spans="1:45">
      <c r="A8" t="s">
        <v>1800</v>
      </c>
      <c r="B8" t="s">
        <v>201</v>
      </c>
      <c r="C8" s="429">
        <v>42005</v>
      </c>
      <c r="D8" t="s">
        <v>1801</v>
      </c>
      <c r="E8" t="s">
        <v>123</v>
      </c>
      <c r="F8" t="s">
        <v>1794</v>
      </c>
      <c r="G8" t="s">
        <v>75</v>
      </c>
      <c r="H8" t="s">
        <v>1795</v>
      </c>
      <c r="I8" t="s">
        <v>78</v>
      </c>
      <c r="J8" t="s">
        <v>120</v>
      </c>
      <c r="K8" s="35" t="s">
        <v>1325</v>
      </c>
      <c r="L8" s="35" t="s">
        <v>75</v>
      </c>
      <c r="M8" s="35" t="s">
        <v>1796</v>
      </c>
      <c r="N8" s="263" t="s">
        <v>1344</v>
      </c>
      <c r="O8" s="35" t="s">
        <v>1802</v>
      </c>
      <c r="P8" t="s">
        <v>75</v>
      </c>
      <c r="Q8" t="s">
        <v>75</v>
      </c>
      <c r="R8" t="s">
        <v>116</v>
      </c>
      <c r="S8" s="35" t="s">
        <v>75</v>
      </c>
      <c r="T8" s="41" t="s">
        <v>116</v>
      </c>
      <c r="U8" s="41" t="s">
        <v>116</v>
      </c>
      <c r="V8" t="s">
        <v>65</v>
      </c>
      <c r="W8" s="37" t="s">
        <v>121</v>
      </c>
      <c r="X8" s="37" t="s">
        <v>1803</v>
      </c>
      <c r="Y8" s="36" t="s">
        <v>1798</v>
      </c>
      <c r="Z8" s="35" t="s">
        <v>1804</v>
      </c>
      <c r="AA8" s="35" t="s">
        <v>1797</v>
      </c>
      <c r="AB8" s="35" t="s">
        <v>1805</v>
      </c>
      <c r="AC8" s="36" t="s">
        <v>213</v>
      </c>
      <c r="AD8" s="36" t="s">
        <v>241</v>
      </c>
      <c r="AE8" t="s">
        <v>1806</v>
      </c>
      <c r="AJ8" t="str">
        <f t="shared" ca="1" si="0"/>
        <v>Dennis F Black</v>
      </c>
      <c r="AS8" s="237" t="s">
        <v>264</v>
      </c>
    </row>
    <row r="9" spans="1:45">
      <c r="A9" t="s">
        <v>1924</v>
      </c>
      <c r="B9" t="s">
        <v>201</v>
      </c>
      <c r="C9" s="228">
        <v>42132</v>
      </c>
      <c r="D9" t="s">
        <v>1926</v>
      </c>
      <c r="E9" t="s">
        <v>1927</v>
      </c>
      <c r="F9" t="s">
        <v>1928</v>
      </c>
      <c r="G9" t="s">
        <v>75</v>
      </c>
      <c r="H9" t="s">
        <v>1929</v>
      </c>
      <c r="I9" t="s">
        <v>78</v>
      </c>
      <c r="J9" t="s">
        <v>120</v>
      </c>
      <c r="K9" t="s">
        <v>79</v>
      </c>
      <c r="L9" t="s">
        <v>75</v>
      </c>
      <c r="M9" t="s">
        <v>1930</v>
      </c>
      <c r="N9" s="263" t="s">
        <v>1931</v>
      </c>
      <c r="O9" t="s">
        <v>1932</v>
      </c>
      <c r="P9" t="s">
        <v>75</v>
      </c>
      <c r="Q9" t="s">
        <v>75</v>
      </c>
      <c r="R9" t="s">
        <v>115</v>
      </c>
      <c r="S9" t="s">
        <v>275</v>
      </c>
      <c r="T9" t="s">
        <v>116</v>
      </c>
      <c r="U9" t="s">
        <v>116</v>
      </c>
      <c r="V9" t="s">
        <v>65</v>
      </c>
      <c r="W9" s="350" t="s">
        <v>1925</v>
      </c>
      <c r="X9" s="350" t="s">
        <v>1933</v>
      </c>
      <c r="Y9" t="s">
        <v>1934</v>
      </c>
      <c r="Z9" t="s">
        <v>1935</v>
      </c>
      <c r="AA9" t="s">
        <v>75</v>
      </c>
      <c r="AB9" t="s">
        <v>1936</v>
      </c>
      <c r="AC9" t="s">
        <v>1937</v>
      </c>
      <c r="AD9" t="s">
        <v>1305</v>
      </c>
      <c r="AE9" t="s">
        <v>75</v>
      </c>
      <c r="AH9"/>
      <c r="AJ9" t="str">
        <f t="shared" ca="1" si="0"/>
        <v>Werner Swarts</v>
      </c>
    </row>
    <row r="10" spans="1:45">
      <c r="A10" t="s">
        <v>229</v>
      </c>
      <c r="B10" t="s">
        <v>201</v>
      </c>
      <c r="C10" s="228">
        <v>42062</v>
      </c>
      <c r="D10" t="s">
        <v>230</v>
      </c>
      <c r="E10" t="s">
        <v>231</v>
      </c>
      <c r="F10" t="s">
        <v>232</v>
      </c>
      <c r="G10" t="s">
        <v>75</v>
      </c>
      <c r="H10" t="s">
        <v>233</v>
      </c>
      <c r="I10" t="s">
        <v>78</v>
      </c>
      <c r="J10" t="s">
        <v>120</v>
      </c>
      <c r="K10" s="35" t="s">
        <v>234</v>
      </c>
      <c r="L10" s="35" t="s">
        <v>235</v>
      </c>
      <c r="M10" s="35" t="s">
        <v>236</v>
      </c>
      <c r="N10" s="263" t="s">
        <v>237</v>
      </c>
      <c r="O10" s="35" t="s">
        <v>238</v>
      </c>
      <c r="P10" t="s">
        <v>75</v>
      </c>
      <c r="Q10" t="s">
        <v>75</v>
      </c>
      <c r="R10" t="s">
        <v>116</v>
      </c>
      <c r="S10" s="35">
        <v>250</v>
      </c>
      <c r="T10" s="41" t="s">
        <v>116</v>
      </c>
      <c r="U10" s="41" t="s">
        <v>115</v>
      </c>
      <c r="V10" t="s">
        <v>65</v>
      </c>
      <c r="W10" s="37" t="s">
        <v>90</v>
      </c>
      <c r="X10" s="37" t="s">
        <v>75</v>
      </c>
      <c r="Y10" s="36" t="s">
        <v>75</v>
      </c>
      <c r="Z10" s="35" t="s">
        <v>75</v>
      </c>
      <c r="AB10" s="35" t="s">
        <v>75</v>
      </c>
      <c r="AC10" s="36" t="s">
        <v>75</v>
      </c>
      <c r="AD10" s="36" t="s">
        <v>75</v>
      </c>
      <c r="AE10" t="s">
        <v>75</v>
      </c>
      <c r="AJ10" t="str">
        <f t="shared" ca="1" si="0"/>
        <v>Carmel P J Nikiforou</v>
      </c>
    </row>
    <row r="11" spans="1:45">
      <c r="A11" t="s">
        <v>228</v>
      </c>
      <c r="B11" t="s">
        <v>201</v>
      </c>
      <c r="C11" s="444">
        <v>42053</v>
      </c>
      <c r="D11" t="s">
        <v>221</v>
      </c>
      <c r="E11" t="s">
        <v>222</v>
      </c>
      <c r="F11" t="s">
        <v>223</v>
      </c>
      <c r="G11" t="s">
        <v>75</v>
      </c>
      <c r="H11" t="s">
        <v>1348</v>
      </c>
      <c r="I11" t="s">
        <v>207</v>
      </c>
      <c r="J11" t="s">
        <v>120</v>
      </c>
      <c r="K11" s="35" t="s">
        <v>224</v>
      </c>
      <c r="L11" s="35" t="s">
        <v>225</v>
      </c>
      <c r="M11" s="35" t="s">
        <v>226</v>
      </c>
      <c r="N11" s="263" t="s">
        <v>1638</v>
      </c>
      <c r="O11" s="35" t="s">
        <v>227</v>
      </c>
      <c r="P11" t="s">
        <v>75</v>
      </c>
      <c r="Q11" t="s">
        <v>75</v>
      </c>
      <c r="R11" t="s">
        <v>23</v>
      </c>
      <c r="S11" s="35" t="s">
        <v>75</v>
      </c>
      <c r="T11" s="41" t="s">
        <v>115</v>
      </c>
      <c r="U11" s="41" t="s">
        <v>115</v>
      </c>
      <c r="V11" t="s">
        <v>65</v>
      </c>
      <c r="W11" s="37" t="s">
        <v>202</v>
      </c>
      <c r="X11" s="37" t="s">
        <v>75</v>
      </c>
      <c r="Y11" s="36" t="s">
        <v>75</v>
      </c>
      <c r="Z11" s="35" t="s">
        <v>75</v>
      </c>
      <c r="AB11" s="35" t="s">
        <v>75</v>
      </c>
      <c r="AC11" s="36" t="s">
        <v>75</v>
      </c>
      <c r="AD11" s="36" t="s">
        <v>75</v>
      </c>
      <c r="AE11" t="s">
        <v>1319</v>
      </c>
      <c r="AJ11" t="str">
        <f t="shared" ca="1" si="0"/>
        <v>Christina S M Stapelberg</v>
      </c>
    </row>
    <row r="12" spans="1:45">
      <c r="A12" t="s">
        <v>220</v>
      </c>
      <c r="B12" t="s">
        <v>201</v>
      </c>
      <c r="C12" s="228">
        <v>42053</v>
      </c>
      <c r="D12" t="s">
        <v>216</v>
      </c>
      <c r="E12" t="s">
        <v>217</v>
      </c>
      <c r="F12" t="s">
        <v>239</v>
      </c>
      <c r="H12" t="s">
        <v>1347</v>
      </c>
      <c r="I12" s="225" t="s">
        <v>207</v>
      </c>
      <c r="J12" t="s">
        <v>120</v>
      </c>
      <c r="K12" s="35">
        <v>7646</v>
      </c>
      <c r="L12" s="35" t="s">
        <v>75</v>
      </c>
      <c r="M12" s="35" t="s">
        <v>218</v>
      </c>
      <c r="N12" s="263" t="s">
        <v>75</v>
      </c>
      <c r="O12" s="35" t="s">
        <v>219</v>
      </c>
      <c r="P12" t="s">
        <v>75</v>
      </c>
      <c r="Q12" t="s">
        <v>75</v>
      </c>
      <c r="R12" t="s">
        <v>23</v>
      </c>
      <c r="S12" s="35" t="s">
        <v>75</v>
      </c>
      <c r="T12" s="41" t="s">
        <v>116</v>
      </c>
      <c r="U12" s="41" t="s">
        <v>116</v>
      </c>
      <c r="V12" t="s">
        <v>65</v>
      </c>
      <c r="W12" s="36" t="s">
        <v>202</v>
      </c>
      <c r="X12" s="37" t="s">
        <v>75</v>
      </c>
      <c r="Y12" s="37" t="s">
        <v>75</v>
      </c>
      <c r="AE12" t="s">
        <v>1306</v>
      </c>
      <c r="AJ12" t="str">
        <f t="shared" ca="1" si="0"/>
        <v>Nabeelah Allie</v>
      </c>
    </row>
    <row r="13" spans="1:45">
      <c r="A13" t="s">
        <v>200</v>
      </c>
      <c r="B13" t="s">
        <v>201</v>
      </c>
      <c r="C13" s="228">
        <v>42053</v>
      </c>
      <c r="D13" s="36" t="s">
        <v>203</v>
      </c>
      <c r="E13" t="s">
        <v>204</v>
      </c>
      <c r="F13" t="s">
        <v>205</v>
      </c>
      <c r="G13" t="s">
        <v>75</v>
      </c>
      <c r="H13" t="s">
        <v>206</v>
      </c>
      <c r="I13" t="s">
        <v>207</v>
      </c>
      <c r="J13" t="s">
        <v>120</v>
      </c>
      <c r="K13" s="35">
        <v>7646</v>
      </c>
      <c r="L13" t="s">
        <v>75</v>
      </c>
      <c r="M13" s="35" t="s">
        <v>208</v>
      </c>
      <c r="N13" s="263" t="s">
        <v>75</v>
      </c>
      <c r="O13" t="s">
        <v>209</v>
      </c>
      <c r="P13" s="35" t="s">
        <v>75</v>
      </c>
      <c r="Q13" t="s">
        <v>75</v>
      </c>
      <c r="R13" t="s">
        <v>23</v>
      </c>
      <c r="S13" s="35" t="s">
        <v>75</v>
      </c>
      <c r="T13" t="s">
        <v>115</v>
      </c>
      <c r="U13" t="s">
        <v>115</v>
      </c>
      <c r="V13" s="41" t="s">
        <v>68</v>
      </c>
      <c r="W13" t="s">
        <v>90</v>
      </c>
      <c r="X13" s="37" t="s">
        <v>75</v>
      </c>
      <c r="Y13" s="37" t="s">
        <v>211</v>
      </c>
      <c r="Z13" s="35" t="s">
        <v>212</v>
      </c>
      <c r="AB13" s="35">
        <v>470010</v>
      </c>
      <c r="AC13" s="37" t="s">
        <v>213</v>
      </c>
      <c r="AD13" s="37" t="s">
        <v>214</v>
      </c>
      <c r="AE13" t="s">
        <v>215</v>
      </c>
      <c r="AJ13" t="str">
        <f t="shared" ca="1" si="0"/>
        <v>Frankie Dass</v>
      </c>
    </row>
    <row r="14" spans="1:45">
      <c r="A14" t="s">
        <v>1341</v>
      </c>
      <c r="B14" t="s">
        <v>1342</v>
      </c>
      <c r="C14" s="444">
        <v>41949</v>
      </c>
      <c r="D14" t="s">
        <v>1333</v>
      </c>
      <c r="E14" t="s">
        <v>1334</v>
      </c>
      <c r="F14" t="s">
        <v>1335</v>
      </c>
      <c r="G14" t="s">
        <v>75</v>
      </c>
      <c r="H14" t="s">
        <v>245</v>
      </c>
      <c r="I14" t="s">
        <v>78</v>
      </c>
      <c r="J14" t="s">
        <v>120</v>
      </c>
      <c r="K14" s="35" t="s">
        <v>1808</v>
      </c>
      <c r="L14" s="35" t="s">
        <v>249</v>
      </c>
      <c r="M14" s="35" t="s">
        <v>250</v>
      </c>
      <c r="N14" s="263" t="s">
        <v>1642</v>
      </c>
      <c r="O14" s="35" t="s">
        <v>1336</v>
      </c>
      <c r="P14" t="s">
        <v>251</v>
      </c>
      <c r="Q14" t="s">
        <v>75</v>
      </c>
      <c r="R14" t="s">
        <v>23</v>
      </c>
      <c r="S14" s="35" t="s">
        <v>75</v>
      </c>
      <c r="T14" s="41" t="s">
        <v>115</v>
      </c>
      <c r="U14" s="41" t="s">
        <v>115</v>
      </c>
      <c r="V14" t="s">
        <v>65</v>
      </c>
      <c r="W14" s="37" t="s">
        <v>1292</v>
      </c>
      <c r="X14" s="37" t="s">
        <v>1302</v>
      </c>
      <c r="Y14" s="36" t="s">
        <v>1337</v>
      </c>
      <c r="Z14" s="35" t="s">
        <v>252</v>
      </c>
      <c r="AB14" s="35" t="s">
        <v>253</v>
      </c>
      <c r="AC14" s="36" t="s">
        <v>254</v>
      </c>
      <c r="AD14" s="36" t="s">
        <v>241</v>
      </c>
      <c r="AE14" s="37" t="s">
        <v>215</v>
      </c>
      <c r="AJ14" t="str">
        <f t="shared" ca="1" si="0"/>
        <v>Julius D Jonkers</v>
      </c>
    </row>
    <row r="15" spans="1:45">
      <c r="A15" t="s">
        <v>1291</v>
      </c>
      <c r="B15" t="s">
        <v>242</v>
      </c>
      <c r="C15" s="429">
        <v>41951</v>
      </c>
      <c r="D15" t="s">
        <v>1293</v>
      </c>
      <c r="E15" t="s">
        <v>1294</v>
      </c>
      <c r="F15" t="s">
        <v>1295</v>
      </c>
      <c r="G15" t="s">
        <v>1296</v>
      </c>
      <c r="H15" t="s">
        <v>1297</v>
      </c>
      <c r="I15" t="s">
        <v>78</v>
      </c>
      <c r="J15" t="s">
        <v>120</v>
      </c>
      <c r="K15" s="35" t="s">
        <v>1298</v>
      </c>
      <c r="L15" s="35" t="s">
        <v>1299</v>
      </c>
      <c r="M15" s="35" t="s">
        <v>1300</v>
      </c>
      <c r="N15" s="263" t="s">
        <v>75</v>
      </c>
      <c r="O15" s="35" t="s">
        <v>1301</v>
      </c>
      <c r="P15" t="s">
        <v>75</v>
      </c>
      <c r="Q15" t="s">
        <v>75</v>
      </c>
      <c r="R15" t="s">
        <v>23</v>
      </c>
      <c r="S15" s="35" t="s">
        <v>75</v>
      </c>
      <c r="T15" s="41" t="s">
        <v>115</v>
      </c>
      <c r="U15" s="41" t="s">
        <v>116</v>
      </c>
      <c r="V15" t="s">
        <v>65</v>
      </c>
      <c r="W15" s="37" t="s">
        <v>1292</v>
      </c>
      <c r="X15" s="37" t="s">
        <v>1302</v>
      </c>
      <c r="Y15" s="36" t="s">
        <v>1303</v>
      </c>
      <c r="Z15" s="35" t="s">
        <v>1304</v>
      </c>
      <c r="AA15" s="35" t="s">
        <v>1297</v>
      </c>
      <c r="AC15" s="36" t="s">
        <v>213</v>
      </c>
      <c r="AD15" s="36" t="s">
        <v>1305</v>
      </c>
      <c r="AE15" t="s">
        <v>215</v>
      </c>
      <c r="AJ15" t="str">
        <f t="shared" ca="1" si="0"/>
        <v>Abraham P Tromp</v>
      </c>
    </row>
    <row r="16" spans="1:45">
      <c r="A16" t="s">
        <v>1307</v>
      </c>
      <c r="B16" t="s">
        <v>242</v>
      </c>
      <c r="C16" s="444">
        <v>41951</v>
      </c>
      <c r="D16" t="s">
        <v>1308</v>
      </c>
      <c r="E16" t="s">
        <v>1309</v>
      </c>
      <c r="F16" t="s">
        <v>1310</v>
      </c>
      <c r="G16" t="s">
        <v>1311</v>
      </c>
      <c r="H16" t="s">
        <v>1312</v>
      </c>
      <c r="I16" t="s">
        <v>78</v>
      </c>
      <c r="J16" t="s">
        <v>120</v>
      </c>
      <c r="K16" s="35" t="s">
        <v>93</v>
      </c>
      <c r="L16" s="35" t="s">
        <v>75</v>
      </c>
      <c r="M16" s="35" t="s">
        <v>1313</v>
      </c>
      <c r="N16" s="263" t="s">
        <v>1641</v>
      </c>
      <c r="O16" s="35" t="s">
        <v>1314</v>
      </c>
      <c r="P16" t="s">
        <v>75</v>
      </c>
      <c r="Q16" t="s">
        <v>75</v>
      </c>
      <c r="R16" t="s">
        <v>23</v>
      </c>
      <c r="S16" s="35" t="s">
        <v>75</v>
      </c>
      <c r="T16" s="41" t="s">
        <v>115</v>
      </c>
      <c r="U16" s="41" t="s">
        <v>116</v>
      </c>
      <c r="V16" t="s">
        <v>65</v>
      </c>
      <c r="W16" s="37" t="s">
        <v>1292</v>
      </c>
      <c r="X16" s="37" t="s">
        <v>1315</v>
      </c>
      <c r="Y16" s="36" t="s">
        <v>1316</v>
      </c>
      <c r="Z16" s="35" t="s">
        <v>1317</v>
      </c>
      <c r="AB16" s="35" t="s">
        <v>1318</v>
      </c>
      <c r="AC16" s="36" t="s">
        <v>213</v>
      </c>
      <c r="AD16" s="36" t="s">
        <v>291</v>
      </c>
      <c r="AE16" t="s">
        <v>1338</v>
      </c>
      <c r="AJ16" t="str">
        <f t="shared" ca="1" si="0"/>
        <v>Lukas K Karels</v>
      </c>
    </row>
    <row r="17" spans="1:36">
      <c r="A17" t="s">
        <v>1320</v>
      </c>
      <c r="B17" t="s">
        <v>242</v>
      </c>
      <c r="C17" s="228">
        <v>41942</v>
      </c>
      <c r="D17" t="s">
        <v>1321</v>
      </c>
      <c r="E17" t="s">
        <v>1322</v>
      </c>
      <c r="F17" t="s">
        <v>1323</v>
      </c>
      <c r="G17" t="s">
        <v>75</v>
      </c>
      <c r="H17" t="s">
        <v>1324</v>
      </c>
      <c r="I17" t="s">
        <v>78</v>
      </c>
      <c r="J17" t="s">
        <v>120</v>
      </c>
      <c r="K17" s="35" t="s">
        <v>1325</v>
      </c>
      <c r="L17" s="35" t="s">
        <v>75</v>
      </c>
      <c r="M17" s="35" t="s">
        <v>1326</v>
      </c>
      <c r="N17" s="263" t="s">
        <v>1640</v>
      </c>
      <c r="O17" s="35" t="s">
        <v>1327</v>
      </c>
      <c r="P17" t="s">
        <v>1328</v>
      </c>
      <c r="Q17" t="s">
        <v>75</v>
      </c>
      <c r="R17" t="s">
        <v>23</v>
      </c>
      <c r="S17" s="35" t="s">
        <v>75</v>
      </c>
      <c r="T17" s="41" t="s">
        <v>115</v>
      </c>
      <c r="U17" s="41" t="s">
        <v>116</v>
      </c>
      <c r="V17" t="s">
        <v>65</v>
      </c>
      <c r="W17" s="37" t="s">
        <v>1329</v>
      </c>
      <c r="X17" s="37" t="s">
        <v>75</v>
      </c>
      <c r="Y17" s="36" t="s">
        <v>1718</v>
      </c>
      <c r="Z17" s="35" t="s">
        <v>1330</v>
      </c>
      <c r="AB17" s="35" t="s">
        <v>1331</v>
      </c>
      <c r="AC17" s="36" t="s">
        <v>213</v>
      </c>
      <c r="AD17" s="36" t="s">
        <v>241</v>
      </c>
      <c r="AE17" s="37" t="s">
        <v>1625</v>
      </c>
      <c r="AJ17" t="str">
        <f t="shared" ca="1" si="0"/>
        <v>Janice R Walsh</v>
      </c>
    </row>
    <row r="18" spans="1:36">
      <c r="A18" t="s">
        <v>2032</v>
      </c>
      <c r="B18" t="s">
        <v>2024</v>
      </c>
      <c r="C18" s="454">
        <v>42163</v>
      </c>
      <c r="D18" t="s">
        <v>2033</v>
      </c>
      <c r="E18" t="s">
        <v>2034</v>
      </c>
      <c r="F18" t="s">
        <v>2035</v>
      </c>
      <c r="G18" t="s">
        <v>2027</v>
      </c>
      <c r="H18" t="s">
        <v>2028</v>
      </c>
      <c r="I18" t="s">
        <v>78</v>
      </c>
      <c r="J18" t="s">
        <v>120</v>
      </c>
      <c r="K18" s="35" t="s">
        <v>1298</v>
      </c>
      <c r="L18" s="35" t="s">
        <v>2029</v>
      </c>
      <c r="M18" s="35" t="s">
        <v>2030</v>
      </c>
      <c r="N18" s="263" t="s">
        <v>2031</v>
      </c>
      <c r="O18" s="35" t="s">
        <v>75</v>
      </c>
      <c r="P18" t="s">
        <v>75</v>
      </c>
      <c r="Q18" t="s">
        <v>75</v>
      </c>
      <c r="R18" t="s">
        <v>23</v>
      </c>
      <c r="S18" s="35" t="s">
        <v>75</v>
      </c>
      <c r="T18" s="41" t="s">
        <v>116</v>
      </c>
      <c r="U18" s="41" t="s">
        <v>116</v>
      </c>
      <c r="V18" t="s">
        <v>65</v>
      </c>
      <c r="W18" s="350" t="s">
        <v>75</v>
      </c>
      <c r="X18" s="350" t="s">
        <v>75</v>
      </c>
      <c r="Y18" s="36" t="s">
        <v>75</v>
      </c>
      <c r="Z18" s="35" t="s">
        <v>75</v>
      </c>
      <c r="AA18" s="35" t="s">
        <v>75</v>
      </c>
      <c r="AB18" s="35" t="s">
        <v>75</v>
      </c>
      <c r="AC18" s="36" t="s">
        <v>75</v>
      </c>
      <c r="AD18" s="36" t="s">
        <v>75</v>
      </c>
      <c r="AE18" t="s">
        <v>75</v>
      </c>
      <c r="AJ18" t="str">
        <f ca="1">IF(E18="","",INDIRECT("Agent!D"&amp;ROW())&amp;" "&amp;INDIRECT("Agent!E"&amp;ROW()))</f>
        <v>Joseph Gqomfa</v>
      </c>
    </row>
    <row r="19" spans="1:36">
      <c r="A19" t="s">
        <v>2050</v>
      </c>
      <c r="B19" t="s">
        <v>2024</v>
      </c>
      <c r="C19" s="454">
        <v>42156</v>
      </c>
      <c r="D19" t="s">
        <v>2051</v>
      </c>
      <c r="E19" t="s">
        <v>2052</v>
      </c>
      <c r="F19" t="s">
        <v>2053</v>
      </c>
      <c r="G19" t="s">
        <v>2043</v>
      </c>
      <c r="H19" t="s">
        <v>2044</v>
      </c>
      <c r="I19" t="s">
        <v>78</v>
      </c>
      <c r="J19" t="s">
        <v>120</v>
      </c>
      <c r="K19" s="35" t="s">
        <v>2045</v>
      </c>
      <c r="L19" s="35" t="s">
        <v>75</v>
      </c>
      <c r="M19" s="35" t="s">
        <v>2046</v>
      </c>
      <c r="N19" t="s">
        <v>75</v>
      </c>
      <c r="O19" s="35" t="s">
        <v>2054</v>
      </c>
      <c r="P19" t="s">
        <v>75</v>
      </c>
      <c r="Q19" t="s">
        <v>75</v>
      </c>
      <c r="R19" t="s">
        <v>23</v>
      </c>
      <c r="S19" s="35" t="s">
        <v>75</v>
      </c>
      <c r="T19" s="41" t="s">
        <v>116</v>
      </c>
      <c r="U19" s="41" t="s">
        <v>116</v>
      </c>
      <c r="V19" t="s">
        <v>65</v>
      </c>
      <c r="W19" s="350" t="s">
        <v>2055</v>
      </c>
      <c r="X19" s="350" t="s">
        <v>2055</v>
      </c>
      <c r="Y19" s="36" t="s">
        <v>2317</v>
      </c>
      <c r="Z19" s="35" t="s">
        <v>2318</v>
      </c>
      <c r="AA19" s="35" t="s">
        <v>2319</v>
      </c>
      <c r="AB19" s="35" t="s">
        <v>75</v>
      </c>
      <c r="AC19" s="36" t="s">
        <v>213</v>
      </c>
      <c r="AD19" s="36" t="s">
        <v>214</v>
      </c>
      <c r="AE19" s="35" t="s">
        <v>2320</v>
      </c>
      <c r="AJ19" t="str">
        <f ca="1">IF(E19="","",INDIRECT("Agent!D"&amp;ROW())&amp;" "&amp;INDIRECT("Agent!E"&amp;ROW()))</f>
        <v>Lawrence Mavangwe</v>
      </c>
    </row>
    <row r="20" spans="1:36">
      <c r="A20" t="s">
        <v>2321</v>
      </c>
      <c r="B20" t="s">
        <v>2024</v>
      </c>
      <c r="C20" s="439">
        <v>42191</v>
      </c>
      <c r="D20" t="s">
        <v>2253</v>
      </c>
      <c r="AJ20" t="str">
        <f ca="1">IF(E20="","",INDIRECT("Agent!D"&amp;ROW())&amp;" "&amp;INDIRECT("Agent!E"&amp;ROW()))</f>
        <v/>
      </c>
    </row>
    <row r="21" spans="1:36">
      <c r="A21" t="s">
        <v>279</v>
      </c>
      <c r="B21" t="s">
        <v>128</v>
      </c>
      <c r="C21" s="444">
        <v>42068</v>
      </c>
      <c r="D21" t="s">
        <v>280</v>
      </c>
      <c r="E21" t="s">
        <v>281</v>
      </c>
      <c r="F21" t="s">
        <v>282</v>
      </c>
      <c r="G21" t="s">
        <v>283</v>
      </c>
      <c r="H21" t="s">
        <v>284</v>
      </c>
      <c r="I21" t="s">
        <v>78</v>
      </c>
      <c r="J21" t="s">
        <v>120</v>
      </c>
      <c r="K21" s="35" t="s">
        <v>93</v>
      </c>
      <c r="L21" s="35" t="s">
        <v>285</v>
      </c>
      <c r="M21" s="35" t="s">
        <v>95</v>
      </c>
      <c r="N21" s="263" t="s">
        <v>1639</v>
      </c>
      <c r="O21" s="35" t="s">
        <v>286</v>
      </c>
      <c r="P21" t="s">
        <v>287</v>
      </c>
      <c r="Q21" t="s">
        <v>75</v>
      </c>
      <c r="R21" t="s">
        <v>115</v>
      </c>
      <c r="S21" s="35" t="s">
        <v>275</v>
      </c>
      <c r="T21" s="41" t="s">
        <v>115</v>
      </c>
      <c r="U21" s="41" t="s">
        <v>115</v>
      </c>
      <c r="V21" t="s">
        <v>65</v>
      </c>
      <c r="W21" s="37" t="s">
        <v>266</v>
      </c>
      <c r="X21" s="37" t="s">
        <v>266</v>
      </c>
      <c r="Y21" s="36" t="s">
        <v>288</v>
      </c>
      <c r="Z21" s="35" t="s">
        <v>289</v>
      </c>
      <c r="AB21" s="35" t="s">
        <v>290</v>
      </c>
      <c r="AC21" s="36" t="s">
        <v>254</v>
      </c>
      <c r="AD21" s="36" t="s">
        <v>291</v>
      </c>
      <c r="AE21" t="s">
        <v>75</v>
      </c>
      <c r="AJ21" t="str">
        <f ca="1">IF(E21="","",INDIRECT("Agent!D"&amp;ROW())&amp;" "&amp;INDIRECT("Agent!E"&amp;ROW()))</f>
        <v>Tyrone J Verone</v>
      </c>
    </row>
    <row r="22" spans="1:36">
      <c r="A22" t="s">
        <v>265</v>
      </c>
      <c r="B22" t="s">
        <v>128</v>
      </c>
      <c r="C22" s="462">
        <v>42068</v>
      </c>
      <c r="D22" t="s">
        <v>267</v>
      </c>
      <c r="E22" t="s">
        <v>268</v>
      </c>
      <c r="F22" t="s">
        <v>269</v>
      </c>
      <c r="G22" t="s">
        <v>270</v>
      </c>
      <c r="H22" t="s">
        <v>271</v>
      </c>
      <c r="I22" t="s">
        <v>78</v>
      </c>
      <c r="J22" t="s">
        <v>120</v>
      </c>
      <c r="K22" s="35" t="s">
        <v>272</v>
      </c>
      <c r="L22" s="35" t="s">
        <v>75</v>
      </c>
      <c r="M22" s="35" t="s">
        <v>273</v>
      </c>
      <c r="N22" s="263" t="s">
        <v>1643</v>
      </c>
      <c r="O22" s="35" t="s">
        <v>274</v>
      </c>
      <c r="P22" t="s">
        <v>75</v>
      </c>
      <c r="Q22" t="s">
        <v>75</v>
      </c>
      <c r="R22" t="s">
        <v>115</v>
      </c>
      <c r="S22" s="35" t="s">
        <v>275</v>
      </c>
      <c r="T22" s="41" t="s">
        <v>116</v>
      </c>
      <c r="U22" s="41" t="s">
        <v>116</v>
      </c>
      <c r="V22" t="s">
        <v>65</v>
      </c>
      <c r="W22" s="37" t="s">
        <v>266</v>
      </c>
      <c r="X22" s="37" t="s">
        <v>266</v>
      </c>
      <c r="Y22" s="36" t="s">
        <v>276</v>
      </c>
      <c r="Z22" s="35" t="s">
        <v>277</v>
      </c>
      <c r="AB22" s="35" t="s">
        <v>278</v>
      </c>
      <c r="AC22" s="36" t="s">
        <v>213</v>
      </c>
      <c r="AD22" s="36" t="s">
        <v>214</v>
      </c>
      <c r="AE22" t="s">
        <v>75</v>
      </c>
      <c r="AJ22" t="str">
        <f ca="1">IF(E22="","",INDIRECT("Agent!D"&amp;ROW())&amp;" "&amp;INDIRECT("Agent!E"&amp;ROW()))</f>
        <v>Mark Felix</v>
      </c>
    </row>
    <row r="23" spans="1:36">
      <c r="A23" t="s">
        <v>2303</v>
      </c>
      <c r="B23" t="s">
        <v>2281</v>
      </c>
      <c r="C23" s="228">
        <v>42188</v>
      </c>
      <c r="D23" t="s">
        <v>2304</v>
      </c>
      <c r="E23" t="s">
        <v>2305</v>
      </c>
      <c r="F23" t="s">
        <v>2306</v>
      </c>
      <c r="G23" t="s">
        <v>2307</v>
      </c>
      <c r="H23" t="s">
        <v>2308</v>
      </c>
      <c r="I23" t="s">
        <v>78</v>
      </c>
      <c r="J23" t="s">
        <v>120</v>
      </c>
      <c r="K23" s="35" t="s">
        <v>2045</v>
      </c>
      <c r="L23" s="35" t="s">
        <v>2309</v>
      </c>
      <c r="M23" s="35" t="s">
        <v>2310</v>
      </c>
      <c r="N23" t="s">
        <v>2311</v>
      </c>
      <c r="O23" s="35" t="s">
        <v>2312</v>
      </c>
      <c r="P23" t="s">
        <v>75</v>
      </c>
      <c r="Q23" t="s">
        <v>75</v>
      </c>
      <c r="R23" t="s">
        <v>115</v>
      </c>
      <c r="S23" s="35" t="s">
        <v>275</v>
      </c>
      <c r="T23" s="41" t="s">
        <v>115</v>
      </c>
      <c r="U23" s="41" t="s">
        <v>116</v>
      </c>
      <c r="V23" t="s">
        <v>65</v>
      </c>
      <c r="W23" s="350" t="s">
        <v>75</v>
      </c>
      <c r="X23" s="350" t="s">
        <v>75</v>
      </c>
      <c r="Y23" s="36" t="s">
        <v>2298</v>
      </c>
      <c r="Z23" s="35" t="s">
        <v>2313</v>
      </c>
      <c r="AA23" s="35" t="s">
        <v>2314</v>
      </c>
      <c r="AB23" s="35" t="s">
        <v>75</v>
      </c>
      <c r="AC23" s="36" t="s">
        <v>213</v>
      </c>
      <c r="AD23" s="36" t="s">
        <v>291</v>
      </c>
      <c r="AE23" t="s">
        <v>75</v>
      </c>
    </row>
  </sheetData>
  <sortState ref="A3:AH23">
    <sortCondition ref="A3"/>
  </sortState>
  <conditionalFormatting sqref="T3:U17">
    <cfRule type="expression" dxfId="73" priority="7">
      <formula>T3="No"</formula>
    </cfRule>
  </conditionalFormatting>
  <conditionalFormatting sqref="H5:K11 I3:K4 W3:AD17">
    <cfRule type="expression" dxfId="72" priority="6">
      <formula>AND($A3&lt;&gt;"",H3="")</formula>
    </cfRule>
  </conditionalFormatting>
  <conditionalFormatting sqref="S3:S17">
    <cfRule type="expression" dxfId="71" priority="3">
      <formula>AND(R3&lt;&gt;"N/A",A3&lt;&gt;"",S3="")</formula>
    </cfRule>
  </conditionalFormatting>
  <conditionalFormatting sqref="H3:H4">
    <cfRule type="expression" dxfId="70" priority="2">
      <formula>AND($A3&lt;&gt;"",H3="")</formula>
    </cfRule>
  </conditionalFormatting>
  <conditionalFormatting sqref="O3:O17">
    <cfRule type="expression" dxfId="69" priority="1">
      <formula>AND(A3&lt;&gt;"",LEN(O3)&lt;&gt;13)</formula>
    </cfRule>
  </conditionalFormatting>
  <conditionalFormatting sqref="A2:A3 A5:A8">
    <cfRule type="expression" dxfId="68" priority="16">
      <formula>COUNTIF($A$3:$A$18,A3)&gt;1</formula>
    </cfRule>
  </conditionalFormatting>
  <conditionalFormatting sqref="A4">
    <cfRule type="expression" dxfId="67" priority="18">
      <formula>COUNTIF($A$3:$A$18,#REF!)&gt;1</formula>
    </cfRule>
  </conditionalFormatting>
  <dataValidations disablePrompts="1" count="1">
    <dataValidation type="list" allowBlank="1" showInputMessage="1" showErrorMessage="1" sqref="V3:V17">
      <formula1>$AS$2:$AS$8</formula1>
    </dataValidation>
  </dataValidations>
  <hyperlinks>
    <hyperlink ref="N10" r:id="rId1"/>
    <hyperlink ref="N11" r:id="rId2"/>
    <hyperlink ref="N21" r:id="rId3"/>
    <hyperlink ref="N17" r:id="rId4"/>
    <hyperlink ref="N16" r:id="rId5"/>
    <hyperlink ref="N14" r:id="rId6"/>
    <hyperlink ref="N22" r:id="rId7"/>
    <hyperlink ref="N3" r:id="rId8"/>
    <hyperlink ref="N4" r:id="rId9"/>
  </hyperlinks>
  <pageMargins left="0.7" right="0.7" top="0.75" bottom="0.75" header="0.3" footer="0.3"/>
  <legacyDrawing r:id="rId1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GA1000"/>
  <sheetViews>
    <sheetView workbookViewId="0">
      <selection activeCell="D9" sqref="D9"/>
    </sheetView>
  </sheetViews>
  <sheetFormatPr defaultRowHeight="15"/>
  <cols>
    <col min="1" max="1" width="10.5703125" style="228" customWidth="1"/>
    <col min="2" max="2" width="11.140625" style="228" customWidth="1"/>
    <col min="3" max="4" width="9.140625" style="301"/>
    <col min="5" max="5" width="10" style="35" customWidth="1"/>
    <col min="6" max="6" width="6.5703125" style="35" customWidth="1"/>
    <col min="7" max="7" width="11.42578125" style="35" customWidth="1"/>
    <col min="8" max="8" width="13.85546875" style="35" customWidth="1"/>
    <col min="9" max="9" width="6" style="35" customWidth="1"/>
    <col min="10" max="10" width="9.140625" style="35"/>
    <col min="11" max="11" width="14.140625" style="35" customWidth="1"/>
    <col min="12" max="12" width="11.140625" style="300" customWidth="1"/>
    <col min="13" max="13" width="5.7109375" style="198" customWidth="1"/>
    <col min="14" max="14" width="16.7109375" style="35" customWidth="1"/>
    <col min="15" max="15" width="9.140625" style="35"/>
    <col min="16" max="16" width="13.140625" style="35" customWidth="1"/>
    <col min="17" max="17" width="11.140625" style="35" customWidth="1"/>
    <col min="18" max="18" width="7.140625" style="35" customWidth="1"/>
    <col min="19" max="19" width="12.42578125" style="35" customWidth="1"/>
    <col min="20" max="22" width="9.140625" style="35"/>
    <col min="23" max="23" width="8.28515625" style="198" customWidth="1"/>
    <col min="24" max="24" width="9.140625" style="35"/>
    <col min="25" max="25" width="12.7109375" style="35" customWidth="1"/>
    <col min="26" max="26" width="9.140625" style="35"/>
    <col min="27" max="27" width="11.42578125" style="35" customWidth="1"/>
    <col min="28" max="28" width="9.140625" style="35"/>
    <col min="29" max="29" width="28.42578125" style="35" customWidth="1"/>
    <col min="30" max="30" width="11.85546875" style="35" customWidth="1"/>
    <col min="31" max="31" width="14.140625" style="35" customWidth="1"/>
    <col min="32" max="48" width="9.140625" style="35"/>
    <col min="49" max="49" width="15.5703125" style="35" customWidth="1"/>
    <col min="50" max="51" width="9.140625" style="35"/>
    <col min="52" max="52" width="8.42578125" style="35" customWidth="1"/>
    <col min="53" max="53" width="13.28515625" style="35" customWidth="1"/>
    <col min="54" max="54" width="9.140625" style="35"/>
    <col min="55" max="55" width="12.28515625" style="35" customWidth="1"/>
    <col min="56" max="56" width="5.85546875" style="389" customWidth="1"/>
    <col min="57" max="57" width="9.140625" style="35"/>
    <col min="58" max="58" width="6.85546875" style="403" customWidth="1"/>
    <col min="59" max="63" width="9.140625" style="403"/>
    <col min="64" max="65" width="9.140625" style="35"/>
    <col min="66" max="66" width="13.85546875" style="35" customWidth="1"/>
    <col min="67" max="67" width="8.85546875" style="24" customWidth="1"/>
    <col min="68" max="70" width="9.140625" style="35"/>
    <col min="71" max="71" width="9.140625" style="24"/>
    <col min="72" max="82" width="9.140625" style="35"/>
    <col min="83" max="83" width="16.42578125" style="35" customWidth="1"/>
    <col min="84" max="84" width="11.85546875" style="35" customWidth="1"/>
    <col min="85" max="85" width="11.42578125" style="35" customWidth="1"/>
    <col min="86" max="90" width="9.140625" style="35"/>
    <col min="91" max="91" width="15" style="35" customWidth="1"/>
    <col min="92" max="92" width="11.5703125" style="35" customWidth="1"/>
    <col min="93" max="93" width="9.140625" style="390"/>
    <col min="94" max="98" width="9.140625" style="35"/>
    <col min="99" max="99" width="9.140625" style="390"/>
    <col min="100" max="104" width="9.140625" style="35"/>
    <col min="105" max="105" width="9.140625" style="198"/>
    <col min="106" max="110" width="9.140625" style="35"/>
    <col min="111" max="111" width="9.140625" style="198"/>
    <col min="112" max="116" width="9.140625" style="35"/>
    <col min="117" max="117" width="9.140625" style="198"/>
    <col min="118" max="122" width="9.140625" style="35"/>
    <col min="123" max="123" width="9.140625" style="198"/>
    <col min="124" max="126" width="9.140625" style="35"/>
    <col min="127" max="127" width="14.140625" style="35" customWidth="1"/>
    <col min="128" max="128" width="9.140625" style="35"/>
    <col min="129" max="129" width="9.140625" style="198"/>
    <col min="130" max="134" width="9.140625" style="35"/>
    <col min="135" max="135" width="9.140625" style="198"/>
    <col min="136" max="140" width="9.140625" style="35"/>
    <col min="141" max="141" width="9.140625" style="197"/>
    <col min="142" max="146" width="9.140625" style="35"/>
    <col min="147" max="147" width="9.140625" style="197"/>
    <col min="148" max="148" width="9.140625" style="35"/>
    <col min="149" max="151" width="9.140625" style="197"/>
    <col min="152" max="153" width="9.140625" style="35"/>
    <col min="154" max="154" width="24.28515625" style="35" customWidth="1"/>
    <col min="155" max="156" width="9.140625" style="35"/>
    <col min="157" max="158" width="9.140625" style="197"/>
    <col min="159" max="172" width="9.140625" style="403"/>
    <col min="173" max="173" width="11.28515625" style="403" bestFit="1" customWidth="1"/>
    <col min="174" max="174" width="9.140625" style="403"/>
    <col min="175" max="175" width="9.140625" style="400"/>
    <col min="177" max="177" width="9.140625" style="408"/>
  </cols>
  <sheetData>
    <row r="1" spans="1:183" ht="28.5" customHeight="1">
      <c r="A1" s="343" t="s">
        <v>1846</v>
      </c>
      <c r="C1" s="301" t="s">
        <v>1713</v>
      </c>
      <c r="D1" s="301" t="s">
        <v>73</v>
      </c>
      <c r="BE1" s="229">
        <f>COLUMN()-3</f>
        <v>54</v>
      </c>
      <c r="BF1" s="402"/>
      <c r="EU1" s="197">
        <f>COLUMN()-3</f>
        <v>148</v>
      </c>
      <c r="FO1" s="403">
        <f>COLUMN()-3</f>
        <v>168</v>
      </c>
      <c r="FU1" s="408" t="s">
        <v>73</v>
      </c>
    </row>
    <row r="2" spans="1:183" ht="63">
      <c r="A2" s="232" t="s">
        <v>185</v>
      </c>
      <c r="B2" s="232" t="s">
        <v>1403</v>
      </c>
      <c r="C2" s="397" t="s">
        <v>1404</v>
      </c>
      <c r="D2" s="397" t="s">
        <v>1405</v>
      </c>
      <c r="E2" s="231" t="s">
        <v>184</v>
      </c>
      <c r="F2" s="231" t="s">
        <v>1406</v>
      </c>
      <c r="G2" s="231" t="s">
        <v>106</v>
      </c>
      <c r="H2" s="231" t="s">
        <v>1565</v>
      </c>
      <c r="I2" s="231" t="s">
        <v>1407</v>
      </c>
      <c r="J2" s="231" t="s">
        <v>1408</v>
      </c>
      <c r="K2" s="231" t="s">
        <v>1409</v>
      </c>
      <c r="L2" s="231" t="s">
        <v>1410</v>
      </c>
      <c r="M2" s="388" t="s">
        <v>1411</v>
      </c>
      <c r="N2" s="231" t="s">
        <v>107</v>
      </c>
      <c r="O2" s="231" t="s">
        <v>108</v>
      </c>
      <c r="P2" s="231" t="s">
        <v>46</v>
      </c>
      <c r="Q2" s="231" t="s">
        <v>47</v>
      </c>
      <c r="R2" s="231" t="s">
        <v>109</v>
      </c>
      <c r="S2" s="231" t="s">
        <v>1412</v>
      </c>
      <c r="T2" s="231" t="s">
        <v>1413</v>
      </c>
      <c r="U2" s="231" t="s">
        <v>1414</v>
      </c>
      <c r="V2" s="231" t="s">
        <v>1415</v>
      </c>
      <c r="W2" s="388" t="s">
        <v>1416</v>
      </c>
      <c r="X2" s="231" t="s">
        <v>1417</v>
      </c>
      <c r="Y2" s="231" t="s">
        <v>110</v>
      </c>
      <c r="Z2" s="231" t="s">
        <v>111</v>
      </c>
      <c r="AA2" s="231" t="s">
        <v>1418</v>
      </c>
      <c r="AB2" s="231" t="s">
        <v>1419</v>
      </c>
      <c r="AC2" s="231" t="s">
        <v>1420</v>
      </c>
      <c r="AD2" s="231" t="s">
        <v>1421</v>
      </c>
      <c r="AE2" s="231" t="s">
        <v>1770</v>
      </c>
      <c r="AF2" s="231" t="s">
        <v>1422</v>
      </c>
      <c r="AG2" s="231" t="s">
        <v>1423</v>
      </c>
      <c r="AH2" s="231" t="s">
        <v>1424</v>
      </c>
      <c r="AI2" s="231" t="s">
        <v>1425</v>
      </c>
      <c r="AJ2" s="231" t="s">
        <v>1426</v>
      </c>
      <c r="AK2" s="231" t="s">
        <v>1427</v>
      </c>
      <c r="AL2" s="231" t="s">
        <v>1428</v>
      </c>
      <c r="AM2" s="231" t="s">
        <v>1429</v>
      </c>
      <c r="AN2" s="231" t="s">
        <v>1430</v>
      </c>
      <c r="AO2" s="231" t="s">
        <v>1431</v>
      </c>
      <c r="AP2" s="231" t="s">
        <v>1432</v>
      </c>
      <c r="AQ2" s="231" t="s">
        <v>50</v>
      </c>
      <c r="AR2" s="231" t="s">
        <v>1433</v>
      </c>
      <c r="AS2" s="231" t="s">
        <v>1434</v>
      </c>
      <c r="AT2" s="231" t="s">
        <v>1435</v>
      </c>
      <c r="AU2" s="231" t="s">
        <v>1436</v>
      </c>
      <c r="AV2" s="231" t="s">
        <v>1437</v>
      </c>
      <c r="AW2" s="231" t="s">
        <v>1886</v>
      </c>
      <c r="AX2" s="231" t="s">
        <v>58</v>
      </c>
      <c r="AY2" s="231" t="s">
        <v>1438</v>
      </c>
      <c r="AZ2" s="231" t="s">
        <v>210</v>
      </c>
      <c r="BA2" s="231" t="s">
        <v>1439</v>
      </c>
      <c r="BB2" s="231" t="s">
        <v>1440</v>
      </c>
      <c r="BC2" s="231" t="s">
        <v>186</v>
      </c>
      <c r="BD2" s="234" t="s">
        <v>1441</v>
      </c>
      <c r="BE2" s="231" t="s">
        <v>1442</v>
      </c>
      <c r="BF2" s="234" t="s">
        <v>193</v>
      </c>
      <c r="BG2" s="234" t="s">
        <v>1443</v>
      </c>
      <c r="BH2" s="234" t="s">
        <v>1444</v>
      </c>
      <c r="BI2" s="234" t="s">
        <v>1445</v>
      </c>
      <c r="BJ2" s="234" t="s">
        <v>1446</v>
      </c>
      <c r="BK2" s="234" t="s">
        <v>1447</v>
      </c>
      <c r="BL2" s="231" t="s">
        <v>1448</v>
      </c>
      <c r="BM2" s="231" t="s">
        <v>1449</v>
      </c>
      <c r="BN2" s="231" t="s">
        <v>1450</v>
      </c>
      <c r="BO2" s="265" t="s">
        <v>1451</v>
      </c>
      <c r="BP2" s="231" t="s">
        <v>1452</v>
      </c>
      <c r="BQ2" s="231" t="s">
        <v>1453</v>
      </c>
      <c r="BR2" s="231" t="s">
        <v>1454</v>
      </c>
      <c r="BS2" s="265" t="s">
        <v>1455</v>
      </c>
      <c r="BT2" s="231" t="s">
        <v>1456</v>
      </c>
      <c r="BU2" s="231" t="s">
        <v>1457</v>
      </c>
      <c r="BV2" s="231" t="s">
        <v>1458</v>
      </c>
      <c r="BW2" s="231" t="s">
        <v>1459</v>
      </c>
      <c r="BX2" s="231" t="s">
        <v>1460</v>
      </c>
      <c r="BY2" s="231" t="s">
        <v>1461</v>
      </c>
      <c r="BZ2" s="231" t="s">
        <v>1462</v>
      </c>
      <c r="CA2" s="231" t="s">
        <v>1463</v>
      </c>
      <c r="CB2" s="231" t="s">
        <v>1464</v>
      </c>
      <c r="CC2" s="231" t="s">
        <v>1465</v>
      </c>
      <c r="CD2" s="231" t="s">
        <v>1466</v>
      </c>
      <c r="CE2" s="231" t="s">
        <v>1467</v>
      </c>
      <c r="CF2" s="231" t="s">
        <v>1468</v>
      </c>
      <c r="CG2" s="231" t="s">
        <v>1469</v>
      </c>
      <c r="CH2" s="231" t="s">
        <v>1470</v>
      </c>
      <c r="CI2" s="231" t="s">
        <v>1472</v>
      </c>
      <c r="CJ2" s="231" t="s">
        <v>1471</v>
      </c>
      <c r="CK2" s="231" t="s">
        <v>1473</v>
      </c>
      <c r="CL2" s="231" t="s">
        <v>1474</v>
      </c>
      <c r="CM2" s="231" t="s">
        <v>1475</v>
      </c>
      <c r="CN2" s="231" t="s">
        <v>1476</v>
      </c>
      <c r="CO2" s="388" t="s">
        <v>1477</v>
      </c>
      <c r="CP2" s="231" t="s">
        <v>1478</v>
      </c>
      <c r="CQ2" s="231" t="s">
        <v>1479</v>
      </c>
      <c r="CR2" s="231" t="s">
        <v>1480</v>
      </c>
      <c r="CS2" s="231" t="s">
        <v>1481</v>
      </c>
      <c r="CT2" s="231" t="s">
        <v>1482</v>
      </c>
      <c r="CU2" s="388" t="s">
        <v>1483</v>
      </c>
      <c r="CV2" s="231" t="s">
        <v>1484</v>
      </c>
      <c r="CW2" s="231" t="s">
        <v>1485</v>
      </c>
      <c r="CX2" s="231" t="s">
        <v>1486</v>
      </c>
      <c r="CY2" s="231" t="s">
        <v>1487</v>
      </c>
      <c r="CZ2" s="231" t="s">
        <v>1488</v>
      </c>
      <c r="DA2" s="388" t="s">
        <v>1489</v>
      </c>
      <c r="DB2" s="231" t="s">
        <v>1490</v>
      </c>
      <c r="DC2" s="231" t="s">
        <v>1491</v>
      </c>
      <c r="DD2" s="231" t="s">
        <v>1493</v>
      </c>
      <c r="DE2" s="231" t="s">
        <v>1494</v>
      </c>
      <c r="DF2" s="231" t="s">
        <v>1495</v>
      </c>
      <c r="DG2" s="388" t="s">
        <v>1496</v>
      </c>
      <c r="DH2" s="231" t="s">
        <v>1497</v>
      </c>
      <c r="DI2" s="231" t="s">
        <v>1498</v>
      </c>
      <c r="DJ2" s="231" t="s">
        <v>1492</v>
      </c>
      <c r="DK2" s="231" t="s">
        <v>1499</v>
      </c>
      <c r="DL2" s="231" t="s">
        <v>1500</v>
      </c>
      <c r="DM2" s="388" t="s">
        <v>1501</v>
      </c>
      <c r="DN2" s="231" t="s">
        <v>1502</v>
      </c>
      <c r="DO2" s="231" t="s">
        <v>1503</v>
      </c>
      <c r="DP2" s="231" t="s">
        <v>1504</v>
      </c>
      <c r="DQ2" s="231" t="s">
        <v>1505</v>
      </c>
      <c r="DR2" s="231" t="s">
        <v>1506</v>
      </c>
      <c r="DS2" s="388" t="s">
        <v>1507</v>
      </c>
      <c r="DT2" s="231" t="s">
        <v>1508</v>
      </c>
      <c r="DU2" s="231" t="s">
        <v>1509</v>
      </c>
      <c r="DV2" s="231" t="s">
        <v>1510</v>
      </c>
      <c r="DW2" s="231" t="s">
        <v>1511</v>
      </c>
      <c r="DX2" s="231" t="s">
        <v>1512</v>
      </c>
      <c r="DY2" s="388" t="s">
        <v>1513</v>
      </c>
      <c r="DZ2" s="231" t="s">
        <v>1514</v>
      </c>
      <c r="EA2" s="231" t="s">
        <v>1515</v>
      </c>
      <c r="EB2" s="231" t="s">
        <v>1516</v>
      </c>
      <c r="EC2" s="231" t="s">
        <v>1517</v>
      </c>
      <c r="ED2" s="231" t="s">
        <v>1518</v>
      </c>
      <c r="EE2" s="388" t="s">
        <v>1519</v>
      </c>
      <c r="EF2" s="231" t="s">
        <v>1520</v>
      </c>
      <c r="EG2" s="231" t="s">
        <v>1521</v>
      </c>
      <c r="EH2" s="231" t="s">
        <v>1522</v>
      </c>
      <c r="EI2" s="231" t="s">
        <v>1523</v>
      </c>
      <c r="EJ2" s="231" t="s">
        <v>1524</v>
      </c>
      <c r="EK2" s="234" t="s">
        <v>1525</v>
      </c>
      <c r="EL2" s="231" t="s">
        <v>1526</v>
      </c>
      <c r="EM2" s="231" t="s">
        <v>1527</v>
      </c>
      <c r="EN2" s="231" t="s">
        <v>1528</v>
      </c>
      <c r="EO2" s="231" t="s">
        <v>1529</v>
      </c>
      <c r="EP2" s="231" t="s">
        <v>1530</v>
      </c>
      <c r="EQ2" s="234" t="s">
        <v>1531</v>
      </c>
      <c r="ER2" s="231" t="s">
        <v>1532</v>
      </c>
      <c r="ES2" s="234" t="s">
        <v>1385</v>
      </c>
      <c r="ET2" s="234" t="s">
        <v>1386</v>
      </c>
      <c r="EU2" s="234" t="s">
        <v>1567</v>
      </c>
      <c r="EV2" s="231" t="s">
        <v>1533</v>
      </c>
      <c r="EW2" s="231" t="s">
        <v>1534</v>
      </c>
      <c r="EX2" s="231" t="s">
        <v>1646</v>
      </c>
      <c r="EY2" s="231" t="s">
        <v>1535</v>
      </c>
      <c r="EZ2" s="231" t="s">
        <v>1536</v>
      </c>
      <c r="FA2" s="234" t="s">
        <v>1537</v>
      </c>
      <c r="FB2" s="234" t="s">
        <v>1538</v>
      </c>
      <c r="FC2" s="404" t="s">
        <v>1539</v>
      </c>
      <c r="FD2" s="404" t="s">
        <v>1540</v>
      </c>
      <c r="FE2" s="404" t="s">
        <v>1541</v>
      </c>
      <c r="FF2" s="404" t="s">
        <v>1542</v>
      </c>
      <c r="FG2" s="404" t="s">
        <v>1543</v>
      </c>
      <c r="FH2" s="404" t="s">
        <v>1544</v>
      </c>
      <c r="FI2" s="404" t="s">
        <v>1545</v>
      </c>
      <c r="FJ2" s="404" t="s">
        <v>1546</v>
      </c>
      <c r="FK2" s="404" t="s">
        <v>1547</v>
      </c>
      <c r="FL2" s="404" t="s">
        <v>1548</v>
      </c>
      <c r="FM2" s="404" t="s">
        <v>1549</v>
      </c>
      <c r="FN2" s="404" t="s">
        <v>1599</v>
      </c>
      <c r="FO2" s="404" t="s">
        <v>1550</v>
      </c>
      <c r="FP2" s="404" t="s">
        <v>1551</v>
      </c>
      <c r="FQ2" s="404" t="s">
        <v>1552</v>
      </c>
      <c r="FR2" s="404" t="s">
        <v>1553</v>
      </c>
      <c r="FS2" s="231" t="s">
        <v>62</v>
      </c>
      <c r="FU2" s="234" t="s">
        <v>1887</v>
      </c>
    </row>
    <row r="3" spans="1:183">
      <c r="A3" s="228">
        <v>42081</v>
      </c>
      <c r="B3" s="228">
        <v>42095</v>
      </c>
      <c r="C3" s="301" t="s">
        <v>1387</v>
      </c>
      <c r="D3" s="301">
        <v>50260319</v>
      </c>
      <c r="E3" s="35" t="s">
        <v>228</v>
      </c>
      <c r="F3" s="35" t="s">
        <v>1354</v>
      </c>
      <c r="G3" s="35" t="s">
        <v>222</v>
      </c>
      <c r="H3" s="35" t="s">
        <v>1388</v>
      </c>
      <c r="I3" s="35" t="s">
        <v>1359</v>
      </c>
      <c r="J3" s="35" t="s">
        <v>1360</v>
      </c>
      <c r="K3" s="35" t="s">
        <v>227</v>
      </c>
      <c r="L3" s="398" t="s">
        <v>1389</v>
      </c>
      <c r="M3" s="198" t="s">
        <v>1390</v>
      </c>
      <c r="N3" s="35" t="s">
        <v>1391</v>
      </c>
      <c r="O3" s="35" t="s">
        <v>75</v>
      </c>
      <c r="P3" s="35" t="s">
        <v>1392</v>
      </c>
      <c r="Q3" s="35" t="s">
        <v>207</v>
      </c>
      <c r="R3" s="35" t="s">
        <v>224</v>
      </c>
      <c r="S3" s="35" t="s">
        <v>1391</v>
      </c>
      <c r="T3" s="35" t="s">
        <v>75</v>
      </c>
      <c r="U3" s="35" t="s">
        <v>1392</v>
      </c>
      <c r="V3" s="35" t="s">
        <v>207</v>
      </c>
      <c r="W3" s="198" t="s">
        <v>224</v>
      </c>
      <c r="X3" s="35" t="s">
        <v>1364</v>
      </c>
      <c r="Y3" s="35" t="s">
        <v>1349</v>
      </c>
      <c r="Z3" s="35" t="s">
        <v>75</v>
      </c>
      <c r="AA3" s="35" t="s">
        <v>1349</v>
      </c>
      <c r="AB3" s="35" t="s">
        <v>1393</v>
      </c>
      <c r="AC3" s="35" t="s">
        <v>1394</v>
      </c>
      <c r="AD3" s="35" t="s">
        <v>75</v>
      </c>
      <c r="AF3" s="35" t="s">
        <v>75</v>
      </c>
      <c r="AG3" s="35" t="s">
        <v>75</v>
      </c>
      <c r="AH3" s="35" t="s">
        <v>75</v>
      </c>
      <c r="AI3" s="35" t="s">
        <v>75</v>
      </c>
      <c r="AJ3" s="35" t="s">
        <v>75</v>
      </c>
      <c r="AK3" s="35" t="s">
        <v>75</v>
      </c>
      <c r="AL3" s="35" t="s">
        <v>75</v>
      </c>
      <c r="AM3" s="35" t="s">
        <v>75</v>
      </c>
      <c r="AN3" s="35" t="s">
        <v>75</v>
      </c>
      <c r="AO3" s="35" t="s">
        <v>75</v>
      </c>
      <c r="AP3" s="35" t="s">
        <v>75</v>
      </c>
      <c r="AQ3" s="35" t="s">
        <v>75</v>
      </c>
      <c r="AR3" s="35" t="s">
        <v>75</v>
      </c>
      <c r="AS3" s="35" t="s">
        <v>75</v>
      </c>
      <c r="AT3" s="35" t="s">
        <v>75</v>
      </c>
      <c r="AU3" s="35" t="s">
        <v>75</v>
      </c>
      <c r="AV3" s="35" t="s">
        <v>75</v>
      </c>
      <c r="AW3" s="35" t="s">
        <v>1395</v>
      </c>
      <c r="AX3" s="35" t="s">
        <v>241</v>
      </c>
      <c r="AY3" s="35" t="s">
        <v>207</v>
      </c>
      <c r="AZ3" s="35" t="s">
        <v>75</v>
      </c>
      <c r="BA3" s="35" t="s">
        <v>1396</v>
      </c>
      <c r="BB3" s="35" t="s">
        <v>213</v>
      </c>
      <c r="BC3" s="35" t="s">
        <v>197</v>
      </c>
      <c r="BD3" s="390">
        <v>1</v>
      </c>
      <c r="BE3" s="35" t="s">
        <v>1721</v>
      </c>
      <c r="BF3" s="403">
        <v>109</v>
      </c>
      <c r="BG3" s="403">
        <v>75</v>
      </c>
      <c r="BH3" s="403">
        <v>28</v>
      </c>
      <c r="BI3" s="403">
        <v>32.75</v>
      </c>
      <c r="BJ3" s="403">
        <v>50.75</v>
      </c>
      <c r="BK3" s="403">
        <v>48.25</v>
      </c>
      <c r="BL3" s="35" t="s">
        <v>75</v>
      </c>
      <c r="BM3" s="35" t="s">
        <v>75</v>
      </c>
      <c r="BN3" s="35" t="s">
        <v>75</v>
      </c>
      <c r="BO3" s="24" t="s">
        <v>75</v>
      </c>
      <c r="BP3" s="35" t="s">
        <v>75</v>
      </c>
      <c r="BQ3" s="35" t="s">
        <v>75</v>
      </c>
      <c r="BR3" s="35" t="s">
        <v>75</v>
      </c>
      <c r="BS3" s="24" t="s">
        <v>75</v>
      </c>
      <c r="BT3" s="35" t="s">
        <v>75</v>
      </c>
      <c r="BU3" s="35" t="s">
        <v>75</v>
      </c>
      <c r="BV3" s="35" t="s">
        <v>75</v>
      </c>
      <c r="BW3" s="35" t="s">
        <v>75</v>
      </c>
      <c r="BX3" s="35" t="s">
        <v>75</v>
      </c>
      <c r="BY3" s="35" t="s">
        <v>75</v>
      </c>
      <c r="BZ3" s="35" t="s">
        <v>75</v>
      </c>
      <c r="CA3" s="35" t="s">
        <v>75</v>
      </c>
      <c r="CB3" s="35" t="s">
        <v>75</v>
      </c>
      <c r="CC3" s="35" t="s">
        <v>75</v>
      </c>
      <c r="CD3" s="35" t="s">
        <v>75</v>
      </c>
      <c r="CE3" s="35" t="s">
        <v>75</v>
      </c>
      <c r="CF3" s="35" t="s">
        <v>75</v>
      </c>
      <c r="CG3" s="37" t="s">
        <v>75</v>
      </c>
      <c r="CH3" s="35" t="s">
        <v>75</v>
      </c>
      <c r="CI3" s="35" t="s">
        <v>75</v>
      </c>
      <c r="CJ3" s="35" t="s">
        <v>75</v>
      </c>
      <c r="CK3" s="35" t="s">
        <v>1397</v>
      </c>
      <c r="CL3" s="35" t="s">
        <v>222</v>
      </c>
      <c r="CM3" s="35" t="s">
        <v>1371</v>
      </c>
      <c r="CN3" s="37" t="s">
        <v>1398</v>
      </c>
      <c r="CO3" s="390" t="s">
        <v>1399</v>
      </c>
      <c r="CP3" s="35" t="s">
        <v>1400</v>
      </c>
      <c r="CQ3" s="35" t="s">
        <v>75</v>
      </c>
      <c r="CR3" s="35" t="s">
        <v>75</v>
      </c>
      <c r="CS3" s="35" t="s">
        <v>75</v>
      </c>
      <c r="CT3" s="37" t="s">
        <v>75</v>
      </c>
      <c r="CU3" s="390" t="s">
        <v>75</v>
      </c>
      <c r="CV3" s="35" t="s">
        <v>75</v>
      </c>
      <c r="CW3" s="35" t="s">
        <v>75</v>
      </c>
      <c r="CX3" s="35" t="s">
        <v>75</v>
      </c>
      <c r="CY3" s="35" t="s">
        <v>75</v>
      </c>
      <c r="CZ3" s="37" t="s">
        <v>75</v>
      </c>
      <c r="DA3" s="198" t="s">
        <v>75</v>
      </c>
      <c r="DB3" s="35" t="s">
        <v>75</v>
      </c>
      <c r="DC3" s="35" t="s">
        <v>75</v>
      </c>
      <c r="DD3" s="35" t="s">
        <v>75</v>
      </c>
      <c r="DE3" s="35" t="s">
        <v>75</v>
      </c>
      <c r="DF3" s="37" t="s">
        <v>75</v>
      </c>
      <c r="DG3" s="198" t="s">
        <v>75</v>
      </c>
      <c r="DH3" s="35" t="s">
        <v>75</v>
      </c>
      <c r="DI3" s="35" t="s">
        <v>75</v>
      </c>
      <c r="DJ3" s="35" t="s">
        <v>75</v>
      </c>
      <c r="DK3" s="35" t="s">
        <v>75</v>
      </c>
      <c r="DL3" s="37" t="s">
        <v>75</v>
      </c>
      <c r="DM3" s="198" t="s">
        <v>75</v>
      </c>
      <c r="DN3" s="35" t="s">
        <v>75</v>
      </c>
      <c r="DO3" s="35" t="s">
        <v>75</v>
      </c>
      <c r="DP3" s="35" t="s">
        <v>75</v>
      </c>
      <c r="DQ3" s="35" t="s">
        <v>75</v>
      </c>
      <c r="DR3" s="37" t="s">
        <v>75</v>
      </c>
      <c r="DS3" s="198" t="s">
        <v>75</v>
      </c>
      <c r="DT3" s="35" t="s">
        <v>75</v>
      </c>
      <c r="DU3" s="35" t="s">
        <v>75</v>
      </c>
      <c r="DV3" s="35" t="s">
        <v>75</v>
      </c>
      <c r="DW3" s="35" t="s">
        <v>75</v>
      </c>
      <c r="DX3" s="37" t="s">
        <v>75</v>
      </c>
      <c r="DY3" s="198" t="s">
        <v>75</v>
      </c>
      <c r="DZ3" s="35" t="s">
        <v>75</v>
      </c>
      <c r="EA3" s="35" t="s">
        <v>75</v>
      </c>
      <c r="EB3" s="35" t="s">
        <v>75</v>
      </c>
      <c r="EC3" s="35" t="s">
        <v>75</v>
      </c>
      <c r="ED3" s="37" t="s">
        <v>75</v>
      </c>
      <c r="EE3" s="198" t="s">
        <v>75</v>
      </c>
      <c r="EF3" s="35" t="s">
        <v>75</v>
      </c>
      <c r="EG3" s="35" t="s">
        <v>75</v>
      </c>
      <c r="EH3" s="35" t="s">
        <v>75</v>
      </c>
      <c r="EI3" s="35" t="s">
        <v>75</v>
      </c>
      <c r="EJ3" s="37" t="s">
        <v>75</v>
      </c>
      <c r="EK3" s="197" t="s">
        <v>75</v>
      </c>
      <c r="EL3" s="35" t="s">
        <v>75</v>
      </c>
      <c r="EM3" s="35" t="s">
        <v>75</v>
      </c>
      <c r="EN3" s="35" t="s">
        <v>75</v>
      </c>
      <c r="EO3" s="35" t="s">
        <v>75</v>
      </c>
      <c r="EP3" s="37" t="s">
        <v>75</v>
      </c>
      <c r="EQ3" s="197" t="s">
        <v>75</v>
      </c>
      <c r="ER3" s="35" t="s">
        <v>75</v>
      </c>
      <c r="ES3" s="197" t="s">
        <v>75</v>
      </c>
      <c r="ET3" s="197" t="s">
        <v>75</v>
      </c>
      <c r="EV3" s="35" t="s">
        <v>1721</v>
      </c>
      <c r="EW3" s="35" t="s">
        <v>139</v>
      </c>
      <c r="EX3" s="35" t="s">
        <v>1395</v>
      </c>
      <c r="EY3" s="35" t="s">
        <v>1387</v>
      </c>
      <c r="EZ3" s="35" t="s">
        <v>1401</v>
      </c>
      <c r="FA3" s="197">
        <v>109</v>
      </c>
      <c r="FB3" s="197" t="s">
        <v>75</v>
      </c>
      <c r="FC3" s="403">
        <v>75</v>
      </c>
      <c r="FD3" s="403">
        <v>184</v>
      </c>
      <c r="FE3" s="403">
        <v>109</v>
      </c>
      <c r="FF3" s="403">
        <v>28</v>
      </c>
      <c r="FG3" s="403">
        <v>0</v>
      </c>
      <c r="FH3" s="403">
        <v>28</v>
      </c>
      <c r="FI3" s="403">
        <v>156</v>
      </c>
      <c r="FJ3" s="403">
        <v>81</v>
      </c>
      <c r="FK3" s="403">
        <v>32.75</v>
      </c>
      <c r="FL3" s="403">
        <v>32.75</v>
      </c>
      <c r="FM3" s="403">
        <v>123.25</v>
      </c>
      <c r="FN3" s="403">
        <v>48.25</v>
      </c>
      <c r="FO3" s="403">
        <v>79.5</v>
      </c>
      <c r="FP3" s="403">
        <v>17</v>
      </c>
      <c r="FQ3" s="403">
        <v>42.5</v>
      </c>
      <c r="FR3" s="403">
        <v>31.25</v>
      </c>
      <c r="FS3" s="400" t="s">
        <v>1656</v>
      </c>
      <c r="FU3" s="426" t="str">
        <f>IF(AND(FS3="Active",BC3="debit order",FV3&lt;1),"Y","N")</f>
        <v>N</v>
      </c>
      <c r="FV3">
        <f>IF(ISERROR(DATEDIF('Debit orders'!$E$1,B3,"M")),0,DATEDIF('Debit orders'!$E$1,B3,"M"))</f>
        <v>0</v>
      </c>
      <c r="GA3" t="s">
        <v>65</v>
      </c>
    </row>
    <row r="4" spans="1:183">
      <c r="A4" s="228">
        <v>42029</v>
      </c>
      <c r="B4" s="228">
        <v>42095</v>
      </c>
      <c r="C4" s="301" t="s">
        <v>1387</v>
      </c>
      <c r="D4" s="301">
        <v>50260111</v>
      </c>
      <c r="E4" s="35" t="s">
        <v>1341</v>
      </c>
      <c r="F4" s="35" t="s">
        <v>1354</v>
      </c>
      <c r="G4" s="35" t="s">
        <v>1334</v>
      </c>
      <c r="H4" s="35" t="s">
        <v>1577</v>
      </c>
      <c r="I4" s="35" t="s">
        <v>1358</v>
      </c>
      <c r="J4" s="35" t="s">
        <v>1360</v>
      </c>
      <c r="K4" s="35" t="s">
        <v>1575</v>
      </c>
      <c r="L4" s="398" t="s">
        <v>1578</v>
      </c>
      <c r="M4" s="198" t="s">
        <v>1579</v>
      </c>
      <c r="N4" s="35" t="s">
        <v>1580</v>
      </c>
      <c r="O4" s="35" t="s">
        <v>75</v>
      </c>
      <c r="P4" s="35" t="s">
        <v>75</v>
      </c>
      <c r="Q4" s="35" t="s">
        <v>1581</v>
      </c>
      <c r="R4" s="35" t="s">
        <v>1582</v>
      </c>
      <c r="S4" s="35" t="s">
        <v>1580</v>
      </c>
      <c r="T4" s="35" t="s">
        <v>75</v>
      </c>
      <c r="U4" s="35" t="s">
        <v>75</v>
      </c>
      <c r="V4" s="35" t="s">
        <v>1581</v>
      </c>
      <c r="W4" s="198" t="s">
        <v>1582</v>
      </c>
      <c r="X4" s="35" t="s">
        <v>1364</v>
      </c>
      <c r="Y4" s="35" t="s">
        <v>1339</v>
      </c>
      <c r="Z4" s="35" t="s">
        <v>75</v>
      </c>
      <c r="AA4" s="35" t="s">
        <v>1339</v>
      </c>
      <c r="AB4" s="35" t="s">
        <v>1583</v>
      </c>
      <c r="AC4" s="35" t="s">
        <v>1584</v>
      </c>
      <c r="AD4" s="35" t="s">
        <v>75</v>
      </c>
      <c r="AF4" s="35" t="s">
        <v>75</v>
      </c>
      <c r="AG4" s="35" t="s">
        <v>75</v>
      </c>
      <c r="AH4" s="35" t="s">
        <v>75</v>
      </c>
      <c r="AI4" s="35" t="s">
        <v>75</v>
      </c>
      <c r="AJ4" s="35" t="s">
        <v>75</v>
      </c>
      <c r="AK4" s="35" t="s">
        <v>75</v>
      </c>
      <c r="AL4" s="35" t="s">
        <v>75</v>
      </c>
      <c r="AM4" s="35" t="s">
        <v>75</v>
      </c>
      <c r="AN4" s="35" t="s">
        <v>75</v>
      </c>
      <c r="AO4" s="35" t="s">
        <v>75</v>
      </c>
      <c r="AP4" s="35" t="s">
        <v>75</v>
      </c>
      <c r="AQ4" s="35" t="s">
        <v>75</v>
      </c>
      <c r="AR4" s="35" t="s">
        <v>75</v>
      </c>
      <c r="AS4" s="35" t="s">
        <v>75</v>
      </c>
      <c r="AT4" s="35" t="s">
        <v>75</v>
      </c>
      <c r="AU4" s="35" t="s">
        <v>75</v>
      </c>
      <c r="AV4" s="35" t="s">
        <v>75</v>
      </c>
      <c r="AW4" s="35" t="s">
        <v>1585</v>
      </c>
      <c r="AX4" s="35" t="s">
        <v>241</v>
      </c>
      <c r="AY4" s="35" t="s">
        <v>75</v>
      </c>
      <c r="AZ4" s="35" t="s">
        <v>1586</v>
      </c>
      <c r="BA4" s="35" t="s">
        <v>1587</v>
      </c>
      <c r="BB4" s="35" t="s">
        <v>254</v>
      </c>
      <c r="BC4" s="35" t="s">
        <v>197</v>
      </c>
      <c r="BD4" s="390">
        <v>1</v>
      </c>
      <c r="BE4" s="35" t="s">
        <v>1721</v>
      </c>
      <c r="BF4" s="403">
        <v>109</v>
      </c>
      <c r="BG4" s="403">
        <v>75</v>
      </c>
      <c r="BH4" s="403">
        <v>28</v>
      </c>
      <c r="BI4" s="403">
        <v>32.75</v>
      </c>
      <c r="BJ4" s="403">
        <v>50.75</v>
      </c>
      <c r="BK4" s="403">
        <v>48.25</v>
      </c>
      <c r="BL4" s="35" t="s">
        <v>1588</v>
      </c>
      <c r="BM4" s="35" t="s">
        <v>1334</v>
      </c>
      <c r="BN4" s="35" t="s">
        <v>1589</v>
      </c>
      <c r="BO4" s="24" t="s">
        <v>1590</v>
      </c>
      <c r="BP4" s="35" t="s">
        <v>75</v>
      </c>
      <c r="BQ4" s="35" t="s">
        <v>75</v>
      </c>
      <c r="BR4" s="35" t="s">
        <v>75</v>
      </c>
      <c r="BS4" s="24" t="s">
        <v>75</v>
      </c>
      <c r="BT4" s="35" t="s">
        <v>75</v>
      </c>
      <c r="BU4" s="35" t="s">
        <v>75</v>
      </c>
      <c r="BV4" s="35" t="s">
        <v>75</v>
      </c>
      <c r="BW4" s="35" t="s">
        <v>75</v>
      </c>
      <c r="BX4" s="35" t="s">
        <v>75</v>
      </c>
      <c r="BY4" s="35" t="s">
        <v>75</v>
      </c>
      <c r="BZ4" s="35" t="s">
        <v>75</v>
      </c>
      <c r="CA4" s="35" t="s">
        <v>75</v>
      </c>
      <c r="CB4" s="35" t="s">
        <v>75</v>
      </c>
      <c r="CC4" s="35" t="s">
        <v>75</v>
      </c>
      <c r="CD4" s="35" t="s">
        <v>75</v>
      </c>
      <c r="CE4" s="35" t="s">
        <v>75</v>
      </c>
      <c r="CF4" s="35" t="s">
        <v>75</v>
      </c>
      <c r="CG4" s="37" t="s">
        <v>75</v>
      </c>
      <c r="CH4" s="35" t="s">
        <v>75</v>
      </c>
      <c r="CI4" s="35" t="s">
        <v>75</v>
      </c>
      <c r="CJ4" s="35" t="s">
        <v>75</v>
      </c>
      <c r="CK4" s="35" t="s">
        <v>1588</v>
      </c>
      <c r="CL4" s="35" t="s">
        <v>1334</v>
      </c>
      <c r="CM4" s="35" t="s">
        <v>1598</v>
      </c>
      <c r="CN4" s="37" t="s">
        <v>1591</v>
      </c>
      <c r="CO4" s="390" t="s">
        <v>1592</v>
      </c>
      <c r="CP4" s="35" t="s">
        <v>1400</v>
      </c>
      <c r="CQ4" s="35" t="s">
        <v>75</v>
      </c>
      <c r="CR4" s="35" t="s">
        <v>75</v>
      </c>
      <c r="CS4" s="35" t="s">
        <v>75</v>
      </c>
      <c r="CT4" s="37" t="s">
        <v>75</v>
      </c>
      <c r="CU4" s="390" t="s">
        <v>75</v>
      </c>
      <c r="CV4" s="35" t="s">
        <v>75</v>
      </c>
      <c r="CW4" s="35" t="s">
        <v>75</v>
      </c>
      <c r="CX4" s="35" t="s">
        <v>75</v>
      </c>
      <c r="CY4" s="35" t="s">
        <v>75</v>
      </c>
      <c r="CZ4" s="37" t="s">
        <v>75</v>
      </c>
      <c r="DA4" s="198" t="s">
        <v>75</v>
      </c>
      <c r="DB4" s="35" t="s">
        <v>75</v>
      </c>
      <c r="DC4" s="35" t="s">
        <v>75</v>
      </c>
      <c r="DD4" s="35" t="s">
        <v>75</v>
      </c>
      <c r="DE4" s="35" t="s">
        <v>75</v>
      </c>
      <c r="DF4" s="37" t="s">
        <v>75</v>
      </c>
      <c r="DG4" s="198" t="s">
        <v>75</v>
      </c>
      <c r="DH4" s="35" t="s">
        <v>75</v>
      </c>
      <c r="DI4" s="35" t="s">
        <v>75</v>
      </c>
      <c r="DJ4" s="35" t="s">
        <v>75</v>
      </c>
      <c r="DK4" s="35" t="s">
        <v>75</v>
      </c>
      <c r="DL4" s="37" t="s">
        <v>75</v>
      </c>
      <c r="DM4" s="198" t="s">
        <v>75</v>
      </c>
      <c r="DN4" s="35" t="s">
        <v>75</v>
      </c>
      <c r="DO4" s="35" t="s">
        <v>75</v>
      </c>
      <c r="DP4" s="35" t="s">
        <v>75</v>
      </c>
      <c r="DQ4" s="35" t="s">
        <v>75</v>
      </c>
      <c r="DR4" s="37" t="s">
        <v>75</v>
      </c>
      <c r="DS4" s="198" t="s">
        <v>75</v>
      </c>
      <c r="DT4" s="35" t="s">
        <v>75</v>
      </c>
      <c r="DU4" s="35" t="s">
        <v>1593</v>
      </c>
      <c r="DV4" s="35" t="s">
        <v>1334</v>
      </c>
      <c r="DW4" s="35" t="s">
        <v>1576</v>
      </c>
      <c r="DX4" s="37" t="s">
        <v>1594</v>
      </c>
      <c r="DY4" s="198" t="s">
        <v>1595</v>
      </c>
      <c r="DZ4" s="35" t="s">
        <v>1596</v>
      </c>
      <c r="EA4" s="35" t="s">
        <v>75</v>
      </c>
      <c r="EB4" s="35" t="s">
        <v>75</v>
      </c>
      <c r="EC4" s="35" t="s">
        <v>75</v>
      </c>
      <c r="ED4" s="37" t="s">
        <v>75</v>
      </c>
      <c r="EE4" s="198" t="s">
        <v>75</v>
      </c>
      <c r="EF4" s="35" t="s">
        <v>75</v>
      </c>
      <c r="EG4" s="35" t="s">
        <v>75</v>
      </c>
      <c r="EH4" s="35" t="s">
        <v>75</v>
      </c>
      <c r="EI4" s="35" t="s">
        <v>75</v>
      </c>
      <c r="EJ4" s="37" t="s">
        <v>75</v>
      </c>
      <c r="EK4" s="197" t="s">
        <v>75</v>
      </c>
      <c r="EL4" s="35" t="s">
        <v>75</v>
      </c>
      <c r="EM4" s="35" t="s">
        <v>75</v>
      </c>
      <c r="EN4" s="35" t="s">
        <v>75</v>
      </c>
      <c r="EO4" s="35" t="s">
        <v>75</v>
      </c>
      <c r="EP4" s="37" t="s">
        <v>75</v>
      </c>
      <c r="EQ4" s="197" t="s">
        <v>75</v>
      </c>
      <c r="ER4" s="35" t="s">
        <v>75</v>
      </c>
      <c r="ES4" s="197">
        <v>50</v>
      </c>
      <c r="ET4" s="197">
        <v>42</v>
      </c>
      <c r="EU4" s="197">
        <v>1</v>
      </c>
      <c r="EV4" s="35" t="s">
        <v>1721</v>
      </c>
      <c r="EW4" s="35" t="s">
        <v>139</v>
      </c>
      <c r="EX4" s="35" t="s">
        <v>1585</v>
      </c>
      <c r="EY4" s="35" t="s">
        <v>1387</v>
      </c>
      <c r="EZ4" s="35" t="s">
        <v>1597</v>
      </c>
      <c r="FA4" s="197">
        <v>109</v>
      </c>
      <c r="FB4" s="197">
        <v>50</v>
      </c>
      <c r="FC4" s="403">
        <v>75</v>
      </c>
      <c r="FD4" s="403">
        <v>234</v>
      </c>
      <c r="FE4" s="403">
        <v>159</v>
      </c>
      <c r="FF4" s="403">
        <v>28</v>
      </c>
      <c r="FG4" s="403">
        <v>42</v>
      </c>
      <c r="FH4" s="403">
        <v>70</v>
      </c>
      <c r="FI4" s="403">
        <v>234</v>
      </c>
      <c r="FJ4" s="403">
        <v>80</v>
      </c>
      <c r="FK4" s="403">
        <v>32.75</v>
      </c>
      <c r="FL4" s="403">
        <v>32.75</v>
      </c>
      <c r="FM4" s="403">
        <v>131.25</v>
      </c>
      <c r="FN4" s="403">
        <f>FE4-FH4-FL4</f>
        <v>56.25</v>
      </c>
      <c r="FO4" s="403">
        <v>83.5</v>
      </c>
      <c r="FP4" s="403">
        <v>21</v>
      </c>
      <c r="FQ4" s="403">
        <f>FM4-FO4</f>
        <v>47.75</v>
      </c>
      <c r="FR4" s="403">
        <v>35.25</v>
      </c>
      <c r="FS4" s="400" t="s">
        <v>65</v>
      </c>
      <c r="FU4" s="426" t="str">
        <f t="shared" ref="FU4:FU8" si="0">IF(AND(FS4="Active",BC4="debit order",FV4&lt;1),"Y","N")</f>
        <v>Y</v>
      </c>
      <c r="FV4">
        <f>IF(ISERROR(DATEDIF('Debit orders'!$E$1,B4,"M")),0,DATEDIF('Debit orders'!$E$1,B4,"M"))</f>
        <v>0</v>
      </c>
      <c r="GA4" t="s">
        <v>1655</v>
      </c>
    </row>
    <row r="5" spans="1:183">
      <c r="A5" s="228">
        <v>42081</v>
      </c>
      <c r="B5" s="340">
        <v>42186</v>
      </c>
      <c r="C5" s="301" t="s">
        <v>1387</v>
      </c>
      <c r="D5" s="301">
        <v>50260327</v>
      </c>
      <c r="E5" s="35" t="s">
        <v>200</v>
      </c>
      <c r="F5" s="35" t="s">
        <v>1353</v>
      </c>
      <c r="G5" s="35" t="s">
        <v>204</v>
      </c>
      <c r="H5" s="35" t="s">
        <v>1359</v>
      </c>
      <c r="I5" s="35" t="s">
        <v>1358</v>
      </c>
      <c r="J5" s="35" t="s">
        <v>1360</v>
      </c>
      <c r="K5" s="35" t="s">
        <v>209</v>
      </c>
      <c r="L5" s="398" t="s">
        <v>1603</v>
      </c>
      <c r="M5" s="198" t="s">
        <v>1604</v>
      </c>
      <c r="N5" s="35" t="s">
        <v>1605</v>
      </c>
      <c r="O5" s="35" t="s">
        <v>1606</v>
      </c>
      <c r="P5" s="35" t="s">
        <v>75</v>
      </c>
      <c r="Q5" s="35" t="s">
        <v>1607</v>
      </c>
      <c r="R5" s="35" t="s">
        <v>1608</v>
      </c>
      <c r="S5" s="35" t="s">
        <v>1605</v>
      </c>
      <c r="T5" s="35" t="s">
        <v>1606</v>
      </c>
      <c r="U5" s="35" t="s">
        <v>75</v>
      </c>
      <c r="V5" s="35" t="s">
        <v>1607</v>
      </c>
      <c r="W5" s="198" t="s">
        <v>1608</v>
      </c>
      <c r="X5" s="35" t="s">
        <v>1365</v>
      </c>
      <c r="Y5" s="35" t="s">
        <v>1609</v>
      </c>
      <c r="Z5" s="35" t="s">
        <v>75</v>
      </c>
      <c r="AA5" s="35" t="s">
        <v>1609</v>
      </c>
      <c r="AB5" s="35" t="s">
        <v>1610</v>
      </c>
      <c r="AC5" s="35" t="s">
        <v>1611</v>
      </c>
      <c r="AD5" s="35" t="s">
        <v>75</v>
      </c>
      <c r="AF5" s="35" t="s">
        <v>75</v>
      </c>
      <c r="AG5" s="35" t="s">
        <v>75</v>
      </c>
      <c r="AH5" s="35" t="s">
        <v>75</v>
      </c>
      <c r="AI5" s="35" t="s">
        <v>75</v>
      </c>
      <c r="AJ5" s="35" t="s">
        <v>75</v>
      </c>
      <c r="AK5" s="35" t="s">
        <v>75</v>
      </c>
      <c r="AL5" s="35" t="s">
        <v>75</v>
      </c>
      <c r="AM5" s="35" t="s">
        <v>75</v>
      </c>
      <c r="AN5" s="35" t="s">
        <v>75</v>
      </c>
      <c r="AO5" s="35" t="s">
        <v>75</v>
      </c>
      <c r="AP5" s="35" t="s">
        <v>75</v>
      </c>
      <c r="AQ5" s="35" t="s">
        <v>75</v>
      </c>
      <c r="AR5" s="35" t="s">
        <v>75</v>
      </c>
      <c r="AS5" s="35" t="s">
        <v>75</v>
      </c>
      <c r="AT5" s="35" t="s">
        <v>75</v>
      </c>
      <c r="AU5" s="35" t="s">
        <v>75</v>
      </c>
      <c r="AV5" s="35" t="s">
        <v>75</v>
      </c>
      <c r="AW5" s="35" t="s">
        <v>1612</v>
      </c>
      <c r="AX5" s="35" t="s">
        <v>214</v>
      </c>
      <c r="AY5" s="35" t="s">
        <v>75</v>
      </c>
      <c r="AZ5" s="35" t="s">
        <v>278</v>
      </c>
      <c r="BA5" s="35" t="s">
        <v>212</v>
      </c>
      <c r="BB5" s="35" t="s">
        <v>213</v>
      </c>
      <c r="BC5" s="35" t="s">
        <v>197</v>
      </c>
      <c r="BD5" s="390">
        <v>1</v>
      </c>
      <c r="BE5" s="35" t="s">
        <v>1721</v>
      </c>
      <c r="BF5" s="403">
        <v>125</v>
      </c>
      <c r="BG5" s="403">
        <v>75</v>
      </c>
      <c r="BH5" s="403">
        <v>28</v>
      </c>
      <c r="BI5" s="403">
        <v>50</v>
      </c>
      <c r="BJ5" s="403">
        <v>78</v>
      </c>
      <c r="BK5" s="403">
        <v>47</v>
      </c>
      <c r="BL5" s="35" t="s">
        <v>75</v>
      </c>
      <c r="BM5" s="35" t="s">
        <v>75</v>
      </c>
      <c r="BN5" s="35" t="s">
        <v>75</v>
      </c>
      <c r="BO5" s="24" t="s">
        <v>75</v>
      </c>
      <c r="BP5" s="35" t="s">
        <v>75</v>
      </c>
      <c r="BQ5" s="35" t="s">
        <v>75</v>
      </c>
      <c r="BR5" s="35" t="s">
        <v>75</v>
      </c>
      <c r="BS5" s="24" t="s">
        <v>75</v>
      </c>
      <c r="BT5" s="35" t="s">
        <v>75</v>
      </c>
      <c r="BU5" s="35" t="s">
        <v>75</v>
      </c>
      <c r="BV5" s="35" t="s">
        <v>75</v>
      </c>
      <c r="BW5" s="35" t="s">
        <v>75</v>
      </c>
      <c r="BX5" s="35" t="s">
        <v>75</v>
      </c>
      <c r="BY5" s="35" t="s">
        <v>75</v>
      </c>
      <c r="BZ5" s="35" t="s">
        <v>75</v>
      </c>
      <c r="CA5" s="35" t="s">
        <v>75</v>
      </c>
      <c r="CB5" s="35" t="s">
        <v>75</v>
      </c>
      <c r="CC5" s="35" t="s">
        <v>75</v>
      </c>
      <c r="CD5" s="35" t="s">
        <v>1613</v>
      </c>
      <c r="CE5" s="35" t="s">
        <v>204</v>
      </c>
      <c r="CF5" s="35" t="s">
        <v>1600</v>
      </c>
      <c r="CG5" s="37" t="s">
        <v>1614</v>
      </c>
      <c r="CH5" s="35" t="s">
        <v>1615</v>
      </c>
      <c r="CI5" s="35" t="s">
        <v>75</v>
      </c>
      <c r="CJ5" s="35" t="s">
        <v>75</v>
      </c>
      <c r="CK5" s="35" t="s">
        <v>1616</v>
      </c>
      <c r="CL5" s="35" t="s">
        <v>204</v>
      </c>
      <c r="CM5" s="35" t="s">
        <v>1601</v>
      </c>
      <c r="CN5" s="37" t="s">
        <v>1617</v>
      </c>
      <c r="CO5" s="390" t="s">
        <v>1618</v>
      </c>
      <c r="CP5" s="35" t="s">
        <v>1619</v>
      </c>
      <c r="CQ5" s="35" t="s">
        <v>1620</v>
      </c>
      <c r="CR5" s="35" t="s">
        <v>204</v>
      </c>
      <c r="CS5" s="35" t="s">
        <v>1602</v>
      </c>
      <c r="CT5" s="37" t="s">
        <v>1621</v>
      </c>
      <c r="CU5" s="390" t="s">
        <v>1622</v>
      </c>
      <c r="CV5" s="35" t="s">
        <v>1623</v>
      </c>
      <c r="CW5" s="35" t="s">
        <v>75</v>
      </c>
      <c r="CX5" s="35" t="s">
        <v>75</v>
      </c>
      <c r="CY5" s="35" t="s">
        <v>75</v>
      </c>
      <c r="CZ5" s="37" t="s">
        <v>75</v>
      </c>
      <c r="DA5" s="198" t="s">
        <v>75</v>
      </c>
      <c r="DB5" s="35" t="s">
        <v>75</v>
      </c>
      <c r="DC5" s="35" t="s">
        <v>75</v>
      </c>
      <c r="DD5" s="35" t="s">
        <v>75</v>
      </c>
      <c r="DE5" s="35" t="s">
        <v>75</v>
      </c>
      <c r="DF5" s="37" t="s">
        <v>75</v>
      </c>
      <c r="DG5" s="198" t="s">
        <v>75</v>
      </c>
      <c r="DH5" s="35" t="s">
        <v>75</v>
      </c>
      <c r="DI5" s="35" t="s">
        <v>75</v>
      </c>
      <c r="DJ5" s="35" t="s">
        <v>75</v>
      </c>
      <c r="DK5" s="35" t="s">
        <v>75</v>
      </c>
      <c r="DL5" s="37" t="s">
        <v>75</v>
      </c>
      <c r="DM5" s="198" t="s">
        <v>75</v>
      </c>
      <c r="DN5" s="35" t="s">
        <v>75</v>
      </c>
      <c r="DO5" s="35" t="s">
        <v>75</v>
      </c>
      <c r="DP5" s="35" t="s">
        <v>75</v>
      </c>
      <c r="DQ5" s="35" t="s">
        <v>75</v>
      </c>
      <c r="DR5" s="37" t="s">
        <v>75</v>
      </c>
      <c r="DS5" s="198" t="s">
        <v>75</v>
      </c>
      <c r="DT5" s="35" t="s">
        <v>75</v>
      </c>
      <c r="DU5" s="35" t="s">
        <v>75</v>
      </c>
      <c r="DV5" s="35" t="s">
        <v>75</v>
      </c>
      <c r="DW5" s="35" t="s">
        <v>75</v>
      </c>
      <c r="DX5" s="37" t="s">
        <v>75</v>
      </c>
      <c r="DY5" s="198" t="s">
        <v>75</v>
      </c>
      <c r="DZ5" s="35" t="s">
        <v>75</v>
      </c>
      <c r="EA5" s="35" t="s">
        <v>75</v>
      </c>
      <c r="EB5" s="35" t="s">
        <v>75</v>
      </c>
      <c r="EC5" s="35" t="s">
        <v>75</v>
      </c>
      <c r="ED5" s="37" t="s">
        <v>75</v>
      </c>
      <c r="EE5" s="198" t="s">
        <v>75</v>
      </c>
      <c r="EF5" s="35" t="s">
        <v>75</v>
      </c>
      <c r="EG5" s="35" t="s">
        <v>75</v>
      </c>
      <c r="EH5" s="35" t="s">
        <v>75</v>
      </c>
      <c r="EI5" s="35" t="s">
        <v>75</v>
      </c>
      <c r="EJ5" s="37" t="s">
        <v>75</v>
      </c>
      <c r="EK5" s="197" t="s">
        <v>75</v>
      </c>
      <c r="EL5" s="35" t="s">
        <v>75</v>
      </c>
      <c r="EM5" s="35" t="s">
        <v>75</v>
      </c>
      <c r="EN5" s="35" t="s">
        <v>75</v>
      </c>
      <c r="EO5" s="35" t="s">
        <v>75</v>
      </c>
      <c r="EP5" s="37" t="s">
        <v>75</v>
      </c>
      <c r="EQ5" s="197" t="s">
        <v>75</v>
      </c>
      <c r="ER5" s="35" t="s">
        <v>75</v>
      </c>
      <c r="ES5" s="197" t="s">
        <v>75</v>
      </c>
      <c r="ET5" s="197" t="s">
        <v>75</v>
      </c>
      <c r="EU5" s="197" t="s">
        <v>75</v>
      </c>
      <c r="EV5" s="35" t="s">
        <v>1721</v>
      </c>
      <c r="EW5" s="35" t="s">
        <v>139</v>
      </c>
      <c r="EX5" s="35" t="s">
        <v>1612</v>
      </c>
      <c r="EY5" s="35" t="s">
        <v>1387</v>
      </c>
      <c r="EZ5" s="35" t="s">
        <v>1624</v>
      </c>
      <c r="FA5" s="197">
        <v>125</v>
      </c>
      <c r="FB5" s="197" t="s">
        <v>75</v>
      </c>
      <c r="FC5" s="403">
        <v>75</v>
      </c>
      <c r="FD5" s="403">
        <v>200</v>
      </c>
      <c r="FE5" s="403">
        <v>125</v>
      </c>
      <c r="FF5" s="403">
        <v>28</v>
      </c>
      <c r="FG5" s="403">
        <v>0</v>
      </c>
      <c r="FH5" s="403">
        <v>28</v>
      </c>
      <c r="FI5" s="403">
        <v>172</v>
      </c>
      <c r="FJ5" s="403">
        <v>97</v>
      </c>
      <c r="FK5" s="403">
        <v>50</v>
      </c>
      <c r="FL5" s="403">
        <v>50</v>
      </c>
      <c r="FM5" s="403">
        <v>122</v>
      </c>
      <c r="FN5" s="403">
        <v>47</v>
      </c>
      <c r="FO5" s="403">
        <v>79.5</v>
      </c>
      <c r="FP5" s="403">
        <v>17</v>
      </c>
      <c r="FQ5" s="403">
        <v>42.5</v>
      </c>
      <c r="FR5" s="403">
        <v>30</v>
      </c>
      <c r="FS5" s="400" t="s">
        <v>1656</v>
      </c>
      <c r="FU5" s="426" t="str">
        <f t="shared" si="0"/>
        <v>N</v>
      </c>
      <c r="FV5">
        <f>IF(ISERROR(DATEDIF('Debit orders'!$E$1,B5,"M")),0,DATEDIF('Debit orders'!$E$1,B5,"M"))</f>
        <v>0</v>
      </c>
      <c r="GA5" t="s">
        <v>1656</v>
      </c>
    </row>
    <row r="6" spans="1:183">
      <c r="A6" s="396">
        <v>42101</v>
      </c>
      <c r="B6" s="228">
        <v>42125</v>
      </c>
      <c r="C6" s="301" t="s">
        <v>1387</v>
      </c>
      <c r="D6" s="301">
        <v>50260012</v>
      </c>
      <c r="E6" s="35" t="s">
        <v>279</v>
      </c>
      <c r="F6" s="35" t="s">
        <v>1355</v>
      </c>
      <c r="G6" s="35" t="s">
        <v>1743</v>
      </c>
      <c r="H6" s="35" t="s">
        <v>1744</v>
      </c>
      <c r="I6" s="35" t="s">
        <v>1359</v>
      </c>
      <c r="J6" s="35" t="s">
        <v>1360</v>
      </c>
      <c r="K6" s="35" t="s">
        <v>1740</v>
      </c>
      <c r="L6" s="398" t="s">
        <v>1745</v>
      </c>
      <c r="M6" s="198" t="s">
        <v>1746</v>
      </c>
      <c r="N6" s="35" t="s">
        <v>1847</v>
      </c>
      <c r="O6" s="35" t="s">
        <v>1747</v>
      </c>
      <c r="P6" s="35" t="s">
        <v>1748</v>
      </c>
      <c r="Q6" s="35" t="s">
        <v>78</v>
      </c>
      <c r="R6" s="198" t="s">
        <v>1749</v>
      </c>
      <c r="S6" s="35" t="s">
        <v>1847</v>
      </c>
      <c r="T6" s="35" t="s">
        <v>1747</v>
      </c>
      <c r="U6" s="35" t="s">
        <v>1748</v>
      </c>
      <c r="V6" s="35" t="s">
        <v>78</v>
      </c>
      <c r="W6" s="198" t="s">
        <v>1749</v>
      </c>
      <c r="X6" s="35" t="s">
        <v>1364</v>
      </c>
      <c r="Y6" s="35" t="s">
        <v>1848</v>
      </c>
      <c r="Z6" s="35" t="s">
        <v>75</v>
      </c>
      <c r="AA6" s="35" t="s">
        <v>1848</v>
      </c>
      <c r="AB6" s="35" t="s">
        <v>1583</v>
      </c>
      <c r="AC6" s="35" t="s">
        <v>1849</v>
      </c>
      <c r="AD6" s="35" t="s">
        <v>75</v>
      </c>
      <c r="AE6" s="35" t="s">
        <v>75</v>
      </c>
      <c r="AF6" s="35" t="s">
        <v>75</v>
      </c>
      <c r="AG6" s="35" t="s">
        <v>75</v>
      </c>
      <c r="AH6" s="35" t="s">
        <v>75</v>
      </c>
      <c r="AI6" s="35" t="s">
        <v>75</v>
      </c>
      <c r="AJ6" s="35" t="s">
        <v>75</v>
      </c>
      <c r="AK6" s="35" t="s">
        <v>75</v>
      </c>
      <c r="AL6" s="35" t="s">
        <v>75</v>
      </c>
      <c r="AM6" s="35" t="s">
        <v>75</v>
      </c>
      <c r="AN6" s="35" t="s">
        <v>75</v>
      </c>
      <c r="AO6" s="35" t="s">
        <v>75</v>
      </c>
      <c r="AP6" s="35" t="s">
        <v>75</v>
      </c>
      <c r="AQ6" s="35" t="s">
        <v>75</v>
      </c>
      <c r="AR6" s="35" t="s">
        <v>75</v>
      </c>
      <c r="AS6" s="35" t="s">
        <v>75</v>
      </c>
      <c r="AT6" s="35" t="s">
        <v>75</v>
      </c>
      <c r="AU6" s="35" t="s">
        <v>75</v>
      </c>
      <c r="AV6" s="198" t="s">
        <v>75</v>
      </c>
      <c r="AW6" s="35" t="s">
        <v>1850</v>
      </c>
      <c r="AX6" s="35" t="s">
        <v>89</v>
      </c>
      <c r="AY6" s="35" t="s">
        <v>75</v>
      </c>
      <c r="AZ6" s="35" t="s">
        <v>87</v>
      </c>
      <c r="BA6" s="35" t="s">
        <v>1750</v>
      </c>
      <c r="BB6" s="35" t="s">
        <v>254</v>
      </c>
      <c r="BC6" s="35" t="s">
        <v>197</v>
      </c>
      <c r="BD6" s="390">
        <v>1</v>
      </c>
      <c r="BE6" s="35" t="s">
        <v>1721</v>
      </c>
      <c r="BF6" s="403">
        <v>125</v>
      </c>
      <c r="BG6" s="403">
        <v>75</v>
      </c>
      <c r="BH6" s="403">
        <v>28</v>
      </c>
      <c r="BI6" s="403">
        <v>50</v>
      </c>
      <c r="BJ6" s="403">
        <v>78</v>
      </c>
      <c r="BK6" s="403">
        <v>47</v>
      </c>
      <c r="BL6" s="35" t="s">
        <v>1751</v>
      </c>
      <c r="BM6" s="35" t="s">
        <v>1743</v>
      </c>
      <c r="BN6" s="35" t="s">
        <v>1741</v>
      </c>
      <c r="BO6" s="24">
        <v>1</v>
      </c>
      <c r="BP6" s="35" t="s">
        <v>75</v>
      </c>
      <c r="BQ6" s="35" t="s">
        <v>75</v>
      </c>
      <c r="BR6" s="35" t="s">
        <v>75</v>
      </c>
      <c r="BS6" s="24" t="s">
        <v>75</v>
      </c>
      <c r="BT6" s="35" t="s">
        <v>75</v>
      </c>
      <c r="BU6" s="35" t="s">
        <v>75</v>
      </c>
      <c r="BV6" s="35" t="s">
        <v>75</v>
      </c>
      <c r="BW6" s="198" t="s">
        <v>75</v>
      </c>
      <c r="BX6" s="35" t="s">
        <v>75</v>
      </c>
      <c r="BY6" s="35" t="s">
        <v>75</v>
      </c>
      <c r="BZ6" s="35" t="s">
        <v>75</v>
      </c>
      <c r="CA6" s="35" t="s">
        <v>75</v>
      </c>
      <c r="CB6" s="35" t="s">
        <v>75</v>
      </c>
      <c r="CC6" s="35" t="s">
        <v>75</v>
      </c>
      <c r="CD6" s="35" t="s">
        <v>75</v>
      </c>
      <c r="CE6" s="35" t="s">
        <v>75</v>
      </c>
      <c r="CF6" s="35" t="s">
        <v>75</v>
      </c>
      <c r="CG6" s="350" t="s">
        <v>75</v>
      </c>
      <c r="CH6" s="198" t="s">
        <v>75</v>
      </c>
      <c r="CI6" s="35" t="s">
        <v>75</v>
      </c>
      <c r="CJ6" s="35" t="s">
        <v>75</v>
      </c>
      <c r="CK6" s="35" t="s">
        <v>1751</v>
      </c>
      <c r="CL6" s="35" t="s">
        <v>1743</v>
      </c>
      <c r="CM6" s="35" t="s">
        <v>1741</v>
      </c>
      <c r="CN6" s="350" t="s">
        <v>1752</v>
      </c>
      <c r="CO6" s="390" t="s">
        <v>1402</v>
      </c>
      <c r="CP6" s="35" t="s">
        <v>1623</v>
      </c>
      <c r="CQ6" s="35" t="s">
        <v>1753</v>
      </c>
      <c r="CR6" s="35" t="s">
        <v>1743</v>
      </c>
      <c r="CS6" s="35" t="s">
        <v>1742</v>
      </c>
      <c r="CT6" s="350" t="s">
        <v>1754</v>
      </c>
      <c r="CU6" s="390" t="s">
        <v>1755</v>
      </c>
      <c r="CV6" s="35" t="s">
        <v>1623</v>
      </c>
      <c r="CW6" s="35" t="s">
        <v>75</v>
      </c>
      <c r="CX6" s="35" t="s">
        <v>75</v>
      </c>
      <c r="CY6" s="35" t="s">
        <v>75</v>
      </c>
      <c r="CZ6" s="350" t="s">
        <v>75</v>
      </c>
      <c r="DA6" s="198" t="s">
        <v>75</v>
      </c>
      <c r="DB6" s="35" t="s">
        <v>75</v>
      </c>
      <c r="DC6" s="35" t="s">
        <v>75</v>
      </c>
      <c r="DD6" s="35" t="s">
        <v>75</v>
      </c>
      <c r="DE6" s="35" t="s">
        <v>75</v>
      </c>
      <c r="DF6" s="350" t="s">
        <v>75</v>
      </c>
      <c r="DG6" s="198" t="s">
        <v>75</v>
      </c>
      <c r="DH6" s="35" t="s">
        <v>75</v>
      </c>
      <c r="DI6" s="35" t="s">
        <v>75</v>
      </c>
      <c r="DJ6" s="35" t="s">
        <v>75</v>
      </c>
      <c r="DK6" s="35" t="s">
        <v>75</v>
      </c>
      <c r="DL6" s="350" t="s">
        <v>75</v>
      </c>
      <c r="DM6" s="198" t="s">
        <v>75</v>
      </c>
      <c r="DN6" s="35" t="s">
        <v>75</v>
      </c>
      <c r="DO6" s="35" t="s">
        <v>75</v>
      </c>
      <c r="DP6" s="35" t="s">
        <v>75</v>
      </c>
      <c r="DQ6" s="35" t="s">
        <v>75</v>
      </c>
      <c r="DR6" s="350" t="s">
        <v>75</v>
      </c>
      <c r="DS6" s="198" t="s">
        <v>75</v>
      </c>
      <c r="DT6" s="35" t="s">
        <v>75</v>
      </c>
      <c r="DU6" s="35" t="s">
        <v>75</v>
      </c>
      <c r="DV6" s="35" t="s">
        <v>75</v>
      </c>
      <c r="DW6" s="35" t="s">
        <v>75</v>
      </c>
      <c r="DX6" s="350" t="s">
        <v>75</v>
      </c>
      <c r="DY6" s="198" t="s">
        <v>75</v>
      </c>
      <c r="DZ6" s="35" t="s">
        <v>75</v>
      </c>
      <c r="EA6" s="35" t="s">
        <v>75</v>
      </c>
      <c r="EB6" s="35" t="s">
        <v>75</v>
      </c>
      <c r="EC6" s="35" t="s">
        <v>75</v>
      </c>
      <c r="ED6" s="350" t="s">
        <v>75</v>
      </c>
      <c r="EE6" s="198" t="s">
        <v>75</v>
      </c>
      <c r="EF6" s="35" t="s">
        <v>75</v>
      </c>
      <c r="EG6" s="35" t="s">
        <v>75</v>
      </c>
      <c r="EH6" s="35" t="s">
        <v>75</v>
      </c>
      <c r="EI6" s="35" t="s">
        <v>75</v>
      </c>
      <c r="EJ6" s="350" t="s">
        <v>75</v>
      </c>
      <c r="EK6" s="198" t="s">
        <v>75</v>
      </c>
      <c r="EL6" s="35" t="s">
        <v>75</v>
      </c>
      <c r="EM6" s="35" t="s">
        <v>75</v>
      </c>
      <c r="EN6" s="35" t="s">
        <v>75</v>
      </c>
      <c r="EO6" s="35" t="s">
        <v>75</v>
      </c>
      <c r="EP6" s="350" t="s">
        <v>75</v>
      </c>
      <c r="EQ6" s="198" t="s">
        <v>75</v>
      </c>
      <c r="ER6" s="35" t="s">
        <v>75</v>
      </c>
      <c r="EV6" s="35" t="s">
        <v>1721</v>
      </c>
      <c r="EW6" s="35" t="s">
        <v>139</v>
      </c>
      <c r="EX6" s="35" t="s">
        <v>1756</v>
      </c>
      <c r="EY6" s="35" t="s">
        <v>1387</v>
      </c>
      <c r="EZ6" s="35" t="s">
        <v>1757</v>
      </c>
      <c r="FA6" s="197">
        <v>125</v>
      </c>
      <c r="FC6" s="403">
        <v>75</v>
      </c>
      <c r="FD6" s="403">
        <v>200</v>
      </c>
      <c r="FE6" s="403">
        <v>125</v>
      </c>
      <c r="FF6" s="403">
        <v>28</v>
      </c>
      <c r="FG6" s="403">
        <v>0</v>
      </c>
      <c r="FH6" s="403">
        <v>28</v>
      </c>
      <c r="FI6" s="403">
        <v>172</v>
      </c>
      <c r="FJ6" s="403">
        <v>97</v>
      </c>
      <c r="FK6" s="403">
        <v>50</v>
      </c>
      <c r="FL6" s="403">
        <v>50</v>
      </c>
      <c r="FM6" s="403">
        <v>122</v>
      </c>
      <c r="FN6" s="403">
        <v>47</v>
      </c>
      <c r="FO6" s="403">
        <v>79.5</v>
      </c>
      <c r="FP6" s="403">
        <v>17</v>
      </c>
      <c r="FQ6" s="403">
        <v>42.5</v>
      </c>
      <c r="FR6" s="403">
        <v>30</v>
      </c>
      <c r="FS6" s="400" t="s">
        <v>1656</v>
      </c>
      <c r="FU6" s="426" t="str">
        <f t="shared" si="0"/>
        <v>N</v>
      </c>
      <c r="FV6">
        <f>IF(ISERROR(DATEDIF('Debit orders'!$E$1,B6,"M")),0,DATEDIF('Debit orders'!$E$1,B6,"M"))</f>
        <v>0</v>
      </c>
    </row>
    <row r="7" spans="1:183">
      <c r="A7" s="395">
        <v>42122</v>
      </c>
      <c r="B7" s="395">
        <v>42156</v>
      </c>
      <c r="C7" s="301">
        <v>9575</v>
      </c>
      <c r="D7" s="301">
        <v>50260129</v>
      </c>
      <c r="E7" s="35" t="s">
        <v>1341</v>
      </c>
      <c r="F7" s="35" t="s">
        <v>1355</v>
      </c>
      <c r="G7" s="35" t="s">
        <v>1334</v>
      </c>
      <c r="H7" s="35" t="s">
        <v>1856</v>
      </c>
      <c r="I7" s="35" t="s">
        <v>1359</v>
      </c>
      <c r="J7" s="35" t="s">
        <v>1360</v>
      </c>
      <c r="K7" s="399" t="s">
        <v>1854</v>
      </c>
      <c r="L7" s="398">
        <v>31038</v>
      </c>
      <c r="M7" s="198" t="s">
        <v>1857</v>
      </c>
      <c r="N7" s="35" t="s">
        <v>1858</v>
      </c>
      <c r="O7" s="35" t="s">
        <v>75</v>
      </c>
      <c r="P7" s="35" t="s">
        <v>1859</v>
      </c>
      <c r="Q7" s="198" t="s">
        <v>78</v>
      </c>
      <c r="R7" s="198" t="s">
        <v>272</v>
      </c>
      <c r="S7" s="35" t="s">
        <v>1858</v>
      </c>
      <c r="T7" s="35" t="s">
        <v>75</v>
      </c>
      <c r="U7" s="35" t="s">
        <v>1859</v>
      </c>
      <c r="V7" s="198" t="s">
        <v>78</v>
      </c>
      <c r="W7" s="198" t="s">
        <v>272</v>
      </c>
      <c r="X7" s="35" t="s">
        <v>1364</v>
      </c>
      <c r="Y7" s="35" t="s">
        <v>1860</v>
      </c>
      <c r="Z7" s="35" t="s">
        <v>75</v>
      </c>
      <c r="AA7" s="35" t="s">
        <v>1860</v>
      </c>
      <c r="AB7" s="35" t="s">
        <v>1583</v>
      </c>
      <c r="AC7" s="35" t="s">
        <v>1861</v>
      </c>
      <c r="AD7" s="35" t="s">
        <v>75</v>
      </c>
      <c r="AE7" s="35" t="s">
        <v>75</v>
      </c>
      <c r="AF7" s="35" t="s">
        <v>75</v>
      </c>
      <c r="AG7" s="35" t="s">
        <v>75</v>
      </c>
      <c r="AH7" s="35" t="s">
        <v>75</v>
      </c>
      <c r="AI7" s="35" t="s">
        <v>75</v>
      </c>
      <c r="AJ7" s="35" t="s">
        <v>75</v>
      </c>
      <c r="AK7" s="35" t="s">
        <v>75</v>
      </c>
      <c r="AL7" s="35" t="s">
        <v>75</v>
      </c>
      <c r="AM7" s="35" t="s">
        <v>75</v>
      </c>
      <c r="AN7" s="35" t="s">
        <v>75</v>
      </c>
      <c r="AO7" s="35" t="s">
        <v>75</v>
      </c>
      <c r="AP7" s="35" t="s">
        <v>75</v>
      </c>
      <c r="AQ7" s="35" t="s">
        <v>75</v>
      </c>
      <c r="AR7" s="35" t="s">
        <v>75</v>
      </c>
      <c r="AS7" s="35" t="s">
        <v>75</v>
      </c>
      <c r="AT7" s="35" t="s">
        <v>75</v>
      </c>
      <c r="AU7" s="198" t="s">
        <v>75</v>
      </c>
      <c r="AV7" s="198" t="s">
        <v>75</v>
      </c>
      <c r="AW7" s="35" t="s">
        <v>1862</v>
      </c>
      <c r="AX7" s="35" t="s">
        <v>214</v>
      </c>
      <c r="AY7" s="35" t="s">
        <v>75</v>
      </c>
      <c r="AZ7" s="35" t="s">
        <v>278</v>
      </c>
      <c r="BA7" s="35" t="s">
        <v>1891</v>
      </c>
      <c r="BB7" s="35" t="s">
        <v>213</v>
      </c>
      <c r="BC7" s="198" t="s">
        <v>197</v>
      </c>
      <c r="BD7" s="390">
        <v>1</v>
      </c>
      <c r="BE7" s="197" t="s">
        <v>1721</v>
      </c>
      <c r="BF7" s="403" t="s">
        <v>1851</v>
      </c>
      <c r="BG7" s="403" t="s">
        <v>1863</v>
      </c>
      <c r="BH7" s="403" t="s">
        <v>1864</v>
      </c>
      <c r="BI7" s="403" t="s">
        <v>1865</v>
      </c>
      <c r="BJ7" s="403" t="s">
        <v>1866</v>
      </c>
      <c r="BK7" s="403" t="s">
        <v>1867</v>
      </c>
      <c r="BL7" s="35" t="s">
        <v>1868</v>
      </c>
      <c r="BM7" s="35" t="s">
        <v>1334</v>
      </c>
      <c r="BN7" s="35" t="s">
        <v>1869</v>
      </c>
      <c r="BO7" s="24">
        <v>1</v>
      </c>
      <c r="BP7" s="35" t="s">
        <v>75</v>
      </c>
      <c r="BQ7" s="35" t="s">
        <v>75</v>
      </c>
      <c r="BR7" s="35" t="s">
        <v>75</v>
      </c>
      <c r="BS7" s="24" t="s">
        <v>75</v>
      </c>
      <c r="BT7" s="35" t="s">
        <v>75</v>
      </c>
      <c r="BU7" s="35" t="s">
        <v>75</v>
      </c>
      <c r="BV7" s="198" t="s">
        <v>75</v>
      </c>
      <c r="BW7" s="198" t="s">
        <v>75</v>
      </c>
      <c r="BX7" s="35" t="s">
        <v>75</v>
      </c>
      <c r="BY7" s="35" t="s">
        <v>75</v>
      </c>
      <c r="BZ7" s="35" t="s">
        <v>75</v>
      </c>
      <c r="CA7" s="35" t="s">
        <v>75</v>
      </c>
      <c r="CB7" s="35" t="s">
        <v>75</v>
      </c>
      <c r="CC7" s="35" t="s">
        <v>75</v>
      </c>
      <c r="CD7" s="35" t="s">
        <v>75</v>
      </c>
      <c r="CE7" s="35" t="s">
        <v>75</v>
      </c>
      <c r="CF7" s="399" t="s">
        <v>75</v>
      </c>
      <c r="CG7" s="401" t="s">
        <v>75</v>
      </c>
      <c r="CH7" s="198" t="s">
        <v>75</v>
      </c>
      <c r="CI7" s="35" t="s">
        <v>75</v>
      </c>
      <c r="CJ7" s="35" t="s">
        <v>75</v>
      </c>
      <c r="CK7" s="35" t="s">
        <v>1870</v>
      </c>
      <c r="CL7" s="35" t="s">
        <v>1334</v>
      </c>
      <c r="CM7" s="399" t="s">
        <v>1855</v>
      </c>
      <c r="CN7" s="401" t="s">
        <v>1871</v>
      </c>
      <c r="CO7" s="390">
        <v>1</v>
      </c>
      <c r="CP7" s="35" t="s">
        <v>1623</v>
      </c>
      <c r="CQ7" s="35" t="s">
        <v>75</v>
      </c>
      <c r="CR7" s="35" t="s">
        <v>75</v>
      </c>
      <c r="CS7" s="399" t="s">
        <v>75</v>
      </c>
      <c r="CT7" s="401" t="s">
        <v>75</v>
      </c>
      <c r="CU7" s="390" t="s">
        <v>75</v>
      </c>
      <c r="CV7" s="35" t="s">
        <v>75</v>
      </c>
      <c r="CW7" s="35" t="s">
        <v>75</v>
      </c>
      <c r="CX7" s="35" t="s">
        <v>75</v>
      </c>
      <c r="CY7" s="399" t="s">
        <v>75</v>
      </c>
      <c r="CZ7" s="401" t="s">
        <v>75</v>
      </c>
      <c r="DA7" s="198" t="s">
        <v>75</v>
      </c>
      <c r="DB7" s="35" t="s">
        <v>75</v>
      </c>
      <c r="DC7" s="35" t="s">
        <v>75</v>
      </c>
      <c r="DD7" s="35" t="s">
        <v>75</v>
      </c>
      <c r="DE7" s="399" t="s">
        <v>75</v>
      </c>
      <c r="DF7" s="401" t="s">
        <v>75</v>
      </c>
      <c r="DG7" s="198" t="s">
        <v>75</v>
      </c>
      <c r="DH7" s="35" t="s">
        <v>75</v>
      </c>
      <c r="DI7" s="35" t="s">
        <v>75</v>
      </c>
      <c r="DJ7" s="35" t="s">
        <v>75</v>
      </c>
      <c r="DK7" s="399" t="s">
        <v>75</v>
      </c>
      <c r="DL7" s="401" t="s">
        <v>75</v>
      </c>
      <c r="DM7" s="198" t="s">
        <v>75</v>
      </c>
      <c r="DN7" s="35" t="s">
        <v>75</v>
      </c>
      <c r="DO7" s="35" t="s">
        <v>75</v>
      </c>
      <c r="DP7" s="35" t="s">
        <v>75</v>
      </c>
      <c r="DQ7" s="399" t="s">
        <v>75</v>
      </c>
      <c r="DR7" s="401" t="s">
        <v>75</v>
      </c>
      <c r="DS7" s="198" t="s">
        <v>75</v>
      </c>
      <c r="DT7" s="35" t="s">
        <v>75</v>
      </c>
      <c r="DU7" s="35" t="s">
        <v>75</v>
      </c>
      <c r="DV7" s="35" t="s">
        <v>75</v>
      </c>
      <c r="DW7" s="399" t="s">
        <v>75</v>
      </c>
      <c r="DX7" s="401" t="s">
        <v>75</v>
      </c>
      <c r="DY7" s="198" t="s">
        <v>75</v>
      </c>
      <c r="DZ7" s="35" t="s">
        <v>75</v>
      </c>
      <c r="EA7" s="35" t="s">
        <v>75</v>
      </c>
      <c r="EB7" s="35" t="s">
        <v>75</v>
      </c>
      <c r="EC7" s="399" t="s">
        <v>75</v>
      </c>
      <c r="ED7" s="401" t="s">
        <v>75</v>
      </c>
      <c r="EE7" s="198" t="s">
        <v>75</v>
      </c>
      <c r="EF7" s="35" t="s">
        <v>75</v>
      </c>
      <c r="EG7" s="35" t="s">
        <v>75</v>
      </c>
      <c r="EH7" s="35" t="s">
        <v>75</v>
      </c>
      <c r="EI7" s="399" t="s">
        <v>75</v>
      </c>
      <c r="EJ7" s="401" t="s">
        <v>75</v>
      </c>
      <c r="EK7" s="198" t="s">
        <v>75</v>
      </c>
      <c r="EL7" s="35" t="s">
        <v>75</v>
      </c>
      <c r="EM7" s="35" t="s">
        <v>75</v>
      </c>
      <c r="EN7" s="35" t="s">
        <v>75</v>
      </c>
      <c r="EO7" s="399" t="s">
        <v>75</v>
      </c>
      <c r="EP7" s="401" t="s">
        <v>75</v>
      </c>
      <c r="EQ7" s="198" t="s">
        <v>75</v>
      </c>
      <c r="ER7" s="197" t="s">
        <v>75</v>
      </c>
      <c r="EU7" s="197" t="s">
        <v>75</v>
      </c>
      <c r="EV7" s="35" t="s">
        <v>1721</v>
      </c>
      <c r="EW7" s="35" t="s">
        <v>139</v>
      </c>
      <c r="EX7" s="35" t="s">
        <v>1872</v>
      </c>
      <c r="EY7" s="35" t="s">
        <v>1387</v>
      </c>
      <c r="EZ7" s="197" t="s">
        <v>1873</v>
      </c>
      <c r="FA7" s="197">
        <v>125</v>
      </c>
      <c r="FC7" s="403">
        <v>75</v>
      </c>
      <c r="FD7" s="403">
        <v>200</v>
      </c>
      <c r="FE7" s="403">
        <v>125</v>
      </c>
      <c r="FF7" s="403" t="s">
        <v>1864</v>
      </c>
      <c r="FG7" s="403">
        <v>0</v>
      </c>
      <c r="FH7" s="403">
        <v>28</v>
      </c>
      <c r="FI7" s="403" t="s">
        <v>1874</v>
      </c>
      <c r="FJ7" s="403" t="s">
        <v>1875</v>
      </c>
      <c r="FK7" s="403" t="s">
        <v>1865</v>
      </c>
      <c r="FL7" s="403" t="s">
        <v>1865</v>
      </c>
      <c r="FM7" s="403" t="s">
        <v>1876</v>
      </c>
      <c r="FN7" s="403" t="s">
        <v>1867</v>
      </c>
      <c r="FO7" s="403" t="s">
        <v>1877</v>
      </c>
      <c r="FP7" s="403" t="s">
        <v>1878</v>
      </c>
      <c r="FQ7" s="403" t="s">
        <v>1879</v>
      </c>
      <c r="FR7" s="403" t="s">
        <v>1880</v>
      </c>
      <c r="FS7" s="400" t="s">
        <v>65</v>
      </c>
      <c r="FU7" s="426" t="str">
        <f t="shared" si="0"/>
        <v>Y</v>
      </c>
      <c r="FV7">
        <f>IF(ISERROR(DATEDIF('Debit orders'!$E$1,B7,"M")),0,DATEDIF('Debit orders'!$E$1,B7,"M"))</f>
        <v>0</v>
      </c>
    </row>
    <row r="8" spans="1:183">
      <c r="A8" s="228">
        <v>42115</v>
      </c>
      <c r="B8" s="228">
        <v>42156</v>
      </c>
      <c r="C8" s="301">
        <v>9575</v>
      </c>
      <c r="D8" s="301">
        <v>50260145</v>
      </c>
      <c r="E8" s="35" t="s">
        <v>1320</v>
      </c>
      <c r="F8" s="35" t="s">
        <v>1355</v>
      </c>
      <c r="G8" s="35" t="s">
        <v>1897</v>
      </c>
      <c r="H8" s="35" t="s">
        <v>1898</v>
      </c>
      <c r="I8" s="35" t="s">
        <v>1358</v>
      </c>
      <c r="J8" s="35" t="s">
        <v>1360</v>
      </c>
      <c r="K8" s="35" t="s">
        <v>1892</v>
      </c>
      <c r="L8" s="398">
        <v>29254</v>
      </c>
      <c r="M8" s="198" t="s">
        <v>1899</v>
      </c>
      <c r="N8" s="35" t="s">
        <v>1900</v>
      </c>
      <c r="O8" s="35" t="s">
        <v>1901</v>
      </c>
      <c r="P8" s="35" t="s">
        <v>1902</v>
      </c>
      <c r="Q8" s="35" t="s">
        <v>78</v>
      </c>
      <c r="R8" s="198" t="s">
        <v>75</v>
      </c>
      <c r="S8" s="35" t="s">
        <v>1900</v>
      </c>
      <c r="T8" s="35" t="s">
        <v>1901</v>
      </c>
      <c r="U8" s="35" t="s">
        <v>1902</v>
      </c>
      <c r="V8" s="35" t="s">
        <v>78</v>
      </c>
      <c r="W8" s="198" t="s">
        <v>75</v>
      </c>
      <c r="X8" s="35" t="s">
        <v>1364</v>
      </c>
      <c r="Y8" s="35" t="s">
        <v>1903</v>
      </c>
      <c r="Z8" s="35" t="s">
        <v>75</v>
      </c>
      <c r="AA8" s="35" t="s">
        <v>1903</v>
      </c>
      <c r="AB8" s="35" t="s">
        <v>1583</v>
      </c>
      <c r="AC8" s="35" t="s">
        <v>1904</v>
      </c>
      <c r="AD8" s="35" t="s">
        <v>75</v>
      </c>
      <c r="AE8" s="35" t="s">
        <v>75</v>
      </c>
      <c r="AF8" s="35" t="s">
        <v>75</v>
      </c>
      <c r="AG8" s="35" t="s">
        <v>75</v>
      </c>
      <c r="AH8" s="35" t="s">
        <v>75</v>
      </c>
      <c r="AI8" s="35" t="s">
        <v>75</v>
      </c>
      <c r="AJ8" s="35" t="s">
        <v>75</v>
      </c>
      <c r="AK8" s="35" t="s">
        <v>75</v>
      </c>
      <c r="AL8" s="35" t="s">
        <v>75</v>
      </c>
      <c r="AM8" s="35" t="s">
        <v>75</v>
      </c>
      <c r="AN8" s="35" t="s">
        <v>75</v>
      </c>
      <c r="AO8" s="35" t="s">
        <v>75</v>
      </c>
      <c r="AP8" s="35" t="s">
        <v>75</v>
      </c>
      <c r="AQ8" s="35" t="s">
        <v>75</v>
      </c>
      <c r="AR8" s="35" t="s">
        <v>75</v>
      </c>
      <c r="AS8" s="35" t="s">
        <v>75</v>
      </c>
      <c r="AT8" s="35" t="s">
        <v>75</v>
      </c>
      <c r="AU8" s="35" t="s">
        <v>75</v>
      </c>
      <c r="AV8" s="198" t="s">
        <v>75</v>
      </c>
      <c r="AW8" s="35" t="s">
        <v>1905</v>
      </c>
      <c r="AX8" s="35" t="s">
        <v>291</v>
      </c>
      <c r="AY8" s="35" t="s">
        <v>75</v>
      </c>
      <c r="AZ8" s="35" t="s">
        <v>1906</v>
      </c>
      <c r="BA8" s="35" t="s">
        <v>1907</v>
      </c>
      <c r="BB8" s="35" t="s">
        <v>254</v>
      </c>
      <c r="BC8" s="35" t="s">
        <v>197</v>
      </c>
      <c r="BD8" s="390">
        <v>1</v>
      </c>
      <c r="BE8" s="35" t="s">
        <v>1721</v>
      </c>
      <c r="BF8" s="403">
        <v>125</v>
      </c>
      <c r="BG8" s="403">
        <v>75</v>
      </c>
      <c r="BH8" s="403">
        <v>28</v>
      </c>
      <c r="BI8" s="403">
        <v>50</v>
      </c>
      <c r="BJ8" s="403">
        <v>78</v>
      </c>
      <c r="BK8" s="403">
        <v>47</v>
      </c>
      <c r="BL8" s="35" t="s">
        <v>1908</v>
      </c>
      <c r="BM8" s="35" t="s">
        <v>1909</v>
      </c>
      <c r="BN8" s="35" t="s">
        <v>1910</v>
      </c>
      <c r="BO8" s="24">
        <v>1</v>
      </c>
      <c r="BP8" s="35" t="s">
        <v>75</v>
      </c>
      <c r="BQ8" s="35" t="s">
        <v>75</v>
      </c>
      <c r="BR8" s="35" t="s">
        <v>75</v>
      </c>
      <c r="BS8" s="24" t="s">
        <v>75</v>
      </c>
      <c r="BT8" s="35" t="s">
        <v>75</v>
      </c>
      <c r="BU8" s="35" t="s">
        <v>75</v>
      </c>
      <c r="BV8" s="35" t="s">
        <v>75</v>
      </c>
      <c r="BW8" s="198" t="s">
        <v>75</v>
      </c>
      <c r="BX8" s="35" t="s">
        <v>75</v>
      </c>
      <c r="BY8" s="35" t="s">
        <v>75</v>
      </c>
      <c r="BZ8" s="35" t="s">
        <v>75</v>
      </c>
      <c r="CA8" s="35" t="s">
        <v>75</v>
      </c>
      <c r="CB8" s="35" t="s">
        <v>75</v>
      </c>
      <c r="CC8" s="35" t="s">
        <v>75</v>
      </c>
      <c r="CD8" s="35" t="s">
        <v>75</v>
      </c>
      <c r="CE8" s="35" t="s">
        <v>75</v>
      </c>
      <c r="CF8" s="35" t="s">
        <v>75</v>
      </c>
      <c r="CG8" s="427" t="s">
        <v>75</v>
      </c>
      <c r="CH8" s="198" t="s">
        <v>75</v>
      </c>
      <c r="CI8" s="35" t="s">
        <v>75</v>
      </c>
      <c r="CJ8" s="35" t="s">
        <v>75</v>
      </c>
      <c r="CK8" s="35" t="s">
        <v>1911</v>
      </c>
      <c r="CL8" s="35" t="s">
        <v>1897</v>
      </c>
      <c r="CM8" s="35" t="s">
        <v>1893</v>
      </c>
      <c r="CN8" s="427" t="s">
        <v>1912</v>
      </c>
      <c r="CO8" s="390" t="s">
        <v>1402</v>
      </c>
      <c r="CP8" s="35" t="s">
        <v>1400</v>
      </c>
      <c r="CQ8" s="35" t="s">
        <v>1913</v>
      </c>
      <c r="CR8" s="35" t="s">
        <v>1897</v>
      </c>
      <c r="CS8" s="35" t="s">
        <v>1894</v>
      </c>
      <c r="CT8" s="427" t="s">
        <v>1914</v>
      </c>
      <c r="CU8" s="390" t="s">
        <v>1915</v>
      </c>
      <c r="CV8" s="35" t="s">
        <v>1623</v>
      </c>
      <c r="CW8" s="35" t="s">
        <v>1916</v>
      </c>
      <c r="CX8" s="35" t="s">
        <v>1909</v>
      </c>
      <c r="CY8" s="35" t="s">
        <v>1895</v>
      </c>
      <c r="CZ8" s="427" t="s">
        <v>1917</v>
      </c>
      <c r="DA8" s="198" t="s">
        <v>1755</v>
      </c>
      <c r="DB8" s="35" t="s">
        <v>1623</v>
      </c>
      <c r="DC8" s="35" t="s">
        <v>1918</v>
      </c>
      <c r="DD8" s="35" t="s">
        <v>1897</v>
      </c>
      <c r="DE8" s="35" t="s">
        <v>1896</v>
      </c>
      <c r="DF8" s="427" t="s">
        <v>1919</v>
      </c>
      <c r="DG8" s="198" t="s">
        <v>1920</v>
      </c>
      <c r="DH8" s="35" t="s">
        <v>1400</v>
      </c>
      <c r="DI8" s="35" t="s">
        <v>75</v>
      </c>
      <c r="DJ8" s="35" t="s">
        <v>75</v>
      </c>
      <c r="DK8" s="35" t="s">
        <v>75</v>
      </c>
      <c r="DL8" s="427" t="s">
        <v>75</v>
      </c>
      <c r="DM8" s="198" t="s">
        <v>75</v>
      </c>
      <c r="DN8" s="35" t="s">
        <v>75</v>
      </c>
      <c r="DO8" s="35" t="s">
        <v>75</v>
      </c>
      <c r="DP8" s="35" t="s">
        <v>75</v>
      </c>
      <c r="DQ8" s="35" t="s">
        <v>75</v>
      </c>
      <c r="DR8" s="427" t="s">
        <v>75</v>
      </c>
      <c r="DS8" s="198" t="s">
        <v>75</v>
      </c>
      <c r="DT8" s="35" t="s">
        <v>75</v>
      </c>
      <c r="DU8" s="35" t="s">
        <v>75</v>
      </c>
      <c r="DV8" s="35" t="s">
        <v>75</v>
      </c>
      <c r="DW8" s="35" t="s">
        <v>75</v>
      </c>
      <c r="DX8" s="427" t="s">
        <v>75</v>
      </c>
      <c r="DY8" s="198" t="s">
        <v>75</v>
      </c>
      <c r="DZ8" s="35" t="s">
        <v>75</v>
      </c>
      <c r="EA8" s="35" t="s">
        <v>75</v>
      </c>
      <c r="EB8" s="35" t="s">
        <v>75</v>
      </c>
      <c r="EC8" s="35" t="s">
        <v>75</v>
      </c>
      <c r="ED8" s="427" t="s">
        <v>75</v>
      </c>
      <c r="EF8" s="35" t="s">
        <v>75</v>
      </c>
      <c r="EG8" s="35" t="s">
        <v>75</v>
      </c>
      <c r="EH8" s="35" t="s">
        <v>75</v>
      </c>
      <c r="EI8" s="35" t="s">
        <v>75</v>
      </c>
      <c r="EJ8" s="427" t="s">
        <v>75</v>
      </c>
      <c r="EK8" s="198" t="s">
        <v>75</v>
      </c>
      <c r="EL8" s="35" t="s">
        <v>75</v>
      </c>
      <c r="EM8" s="35" t="s">
        <v>75</v>
      </c>
      <c r="EN8" s="35" t="s">
        <v>75</v>
      </c>
      <c r="EO8" s="35" t="s">
        <v>75</v>
      </c>
      <c r="EP8" s="427" t="s">
        <v>75</v>
      </c>
      <c r="EQ8" s="198" t="s">
        <v>75</v>
      </c>
      <c r="ER8" s="35" t="s">
        <v>75</v>
      </c>
      <c r="EU8" s="197" t="s">
        <v>75</v>
      </c>
      <c r="EV8" s="35" t="s">
        <v>1721</v>
      </c>
      <c r="EW8" s="35" t="s">
        <v>139</v>
      </c>
      <c r="EX8" s="35" t="s">
        <v>1921</v>
      </c>
      <c r="EY8" s="35" t="s">
        <v>1387</v>
      </c>
      <c r="EZ8" s="35" t="s">
        <v>1922</v>
      </c>
      <c r="FA8" s="197">
        <v>125</v>
      </c>
      <c r="FB8" s="197">
        <v>0</v>
      </c>
      <c r="FC8" s="403">
        <v>75</v>
      </c>
      <c r="FD8" s="403">
        <v>200</v>
      </c>
      <c r="FE8" s="403">
        <v>125</v>
      </c>
      <c r="FF8" s="403">
        <v>28</v>
      </c>
      <c r="FG8" s="403">
        <v>0</v>
      </c>
      <c r="FH8" s="403">
        <v>28</v>
      </c>
      <c r="FI8" s="403">
        <v>172</v>
      </c>
      <c r="FJ8" s="403">
        <v>97</v>
      </c>
      <c r="FK8" s="403">
        <v>50</v>
      </c>
      <c r="FL8" s="403">
        <v>50</v>
      </c>
      <c r="FM8" s="403">
        <v>122</v>
      </c>
      <c r="FN8" s="403">
        <v>47</v>
      </c>
      <c r="FO8" s="403">
        <v>80</v>
      </c>
      <c r="FP8" s="403">
        <v>17</v>
      </c>
      <c r="FQ8" s="403">
        <v>42</v>
      </c>
      <c r="FR8" s="403">
        <v>30</v>
      </c>
      <c r="FS8" s="422" t="s">
        <v>65</v>
      </c>
      <c r="FU8" s="426" t="str">
        <f t="shared" si="0"/>
        <v>Y</v>
      </c>
      <c r="FV8">
        <f>IF(ISERROR(DATEDIF('Debit orders'!$E$1,B8,"M")),0,DATEDIF('Debit orders'!$E$1,B8,"M"))</f>
        <v>0</v>
      </c>
    </row>
    <row r="9" spans="1:183">
      <c r="A9" s="228">
        <v>42128</v>
      </c>
      <c r="B9" s="228">
        <v>42125</v>
      </c>
      <c r="C9" s="301">
        <v>9575</v>
      </c>
      <c r="D9" s="301">
        <v>50260525</v>
      </c>
      <c r="E9" s="35" t="s">
        <v>1786</v>
      </c>
      <c r="F9" s="35" t="s">
        <v>1354</v>
      </c>
      <c r="G9" s="35" t="s">
        <v>1941</v>
      </c>
      <c r="H9" s="35" t="s">
        <v>1942</v>
      </c>
      <c r="I9" s="35" t="s">
        <v>1359</v>
      </c>
      <c r="J9" s="35" t="s">
        <v>1360</v>
      </c>
      <c r="K9" s="35" t="s">
        <v>1938</v>
      </c>
      <c r="L9" s="398">
        <v>22534</v>
      </c>
      <c r="M9" s="198" t="s">
        <v>1943</v>
      </c>
      <c r="N9" s="35" t="s">
        <v>1944</v>
      </c>
      <c r="O9" s="35" t="s">
        <v>1945</v>
      </c>
      <c r="P9" s="35" t="s">
        <v>1946</v>
      </c>
      <c r="Q9" s="35" t="s">
        <v>78</v>
      </c>
      <c r="R9" s="198" t="s">
        <v>1749</v>
      </c>
      <c r="S9" s="35" t="s">
        <v>1944</v>
      </c>
      <c r="T9" s="35" t="s">
        <v>1945</v>
      </c>
      <c r="U9" s="35" t="s">
        <v>1946</v>
      </c>
      <c r="V9" s="35" t="s">
        <v>78</v>
      </c>
      <c r="W9" s="198" t="s">
        <v>1749</v>
      </c>
      <c r="X9" s="35" t="s">
        <v>1365</v>
      </c>
      <c r="Y9" s="35" t="s">
        <v>1947</v>
      </c>
      <c r="Z9" s="35" t="s">
        <v>75</v>
      </c>
      <c r="AA9" s="35" t="s">
        <v>1948</v>
      </c>
      <c r="AB9" s="35" t="s">
        <v>75</v>
      </c>
      <c r="AC9" s="35" t="s">
        <v>75</v>
      </c>
      <c r="AD9" s="35" t="s">
        <v>75</v>
      </c>
      <c r="AE9" s="35" t="s">
        <v>75</v>
      </c>
      <c r="AF9" s="35" t="s">
        <v>75</v>
      </c>
      <c r="AG9" s="35" t="s">
        <v>75</v>
      </c>
      <c r="AH9" s="35" t="s">
        <v>75</v>
      </c>
      <c r="AI9" s="35" t="s">
        <v>75</v>
      </c>
      <c r="AJ9" s="35" t="s">
        <v>75</v>
      </c>
      <c r="AK9" s="35" t="s">
        <v>75</v>
      </c>
      <c r="AL9" s="35" t="s">
        <v>75</v>
      </c>
      <c r="AM9" s="35" t="s">
        <v>75</v>
      </c>
      <c r="AN9" s="35" t="s">
        <v>75</v>
      </c>
      <c r="AO9" s="35" t="s">
        <v>75</v>
      </c>
      <c r="AP9" s="35" t="s">
        <v>75</v>
      </c>
      <c r="AQ9" s="35" t="s">
        <v>75</v>
      </c>
      <c r="AR9" s="35" t="s">
        <v>75</v>
      </c>
      <c r="AS9" s="35" t="s">
        <v>75</v>
      </c>
      <c r="AT9" s="35" t="s">
        <v>75</v>
      </c>
      <c r="AU9" s="35" t="s">
        <v>75</v>
      </c>
      <c r="AV9" s="198" t="s">
        <v>75</v>
      </c>
      <c r="AW9" s="35" t="s">
        <v>75</v>
      </c>
      <c r="AX9" s="35" t="s">
        <v>75</v>
      </c>
      <c r="AY9" s="35" t="s">
        <v>75</v>
      </c>
      <c r="AZ9" s="35" t="s">
        <v>75</v>
      </c>
      <c r="BA9" s="35" t="s">
        <v>75</v>
      </c>
      <c r="BB9" s="35" t="s">
        <v>75</v>
      </c>
      <c r="BC9" s="35" t="s">
        <v>191</v>
      </c>
      <c r="BD9" s="390">
        <v>1</v>
      </c>
      <c r="BE9" s="35" t="s">
        <v>168</v>
      </c>
      <c r="BF9" s="403">
        <v>48</v>
      </c>
      <c r="BG9" s="403">
        <v>50</v>
      </c>
      <c r="BH9" s="403">
        <v>28</v>
      </c>
      <c r="BI9" s="403">
        <v>0</v>
      </c>
      <c r="BJ9" s="403">
        <v>28</v>
      </c>
      <c r="BK9" s="403">
        <v>20</v>
      </c>
      <c r="BL9" s="35" t="s">
        <v>1949</v>
      </c>
      <c r="BM9" s="35" t="s">
        <v>1941</v>
      </c>
      <c r="BN9" s="35" t="s">
        <v>1939</v>
      </c>
      <c r="BO9" s="24">
        <v>1</v>
      </c>
      <c r="BP9" s="35" t="s">
        <v>75</v>
      </c>
      <c r="BQ9" s="35" t="s">
        <v>75</v>
      </c>
      <c r="BR9" s="35" t="s">
        <v>75</v>
      </c>
      <c r="BS9" s="24" t="s">
        <v>75</v>
      </c>
      <c r="BT9" s="35" t="s">
        <v>75</v>
      </c>
      <c r="BU9" s="35" t="s">
        <v>75</v>
      </c>
      <c r="BV9" s="35" t="s">
        <v>75</v>
      </c>
      <c r="BW9" s="198" t="s">
        <v>75</v>
      </c>
      <c r="BX9" s="35" t="s">
        <v>75</v>
      </c>
      <c r="BY9" s="35" t="s">
        <v>75</v>
      </c>
      <c r="BZ9" s="35" t="s">
        <v>75</v>
      </c>
      <c r="CA9" s="35" t="s">
        <v>75</v>
      </c>
      <c r="CB9" s="35" t="s">
        <v>75</v>
      </c>
      <c r="CC9" s="35" t="s">
        <v>75</v>
      </c>
      <c r="CD9" s="35" t="s">
        <v>1949</v>
      </c>
      <c r="CE9" s="35" t="s">
        <v>1950</v>
      </c>
      <c r="CF9" s="35" t="s">
        <v>1939</v>
      </c>
      <c r="CG9" s="434">
        <v>18069</v>
      </c>
      <c r="CH9" s="198" t="s">
        <v>1951</v>
      </c>
      <c r="CI9" s="35" t="s">
        <v>75</v>
      </c>
      <c r="CJ9" s="35" t="s">
        <v>1952</v>
      </c>
      <c r="CK9" s="35" t="s">
        <v>75</v>
      </c>
      <c r="CL9" s="35" t="s">
        <v>75</v>
      </c>
      <c r="CM9" s="35" t="s">
        <v>75</v>
      </c>
      <c r="CN9" s="434" t="s">
        <v>75</v>
      </c>
      <c r="CO9" s="390" t="s">
        <v>75</v>
      </c>
      <c r="CP9" s="35" t="s">
        <v>75</v>
      </c>
      <c r="CQ9" s="35" t="s">
        <v>75</v>
      </c>
      <c r="CR9" s="35" t="s">
        <v>75</v>
      </c>
      <c r="CS9" s="35" t="s">
        <v>75</v>
      </c>
      <c r="CT9" s="434" t="s">
        <v>75</v>
      </c>
      <c r="CU9" s="390" t="s">
        <v>75</v>
      </c>
      <c r="CV9" s="35" t="s">
        <v>75</v>
      </c>
      <c r="CW9" s="35" t="s">
        <v>75</v>
      </c>
      <c r="CX9" s="35" t="s">
        <v>75</v>
      </c>
      <c r="CY9" s="35" t="s">
        <v>75</v>
      </c>
      <c r="CZ9" s="434" t="s">
        <v>75</v>
      </c>
      <c r="DA9" s="198" t="s">
        <v>75</v>
      </c>
      <c r="DB9" s="35" t="s">
        <v>75</v>
      </c>
      <c r="DC9" s="35" t="s">
        <v>75</v>
      </c>
      <c r="DD9" s="35" t="s">
        <v>75</v>
      </c>
      <c r="DE9" s="35" t="s">
        <v>75</v>
      </c>
      <c r="DF9" s="434" t="s">
        <v>75</v>
      </c>
      <c r="DG9" s="198" t="s">
        <v>75</v>
      </c>
      <c r="DH9" s="35" t="s">
        <v>75</v>
      </c>
      <c r="DI9" s="35" t="s">
        <v>75</v>
      </c>
      <c r="DJ9" s="35" t="s">
        <v>75</v>
      </c>
      <c r="DK9" s="35" t="s">
        <v>75</v>
      </c>
      <c r="DL9" s="434" t="s">
        <v>75</v>
      </c>
      <c r="DM9" s="198" t="s">
        <v>75</v>
      </c>
      <c r="DN9" s="35" t="s">
        <v>75</v>
      </c>
      <c r="DO9" s="35" t="s">
        <v>75</v>
      </c>
      <c r="DP9" s="35" t="s">
        <v>75</v>
      </c>
      <c r="DQ9" s="35" t="s">
        <v>75</v>
      </c>
      <c r="DR9" s="434" t="s">
        <v>75</v>
      </c>
      <c r="DS9" s="198" t="s">
        <v>75</v>
      </c>
      <c r="DT9" s="35" t="s">
        <v>75</v>
      </c>
      <c r="DU9" s="35" t="s">
        <v>1953</v>
      </c>
      <c r="DV9" s="35" t="s">
        <v>1954</v>
      </c>
      <c r="DW9" s="35" t="s">
        <v>1940</v>
      </c>
      <c r="DX9" s="434" t="s">
        <v>1955</v>
      </c>
      <c r="DY9" s="198" t="s">
        <v>1956</v>
      </c>
      <c r="DZ9" s="35" t="s">
        <v>1957</v>
      </c>
      <c r="EA9" s="35" t="s">
        <v>75</v>
      </c>
      <c r="EB9" s="35" t="s">
        <v>75</v>
      </c>
      <c r="EC9" s="35" t="s">
        <v>75</v>
      </c>
      <c r="ED9" s="434" t="s">
        <v>75</v>
      </c>
      <c r="EF9" s="35" t="s">
        <v>75</v>
      </c>
      <c r="EG9" s="35" t="s">
        <v>75</v>
      </c>
      <c r="EH9" s="35" t="s">
        <v>75</v>
      </c>
      <c r="EI9" s="35" t="s">
        <v>75</v>
      </c>
      <c r="EJ9" s="434" t="s">
        <v>75</v>
      </c>
      <c r="EK9" s="198" t="s">
        <v>75</v>
      </c>
      <c r="EL9" s="35" t="s">
        <v>75</v>
      </c>
      <c r="EM9" s="35" t="s">
        <v>75</v>
      </c>
      <c r="EN9" s="35" t="s">
        <v>75</v>
      </c>
      <c r="EO9" s="35" t="s">
        <v>75</v>
      </c>
      <c r="EP9" s="434" t="s">
        <v>75</v>
      </c>
      <c r="EQ9" s="198" t="s">
        <v>75</v>
      </c>
      <c r="ER9" s="35" t="s">
        <v>75</v>
      </c>
      <c r="ES9" s="197" t="s">
        <v>1865</v>
      </c>
      <c r="ET9" s="197" t="s">
        <v>1958</v>
      </c>
      <c r="EU9" s="197" t="s">
        <v>1959</v>
      </c>
      <c r="EV9" s="35" t="s">
        <v>168</v>
      </c>
      <c r="EW9" s="35" t="s">
        <v>154</v>
      </c>
      <c r="EX9" s="35" t="s">
        <v>1960</v>
      </c>
      <c r="EY9" s="35" t="s">
        <v>1387</v>
      </c>
      <c r="EZ9" s="35" t="s">
        <v>1961</v>
      </c>
      <c r="FA9" s="197">
        <v>48</v>
      </c>
      <c r="FB9" s="197">
        <v>50</v>
      </c>
      <c r="FC9" s="403">
        <v>50</v>
      </c>
      <c r="FD9" s="403">
        <v>148</v>
      </c>
      <c r="FE9" s="403">
        <v>98</v>
      </c>
      <c r="FF9" s="403">
        <v>28</v>
      </c>
      <c r="FG9" s="403">
        <v>22</v>
      </c>
      <c r="FH9" s="403">
        <v>50</v>
      </c>
      <c r="FI9" s="403">
        <v>98</v>
      </c>
      <c r="FJ9" s="403">
        <v>48</v>
      </c>
      <c r="FK9" s="403">
        <v>0</v>
      </c>
      <c r="FL9" s="403">
        <v>0</v>
      </c>
      <c r="FM9" s="403">
        <v>98</v>
      </c>
      <c r="FN9" s="403">
        <v>48</v>
      </c>
      <c r="FO9" s="403">
        <v>62</v>
      </c>
      <c r="FP9" s="403">
        <v>12</v>
      </c>
      <c r="FQ9" s="403">
        <v>36</v>
      </c>
      <c r="FR9" s="403">
        <v>36</v>
      </c>
      <c r="FS9" s="433" t="s">
        <v>65</v>
      </c>
      <c r="FU9" s="426" t="str">
        <f t="shared" ref="FU9:FU16" si="1">IF(AND(FS9="Active",BC9="debit order",FV9&lt;1),"Y","N")</f>
        <v>N</v>
      </c>
      <c r="FV9">
        <f>IF(ISERROR(DATEDIF('Debit orders'!$E$1,B9,"M")),0,DATEDIF('Debit orders'!$E$1,B9,"M"))</f>
        <v>0</v>
      </c>
    </row>
    <row r="10" spans="1:183">
      <c r="A10" s="228">
        <v>42123</v>
      </c>
      <c r="B10" s="228">
        <v>42125</v>
      </c>
      <c r="C10" s="301">
        <v>9575</v>
      </c>
      <c r="D10" s="301">
        <v>50260517</v>
      </c>
      <c r="E10" s="35" t="s">
        <v>1786</v>
      </c>
      <c r="F10" s="35" t="s">
        <v>1353</v>
      </c>
      <c r="G10" s="35" t="s">
        <v>1965</v>
      </c>
      <c r="H10" s="35" t="s">
        <v>1966</v>
      </c>
      <c r="I10" s="35" t="s">
        <v>1358</v>
      </c>
      <c r="J10" s="35" t="s">
        <v>1360</v>
      </c>
      <c r="K10" s="35" t="s">
        <v>1964</v>
      </c>
      <c r="L10" s="300">
        <v>30518</v>
      </c>
      <c r="M10" s="198" t="s">
        <v>1967</v>
      </c>
      <c r="N10" s="35" t="s">
        <v>1968</v>
      </c>
      <c r="O10" s="35" t="s">
        <v>75</v>
      </c>
      <c r="P10" s="35" t="s">
        <v>1969</v>
      </c>
      <c r="Q10" s="35" t="s">
        <v>78</v>
      </c>
      <c r="R10" s="198" t="s">
        <v>75</v>
      </c>
      <c r="S10" s="35" t="s">
        <v>1968</v>
      </c>
      <c r="T10" s="35" t="s">
        <v>75</v>
      </c>
      <c r="U10" s="35" t="s">
        <v>1969</v>
      </c>
      <c r="V10" s="35" t="s">
        <v>78</v>
      </c>
      <c r="W10" s="198" t="s">
        <v>75</v>
      </c>
      <c r="X10" s="35" t="s">
        <v>1364</v>
      </c>
      <c r="Y10" s="35" t="s">
        <v>1970</v>
      </c>
      <c r="Z10" s="35" t="s">
        <v>75</v>
      </c>
      <c r="AA10" s="35" t="s">
        <v>1970</v>
      </c>
      <c r="AB10" s="35" t="s">
        <v>75</v>
      </c>
      <c r="AC10" s="35" t="s">
        <v>75</v>
      </c>
      <c r="AD10" s="35" t="s">
        <v>75</v>
      </c>
      <c r="AE10" s="35" t="s">
        <v>75</v>
      </c>
      <c r="AF10" s="35" t="s">
        <v>75</v>
      </c>
      <c r="AG10" s="35" t="s">
        <v>75</v>
      </c>
      <c r="AH10" s="35" t="s">
        <v>75</v>
      </c>
      <c r="AI10" s="35" t="s">
        <v>75</v>
      </c>
      <c r="AJ10" s="35" t="s">
        <v>75</v>
      </c>
      <c r="AK10" s="35" t="s">
        <v>75</v>
      </c>
      <c r="AL10" s="35" t="s">
        <v>75</v>
      </c>
      <c r="AM10" s="35" t="s">
        <v>75</v>
      </c>
      <c r="AN10" s="35" t="s">
        <v>75</v>
      </c>
      <c r="AO10" s="35" t="s">
        <v>75</v>
      </c>
      <c r="AP10" s="35" t="s">
        <v>75</v>
      </c>
      <c r="AQ10" s="35" t="s">
        <v>75</v>
      </c>
      <c r="AR10" s="35" t="s">
        <v>75</v>
      </c>
      <c r="AS10" s="35" t="s">
        <v>75</v>
      </c>
      <c r="AT10" s="35" t="s">
        <v>75</v>
      </c>
      <c r="AU10" s="35" t="s">
        <v>75</v>
      </c>
      <c r="AV10" s="198" t="s">
        <v>75</v>
      </c>
      <c r="AW10" s="35" t="s">
        <v>1971</v>
      </c>
      <c r="AX10" s="35" t="s">
        <v>291</v>
      </c>
      <c r="AY10" s="35" t="s">
        <v>75</v>
      </c>
      <c r="AZ10" s="35" t="s">
        <v>1972</v>
      </c>
      <c r="BA10" s="35" t="s">
        <v>2004</v>
      </c>
      <c r="BB10" s="35" t="s">
        <v>254</v>
      </c>
      <c r="BC10" s="35" t="s">
        <v>197</v>
      </c>
      <c r="BD10" s="390">
        <v>1</v>
      </c>
      <c r="BE10" s="35" t="s">
        <v>169</v>
      </c>
      <c r="BF10" s="403">
        <v>48</v>
      </c>
      <c r="BG10" s="403">
        <v>50</v>
      </c>
      <c r="BH10" s="403">
        <v>22</v>
      </c>
      <c r="BI10" s="403">
        <v>0</v>
      </c>
      <c r="BJ10" s="403">
        <v>22</v>
      </c>
      <c r="BK10" s="403">
        <v>26</v>
      </c>
      <c r="BL10" s="35" t="s">
        <v>1973</v>
      </c>
      <c r="BM10" s="35" t="s">
        <v>1974</v>
      </c>
      <c r="BN10" s="35" t="s">
        <v>1975</v>
      </c>
      <c r="BO10" s="24">
        <v>1</v>
      </c>
      <c r="BP10" s="35" t="s">
        <v>75</v>
      </c>
      <c r="BQ10" s="35" t="s">
        <v>75</v>
      </c>
      <c r="BR10" s="35" t="s">
        <v>75</v>
      </c>
      <c r="BS10" s="24" t="s">
        <v>75</v>
      </c>
      <c r="BT10" s="35" t="s">
        <v>75</v>
      </c>
      <c r="BU10" s="35" t="s">
        <v>75</v>
      </c>
      <c r="BV10" s="35" t="s">
        <v>75</v>
      </c>
      <c r="BW10" s="198" t="s">
        <v>75</v>
      </c>
      <c r="BX10" s="35" t="s">
        <v>75</v>
      </c>
      <c r="BY10" s="35" t="s">
        <v>75</v>
      </c>
      <c r="BZ10" s="35" t="s">
        <v>75</v>
      </c>
      <c r="CA10" s="35" t="s">
        <v>75</v>
      </c>
      <c r="CB10" s="35" t="s">
        <v>75</v>
      </c>
      <c r="CC10" s="35" t="s">
        <v>75</v>
      </c>
      <c r="CD10" s="35" t="s">
        <v>75</v>
      </c>
      <c r="CE10" s="35" t="s">
        <v>75</v>
      </c>
      <c r="CF10" s="35" t="s">
        <v>75</v>
      </c>
      <c r="CG10" s="437" t="s">
        <v>75</v>
      </c>
      <c r="CH10" s="198" t="s">
        <v>75</v>
      </c>
      <c r="CI10" s="35" t="s">
        <v>75</v>
      </c>
      <c r="CJ10" s="35" t="s">
        <v>75</v>
      </c>
      <c r="CK10" s="35" t="s">
        <v>75</v>
      </c>
      <c r="CL10" s="35" t="s">
        <v>75</v>
      </c>
      <c r="CM10" s="35" t="s">
        <v>75</v>
      </c>
      <c r="CN10" s="437" t="s">
        <v>75</v>
      </c>
      <c r="CO10" s="390" t="s">
        <v>75</v>
      </c>
      <c r="CP10" s="35" t="s">
        <v>75</v>
      </c>
      <c r="CQ10" s="35" t="s">
        <v>75</v>
      </c>
      <c r="CR10" s="35" t="s">
        <v>75</v>
      </c>
      <c r="CS10" s="35" t="s">
        <v>75</v>
      </c>
      <c r="CT10" s="437" t="s">
        <v>75</v>
      </c>
      <c r="CU10" s="390" t="s">
        <v>75</v>
      </c>
      <c r="CV10" s="35" t="s">
        <v>75</v>
      </c>
      <c r="CW10" s="35" t="s">
        <v>75</v>
      </c>
      <c r="CX10" s="35" t="s">
        <v>75</v>
      </c>
      <c r="CY10" s="35" t="s">
        <v>75</v>
      </c>
      <c r="CZ10" s="437" t="s">
        <v>75</v>
      </c>
      <c r="DA10" s="198" t="s">
        <v>75</v>
      </c>
      <c r="DB10" s="35" t="s">
        <v>75</v>
      </c>
      <c r="DC10" s="35" t="s">
        <v>75</v>
      </c>
      <c r="DD10" s="35" t="s">
        <v>75</v>
      </c>
      <c r="DE10" s="35" t="s">
        <v>75</v>
      </c>
      <c r="DF10" s="437" t="s">
        <v>75</v>
      </c>
      <c r="DG10" s="198" t="s">
        <v>75</v>
      </c>
      <c r="DH10" s="35" t="s">
        <v>75</v>
      </c>
      <c r="DI10" s="35" t="s">
        <v>75</v>
      </c>
      <c r="DJ10" s="35" t="s">
        <v>75</v>
      </c>
      <c r="DK10" s="35" t="s">
        <v>75</v>
      </c>
      <c r="DL10" s="437" t="s">
        <v>75</v>
      </c>
      <c r="DM10" s="198" t="s">
        <v>75</v>
      </c>
      <c r="DN10" s="35" t="s">
        <v>75</v>
      </c>
      <c r="DO10" s="35" t="s">
        <v>75</v>
      </c>
      <c r="DP10" s="35" t="s">
        <v>75</v>
      </c>
      <c r="DQ10" s="35" t="s">
        <v>75</v>
      </c>
      <c r="DR10" s="437" t="s">
        <v>75</v>
      </c>
      <c r="DS10" s="198" t="s">
        <v>75</v>
      </c>
      <c r="DT10" s="35" t="s">
        <v>75</v>
      </c>
      <c r="DU10" s="35" t="s">
        <v>75</v>
      </c>
      <c r="DV10" s="35" t="s">
        <v>75</v>
      </c>
      <c r="DW10" s="35" t="s">
        <v>75</v>
      </c>
      <c r="DX10" s="437" t="s">
        <v>75</v>
      </c>
      <c r="DY10" s="198" t="s">
        <v>75</v>
      </c>
      <c r="DZ10" s="35" t="s">
        <v>75</v>
      </c>
      <c r="EA10" s="35" t="s">
        <v>75</v>
      </c>
      <c r="EB10" s="35" t="s">
        <v>75</v>
      </c>
      <c r="EC10" s="35" t="s">
        <v>75</v>
      </c>
      <c r="ED10" s="437" t="s">
        <v>75</v>
      </c>
      <c r="EF10" s="35" t="s">
        <v>75</v>
      </c>
      <c r="EG10" s="35" t="s">
        <v>75</v>
      </c>
      <c r="EH10" s="35" t="s">
        <v>75</v>
      </c>
      <c r="EI10" s="35" t="s">
        <v>75</v>
      </c>
      <c r="EJ10" s="437" t="s">
        <v>75</v>
      </c>
      <c r="EK10" s="198" t="s">
        <v>75</v>
      </c>
      <c r="EL10" s="35" t="s">
        <v>75</v>
      </c>
      <c r="EM10" s="35" t="s">
        <v>75</v>
      </c>
      <c r="EN10" s="35" t="s">
        <v>75</v>
      </c>
      <c r="EO10" s="35" t="s">
        <v>75</v>
      </c>
      <c r="EP10" s="437" t="s">
        <v>75</v>
      </c>
      <c r="EQ10" s="198" t="s">
        <v>75</v>
      </c>
      <c r="ER10" s="35" t="s">
        <v>75</v>
      </c>
      <c r="EU10" s="197" t="s">
        <v>75</v>
      </c>
      <c r="EV10" s="35" t="s">
        <v>169</v>
      </c>
      <c r="EW10" s="35" t="s">
        <v>155</v>
      </c>
      <c r="EX10" s="35" t="s">
        <v>1976</v>
      </c>
      <c r="EY10" s="35" t="s">
        <v>1387</v>
      </c>
      <c r="EZ10" s="35" t="s">
        <v>1977</v>
      </c>
      <c r="FA10" s="197">
        <v>48</v>
      </c>
      <c r="FB10" s="197">
        <v>0</v>
      </c>
      <c r="FC10" s="403">
        <v>50</v>
      </c>
      <c r="FD10" s="403">
        <v>98</v>
      </c>
      <c r="FE10" s="403">
        <v>48</v>
      </c>
      <c r="FF10" s="403">
        <v>22</v>
      </c>
      <c r="FG10" s="403">
        <v>0</v>
      </c>
      <c r="FH10" s="403">
        <v>22</v>
      </c>
      <c r="FI10" s="403">
        <v>76</v>
      </c>
      <c r="FJ10" s="403">
        <v>26</v>
      </c>
      <c r="FK10" s="403">
        <v>0</v>
      </c>
      <c r="FL10" s="403">
        <v>0</v>
      </c>
      <c r="FM10" s="403">
        <v>76</v>
      </c>
      <c r="FN10" s="403">
        <v>26</v>
      </c>
      <c r="FO10" s="403">
        <v>58</v>
      </c>
      <c r="FP10" s="403">
        <v>8</v>
      </c>
      <c r="FQ10" s="403">
        <v>18</v>
      </c>
      <c r="FR10" s="403">
        <v>18</v>
      </c>
      <c r="FS10" s="435" t="s">
        <v>65</v>
      </c>
      <c r="FU10" s="408" t="str">
        <f t="shared" si="1"/>
        <v>Y</v>
      </c>
      <c r="FV10">
        <f>IF(ISERROR(DATEDIF('Debit orders'!$E$1,B10,"M")),0,DATEDIF('Debit orders'!$E$1,B10,"M"))</f>
        <v>0</v>
      </c>
    </row>
    <row r="11" spans="1:183">
      <c r="A11" s="228">
        <v>42134</v>
      </c>
      <c r="B11" s="228">
        <v>42156</v>
      </c>
      <c r="C11" s="301">
        <v>9575</v>
      </c>
      <c r="D11" s="301">
        <v>50260335</v>
      </c>
      <c r="E11" s="35" t="s">
        <v>1924</v>
      </c>
      <c r="F11" s="35" t="s">
        <v>1353</v>
      </c>
      <c r="G11" s="35" t="s">
        <v>1981</v>
      </c>
      <c r="H11" s="35" t="s">
        <v>1982</v>
      </c>
      <c r="I11" s="35" t="s">
        <v>1358</v>
      </c>
      <c r="J11" s="35" t="s">
        <v>1360</v>
      </c>
      <c r="K11" s="35" t="s">
        <v>1978</v>
      </c>
      <c r="L11" s="300">
        <v>31262</v>
      </c>
      <c r="M11" s="198" t="s">
        <v>1983</v>
      </c>
      <c r="N11" s="35" t="s">
        <v>1984</v>
      </c>
      <c r="O11" s="35" t="s">
        <v>75</v>
      </c>
      <c r="P11" s="35" t="s">
        <v>1985</v>
      </c>
      <c r="Q11" s="35" t="s">
        <v>78</v>
      </c>
      <c r="R11" s="198" t="s">
        <v>79</v>
      </c>
      <c r="S11" s="35" t="s">
        <v>1984</v>
      </c>
      <c r="T11" s="35" t="s">
        <v>75</v>
      </c>
      <c r="U11" s="35" t="s">
        <v>1985</v>
      </c>
      <c r="V11" s="35" t="s">
        <v>78</v>
      </c>
      <c r="W11" s="198" t="s">
        <v>79</v>
      </c>
      <c r="X11" s="35" t="s">
        <v>1365</v>
      </c>
      <c r="Y11" s="35" t="s">
        <v>1986</v>
      </c>
      <c r="Z11" s="35" t="s">
        <v>1987</v>
      </c>
      <c r="AA11" s="35" t="s">
        <v>1986</v>
      </c>
      <c r="AB11" s="35" t="s">
        <v>1583</v>
      </c>
      <c r="AC11" s="35" t="s">
        <v>1988</v>
      </c>
      <c r="AD11" s="35" t="s">
        <v>1989</v>
      </c>
      <c r="AE11" s="35" t="s">
        <v>1990</v>
      </c>
      <c r="AF11" s="35" t="s">
        <v>1583</v>
      </c>
      <c r="AG11" s="35" t="s">
        <v>1991</v>
      </c>
      <c r="AH11" s="35" t="s">
        <v>75</v>
      </c>
      <c r="AI11" s="35" t="s">
        <v>75</v>
      </c>
      <c r="AJ11" s="35" t="s">
        <v>75</v>
      </c>
      <c r="AK11" s="35" t="s">
        <v>75</v>
      </c>
      <c r="AL11" s="35" t="s">
        <v>75</v>
      </c>
      <c r="AM11" s="35" t="s">
        <v>75</v>
      </c>
      <c r="AN11" s="35" t="s">
        <v>75</v>
      </c>
      <c r="AO11" s="35" t="s">
        <v>75</v>
      </c>
      <c r="AP11" s="35" t="s">
        <v>75</v>
      </c>
      <c r="AQ11" s="35" t="s">
        <v>75</v>
      </c>
      <c r="AR11" s="35" t="s">
        <v>75</v>
      </c>
      <c r="AS11" s="35" t="s">
        <v>75</v>
      </c>
      <c r="AT11" s="35" t="s">
        <v>75</v>
      </c>
      <c r="AU11" s="35" t="s">
        <v>75</v>
      </c>
      <c r="AV11" s="198" t="s">
        <v>75</v>
      </c>
      <c r="AW11" s="35" t="s">
        <v>1992</v>
      </c>
      <c r="AX11" s="35" t="s">
        <v>214</v>
      </c>
      <c r="AY11" s="35" t="s">
        <v>75</v>
      </c>
      <c r="AZ11" s="35" t="s">
        <v>278</v>
      </c>
      <c r="BA11" s="35" t="s">
        <v>1993</v>
      </c>
      <c r="BB11" s="35" t="s">
        <v>213</v>
      </c>
      <c r="BC11" s="35" t="s">
        <v>197</v>
      </c>
      <c r="BD11" s="390">
        <v>1</v>
      </c>
      <c r="BE11" s="35" t="s">
        <v>1724</v>
      </c>
      <c r="BF11" s="403">
        <v>229</v>
      </c>
      <c r="BG11" s="403">
        <v>75</v>
      </c>
      <c r="BH11" s="403">
        <v>40</v>
      </c>
      <c r="BI11" s="403">
        <v>100</v>
      </c>
      <c r="BJ11" s="403">
        <v>140</v>
      </c>
      <c r="BK11" s="403">
        <v>89</v>
      </c>
      <c r="BL11" s="35" t="s">
        <v>1994</v>
      </c>
      <c r="BM11" s="35" t="s">
        <v>1995</v>
      </c>
      <c r="BN11" s="35" t="s">
        <v>1996</v>
      </c>
      <c r="BO11" s="24">
        <v>1</v>
      </c>
      <c r="BP11" s="35" t="s">
        <v>75</v>
      </c>
      <c r="BQ11" s="35" t="s">
        <v>75</v>
      </c>
      <c r="BR11" s="35" t="s">
        <v>75</v>
      </c>
      <c r="BS11" s="24" t="s">
        <v>75</v>
      </c>
      <c r="BT11" s="35" t="s">
        <v>75</v>
      </c>
      <c r="BU11" s="35" t="s">
        <v>75</v>
      </c>
      <c r="BV11" s="35" t="s">
        <v>75</v>
      </c>
      <c r="BW11" s="198" t="s">
        <v>75</v>
      </c>
      <c r="BX11" s="35" t="s">
        <v>75</v>
      </c>
      <c r="BY11" s="35" t="s">
        <v>75</v>
      </c>
      <c r="BZ11" s="35" t="s">
        <v>75</v>
      </c>
      <c r="CA11" s="35" t="s">
        <v>75</v>
      </c>
      <c r="CB11" s="35" t="s">
        <v>75</v>
      </c>
      <c r="CC11" s="35" t="s">
        <v>75</v>
      </c>
      <c r="CD11" s="35" t="s">
        <v>1997</v>
      </c>
      <c r="CE11" s="35" t="s">
        <v>1995</v>
      </c>
      <c r="CF11" s="35" t="s">
        <v>1979</v>
      </c>
      <c r="CG11" s="438">
        <v>32684</v>
      </c>
      <c r="CH11" s="198" t="s">
        <v>1998</v>
      </c>
      <c r="CI11" s="35" t="s">
        <v>1989</v>
      </c>
      <c r="CJ11" s="35" t="s">
        <v>1999</v>
      </c>
      <c r="CK11" s="35" t="s">
        <v>1613</v>
      </c>
      <c r="CL11" s="35" t="s">
        <v>1981</v>
      </c>
      <c r="CM11" s="35" t="s">
        <v>1980</v>
      </c>
      <c r="CN11" s="438" t="s">
        <v>2000</v>
      </c>
      <c r="CO11" s="390" t="s">
        <v>1755</v>
      </c>
      <c r="CP11" s="35" t="s">
        <v>1400</v>
      </c>
      <c r="CQ11" s="35" t="s">
        <v>75</v>
      </c>
      <c r="CR11" s="35" t="s">
        <v>75</v>
      </c>
      <c r="CS11" s="35" t="s">
        <v>75</v>
      </c>
      <c r="CT11" s="438" t="s">
        <v>75</v>
      </c>
      <c r="CU11" s="390" t="s">
        <v>75</v>
      </c>
      <c r="CV11" s="35" t="s">
        <v>75</v>
      </c>
      <c r="CW11" s="35" t="s">
        <v>75</v>
      </c>
      <c r="CX11" s="35" t="s">
        <v>75</v>
      </c>
      <c r="CY11" s="35" t="s">
        <v>75</v>
      </c>
      <c r="CZ11" s="438" t="s">
        <v>75</v>
      </c>
      <c r="DA11" s="198" t="s">
        <v>75</v>
      </c>
      <c r="DB11" s="35" t="s">
        <v>75</v>
      </c>
      <c r="DC11" s="35" t="s">
        <v>75</v>
      </c>
      <c r="DD11" s="35" t="s">
        <v>75</v>
      </c>
      <c r="DE11" s="35" t="s">
        <v>75</v>
      </c>
      <c r="DF11" s="438" t="s">
        <v>75</v>
      </c>
      <c r="DG11" s="198" t="s">
        <v>75</v>
      </c>
      <c r="DH11" s="35" t="s">
        <v>75</v>
      </c>
      <c r="DI11" s="35" t="s">
        <v>75</v>
      </c>
      <c r="DJ11" s="35" t="s">
        <v>75</v>
      </c>
      <c r="DK11" s="35" t="s">
        <v>75</v>
      </c>
      <c r="DL11" s="438" t="s">
        <v>75</v>
      </c>
      <c r="DM11" s="198" t="s">
        <v>75</v>
      </c>
      <c r="DN11" s="35" t="s">
        <v>75</v>
      </c>
      <c r="DO11" s="35" t="s">
        <v>75</v>
      </c>
      <c r="DP11" s="35" t="s">
        <v>75</v>
      </c>
      <c r="DQ11" s="35" t="s">
        <v>75</v>
      </c>
      <c r="DR11" s="438" t="s">
        <v>75</v>
      </c>
      <c r="DS11" s="198" t="s">
        <v>75</v>
      </c>
      <c r="DT11" s="35" t="s">
        <v>75</v>
      </c>
      <c r="DX11" s="438"/>
      <c r="EA11" s="35" t="s">
        <v>75</v>
      </c>
      <c r="EB11" s="35" t="s">
        <v>75</v>
      </c>
      <c r="EC11" s="35" t="s">
        <v>75</v>
      </c>
      <c r="ED11" s="438" t="s">
        <v>75</v>
      </c>
      <c r="EF11" s="35" t="s">
        <v>75</v>
      </c>
      <c r="EG11" s="35" t="s">
        <v>75</v>
      </c>
      <c r="EH11" s="35" t="s">
        <v>75</v>
      </c>
      <c r="EI11" s="35" t="s">
        <v>75</v>
      </c>
      <c r="EJ11" s="438" t="s">
        <v>75</v>
      </c>
      <c r="EK11" s="198" t="s">
        <v>75</v>
      </c>
      <c r="EL11" s="35" t="s">
        <v>75</v>
      </c>
      <c r="EM11" s="35" t="s">
        <v>75</v>
      </c>
      <c r="EN11" s="35" t="s">
        <v>75</v>
      </c>
      <c r="EO11" s="35" t="s">
        <v>75</v>
      </c>
      <c r="EP11" s="438" t="s">
        <v>75</v>
      </c>
      <c r="EQ11" s="198" t="s">
        <v>75</v>
      </c>
      <c r="ER11" s="35" t="s">
        <v>75</v>
      </c>
      <c r="ES11" s="197" t="s">
        <v>1865</v>
      </c>
      <c r="ET11" s="197" t="s">
        <v>1958</v>
      </c>
      <c r="EU11" s="197" t="s">
        <v>1959</v>
      </c>
      <c r="EV11" s="35" t="s">
        <v>1724</v>
      </c>
      <c r="EW11" s="35" t="s">
        <v>149</v>
      </c>
      <c r="EX11" s="35" t="s">
        <v>2001</v>
      </c>
      <c r="EY11" s="35" t="s">
        <v>1387</v>
      </c>
      <c r="EZ11" s="35" t="s">
        <v>2002</v>
      </c>
      <c r="FA11" s="197">
        <v>229</v>
      </c>
      <c r="FC11" s="403">
        <v>75</v>
      </c>
      <c r="FD11" s="403">
        <v>304</v>
      </c>
      <c r="FE11" s="403">
        <v>229</v>
      </c>
      <c r="FF11" s="403">
        <v>40</v>
      </c>
      <c r="FG11" s="403">
        <v>0</v>
      </c>
      <c r="FH11" s="403">
        <v>40</v>
      </c>
      <c r="FI11" s="403">
        <v>264</v>
      </c>
      <c r="FJ11" s="403">
        <v>189</v>
      </c>
      <c r="FK11" s="403">
        <v>100</v>
      </c>
      <c r="FL11" s="403">
        <v>100</v>
      </c>
      <c r="FM11" s="403">
        <v>164</v>
      </c>
      <c r="FN11" s="403">
        <v>89</v>
      </c>
      <c r="FO11" s="403">
        <v>102.5</v>
      </c>
      <c r="FP11" s="403">
        <v>36</v>
      </c>
      <c r="FQ11" s="403">
        <v>61.5</v>
      </c>
      <c r="FR11" s="403">
        <v>53</v>
      </c>
      <c r="FS11" s="436" t="s">
        <v>1656</v>
      </c>
      <c r="FU11" s="408" t="str">
        <f t="shared" si="1"/>
        <v>N</v>
      </c>
      <c r="FV11">
        <f>IF(ISERROR(DATEDIF('Debit orders'!$E$1,B11,"M")),0,DATEDIF('Debit orders'!$E$1,B11,"M"))</f>
        <v>0</v>
      </c>
    </row>
    <row r="12" spans="1:183">
      <c r="A12" s="228">
        <v>42171</v>
      </c>
      <c r="B12" s="228">
        <v>42186</v>
      </c>
      <c r="C12" s="301">
        <v>9575</v>
      </c>
      <c r="D12" s="301">
        <v>50260715</v>
      </c>
      <c r="E12" s="35" t="s">
        <v>2050</v>
      </c>
      <c r="F12" s="35" t="s">
        <v>1353</v>
      </c>
      <c r="G12" s="35" t="s">
        <v>2058</v>
      </c>
      <c r="H12" s="35" t="s">
        <v>2315</v>
      </c>
      <c r="I12" s="35" t="s">
        <v>1358</v>
      </c>
      <c r="J12" s="35" t="s">
        <v>1360</v>
      </c>
      <c r="K12" s="35" t="s">
        <v>2056</v>
      </c>
      <c r="L12" s="300">
        <v>33155</v>
      </c>
      <c r="M12" s="198" t="s">
        <v>2059</v>
      </c>
      <c r="N12" s="35" t="s">
        <v>2060</v>
      </c>
      <c r="O12" s="35" t="s">
        <v>75</v>
      </c>
      <c r="P12" s="35" t="s">
        <v>2061</v>
      </c>
      <c r="Q12" s="35" t="s">
        <v>78</v>
      </c>
      <c r="R12" s="198" t="s">
        <v>2045</v>
      </c>
      <c r="S12" s="35" t="s">
        <v>2060</v>
      </c>
      <c r="T12" s="35" t="s">
        <v>75</v>
      </c>
      <c r="U12" s="35" t="s">
        <v>2061</v>
      </c>
      <c r="V12" s="35" t="s">
        <v>78</v>
      </c>
      <c r="W12" s="198" t="s">
        <v>2045</v>
      </c>
      <c r="X12" s="35" t="s">
        <v>1365</v>
      </c>
      <c r="Y12" s="35" t="s">
        <v>2062</v>
      </c>
      <c r="Z12" s="35" t="s">
        <v>75</v>
      </c>
      <c r="AA12" s="35" t="s">
        <v>2062</v>
      </c>
      <c r="AB12" s="35" t="s">
        <v>75</v>
      </c>
      <c r="AC12" s="35" t="s">
        <v>75</v>
      </c>
      <c r="AD12" s="35" t="s">
        <v>75</v>
      </c>
      <c r="AE12" s="35" t="s">
        <v>75</v>
      </c>
      <c r="AF12" s="35" t="s">
        <v>75</v>
      </c>
      <c r="AG12" s="35" t="s">
        <v>75</v>
      </c>
      <c r="AH12" s="35" t="s">
        <v>75</v>
      </c>
      <c r="AI12" s="35" t="s">
        <v>75</v>
      </c>
      <c r="AJ12" s="35" t="s">
        <v>75</v>
      </c>
      <c r="AK12" s="35" t="s">
        <v>75</v>
      </c>
      <c r="AL12" s="35" t="s">
        <v>75</v>
      </c>
      <c r="AM12" s="35" t="s">
        <v>75</v>
      </c>
      <c r="AN12" s="35" t="s">
        <v>75</v>
      </c>
      <c r="AO12" s="35" t="s">
        <v>75</v>
      </c>
      <c r="AP12" s="35" t="s">
        <v>75</v>
      </c>
      <c r="AQ12" s="35" t="s">
        <v>75</v>
      </c>
      <c r="AR12" s="35" t="s">
        <v>75</v>
      </c>
      <c r="AS12" s="35" t="s">
        <v>75</v>
      </c>
      <c r="AT12" s="35" t="s">
        <v>75</v>
      </c>
      <c r="AU12" s="35" t="s">
        <v>75</v>
      </c>
      <c r="AV12" s="198" t="s">
        <v>75</v>
      </c>
      <c r="AW12" s="35" t="s">
        <v>75</v>
      </c>
      <c r="AX12" s="35" t="s">
        <v>75</v>
      </c>
      <c r="AY12" s="35" t="s">
        <v>75</v>
      </c>
      <c r="AZ12" s="35" t="s">
        <v>75</v>
      </c>
      <c r="BA12" s="35" t="s">
        <v>75</v>
      </c>
      <c r="BB12" s="35" t="s">
        <v>75</v>
      </c>
      <c r="BC12" s="35" t="s">
        <v>191</v>
      </c>
      <c r="BD12" s="390">
        <v>1</v>
      </c>
      <c r="BE12" s="35" t="s">
        <v>177</v>
      </c>
      <c r="BF12" s="403">
        <v>58</v>
      </c>
      <c r="BG12" s="403">
        <v>50</v>
      </c>
      <c r="BH12" s="403">
        <v>28</v>
      </c>
      <c r="BI12" s="403">
        <v>0</v>
      </c>
      <c r="BJ12" s="403">
        <v>28</v>
      </c>
      <c r="BK12" s="403">
        <v>30</v>
      </c>
      <c r="BL12" s="35" t="s">
        <v>75</v>
      </c>
      <c r="BM12" s="35" t="s">
        <v>2058</v>
      </c>
      <c r="BN12" s="35" t="s">
        <v>2056</v>
      </c>
      <c r="BO12" s="24">
        <v>1</v>
      </c>
      <c r="BP12" s="35" t="s">
        <v>75</v>
      </c>
      <c r="BQ12" s="35" t="s">
        <v>75</v>
      </c>
      <c r="BR12" s="35" t="s">
        <v>75</v>
      </c>
      <c r="BS12" s="24" t="s">
        <v>75</v>
      </c>
      <c r="BT12" s="35" t="s">
        <v>75</v>
      </c>
      <c r="BU12" s="35" t="s">
        <v>75</v>
      </c>
      <c r="BV12" s="35" t="s">
        <v>75</v>
      </c>
      <c r="BW12" s="198" t="s">
        <v>75</v>
      </c>
      <c r="BX12" s="35" t="s">
        <v>75</v>
      </c>
      <c r="BY12" s="35" t="s">
        <v>75</v>
      </c>
      <c r="BZ12" s="35" t="s">
        <v>75</v>
      </c>
      <c r="CA12" s="35" t="s">
        <v>75</v>
      </c>
      <c r="CB12" s="35" t="s">
        <v>75</v>
      </c>
      <c r="CC12" s="35" t="s">
        <v>75</v>
      </c>
      <c r="CD12" s="35" t="s">
        <v>75</v>
      </c>
      <c r="CE12" s="35" t="s">
        <v>75</v>
      </c>
      <c r="CF12" s="35" t="s">
        <v>75</v>
      </c>
      <c r="CG12" s="449" t="s">
        <v>75</v>
      </c>
      <c r="CH12" s="198" t="s">
        <v>75</v>
      </c>
      <c r="CI12" s="35" t="s">
        <v>75</v>
      </c>
      <c r="CJ12" s="35" t="s">
        <v>75</v>
      </c>
      <c r="CK12" s="35" t="s">
        <v>2063</v>
      </c>
      <c r="CL12" s="35" t="s">
        <v>2064</v>
      </c>
      <c r="CM12" s="35" t="s">
        <v>2057</v>
      </c>
      <c r="CN12" s="449" t="s">
        <v>2065</v>
      </c>
      <c r="CO12" s="390" t="s">
        <v>1920</v>
      </c>
      <c r="CP12" s="35" t="s">
        <v>1623</v>
      </c>
      <c r="CQ12" s="35" t="s">
        <v>75</v>
      </c>
      <c r="CR12" s="35" t="s">
        <v>75</v>
      </c>
      <c r="CS12" s="35" t="s">
        <v>75</v>
      </c>
      <c r="CT12" s="449" t="s">
        <v>75</v>
      </c>
      <c r="CU12" s="390" t="s">
        <v>75</v>
      </c>
      <c r="CV12" s="35" t="s">
        <v>75</v>
      </c>
      <c r="CW12" s="35" t="s">
        <v>75</v>
      </c>
      <c r="CX12" s="35" t="s">
        <v>75</v>
      </c>
      <c r="CY12" s="35" t="s">
        <v>75</v>
      </c>
      <c r="CZ12" s="449" t="s">
        <v>75</v>
      </c>
      <c r="DA12" s="198" t="s">
        <v>75</v>
      </c>
      <c r="DB12" s="35" t="s">
        <v>75</v>
      </c>
      <c r="DC12" s="35" t="s">
        <v>75</v>
      </c>
      <c r="DD12" s="35" t="s">
        <v>75</v>
      </c>
      <c r="DE12" s="35" t="s">
        <v>75</v>
      </c>
      <c r="DF12" s="449" t="s">
        <v>75</v>
      </c>
      <c r="DG12" s="198" t="s">
        <v>75</v>
      </c>
      <c r="DH12" s="35" t="s">
        <v>75</v>
      </c>
      <c r="DI12" s="35" t="s">
        <v>75</v>
      </c>
      <c r="DJ12" s="35" t="s">
        <v>75</v>
      </c>
      <c r="DK12" s="35" t="s">
        <v>75</v>
      </c>
      <c r="DL12" s="449" t="s">
        <v>75</v>
      </c>
      <c r="DM12" s="198" t="s">
        <v>75</v>
      </c>
      <c r="DN12" s="35" t="s">
        <v>75</v>
      </c>
      <c r="DO12" s="35" t="s">
        <v>75</v>
      </c>
      <c r="DP12" s="35" t="s">
        <v>75</v>
      </c>
      <c r="DQ12" s="35" t="s">
        <v>75</v>
      </c>
      <c r="DR12" s="449" t="s">
        <v>75</v>
      </c>
      <c r="DS12" s="198" t="s">
        <v>75</v>
      </c>
      <c r="DT12" s="35" t="s">
        <v>75</v>
      </c>
      <c r="DU12" s="35" t="s">
        <v>75</v>
      </c>
      <c r="DV12" s="35" t="s">
        <v>75</v>
      </c>
      <c r="DW12" s="35" t="s">
        <v>75</v>
      </c>
      <c r="DX12" s="449" t="s">
        <v>75</v>
      </c>
      <c r="DY12" s="198" t="s">
        <v>75</v>
      </c>
      <c r="DZ12" s="35" t="s">
        <v>75</v>
      </c>
      <c r="EA12" s="35" t="s">
        <v>75</v>
      </c>
      <c r="EB12" s="35" t="s">
        <v>75</v>
      </c>
      <c r="EC12" s="35" t="s">
        <v>75</v>
      </c>
      <c r="ED12" s="449" t="s">
        <v>75</v>
      </c>
      <c r="EF12" s="35" t="s">
        <v>75</v>
      </c>
      <c r="EG12" s="35" t="s">
        <v>75</v>
      </c>
      <c r="EH12" s="35" t="s">
        <v>75</v>
      </c>
      <c r="EI12" s="35" t="s">
        <v>75</v>
      </c>
      <c r="EJ12" s="449" t="s">
        <v>75</v>
      </c>
      <c r="EK12" s="198" t="s">
        <v>75</v>
      </c>
      <c r="EL12" s="35" t="s">
        <v>75</v>
      </c>
      <c r="EM12" s="35" t="s">
        <v>75</v>
      </c>
      <c r="EN12" s="35" t="s">
        <v>75</v>
      </c>
      <c r="EO12" s="35" t="s">
        <v>75</v>
      </c>
      <c r="EP12" s="449" t="s">
        <v>75</v>
      </c>
      <c r="EQ12" s="198" t="s">
        <v>75</v>
      </c>
      <c r="ER12" s="35" t="s">
        <v>75</v>
      </c>
      <c r="EU12" s="197" t="s">
        <v>75</v>
      </c>
      <c r="EV12" s="35" t="s">
        <v>177</v>
      </c>
      <c r="EW12" s="35" t="s">
        <v>159</v>
      </c>
      <c r="EX12" s="35" t="s">
        <v>2066</v>
      </c>
      <c r="EY12" s="35" t="s">
        <v>1387</v>
      </c>
      <c r="EZ12" s="35" t="s">
        <v>2067</v>
      </c>
      <c r="FA12" s="197">
        <v>58</v>
      </c>
      <c r="FB12" s="197">
        <v>0</v>
      </c>
      <c r="FC12" s="403">
        <v>50</v>
      </c>
      <c r="FD12" s="403">
        <v>108</v>
      </c>
      <c r="FE12" s="403">
        <v>58</v>
      </c>
      <c r="FF12" s="403">
        <v>28</v>
      </c>
      <c r="FG12" s="403">
        <v>0</v>
      </c>
      <c r="FH12" s="403">
        <v>28</v>
      </c>
      <c r="FI12" s="403">
        <v>80</v>
      </c>
      <c r="FJ12" s="403">
        <v>30</v>
      </c>
      <c r="FK12" s="403">
        <v>0</v>
      </c>
      <c r="FL12" s="403">
        <v>0</v>
      </c>
      <c r="FM12" s="403">
        <v>80</v>
      </c>
      <c r="FN12" s="403">
        <v>30</v>
      </c>
      <c r="FO12" s="403">
        <v>56</v>
      </c>
      <c r="FP12" s="403">
        <v>16</v>
      </c>
      <c r="FQ12" s="403">
        <v>24</v>
      </c>
      <c r="FR12" s="403">
        <v>14</v>
      </c>
      <c r="FS12" s="445" t="s">
        <v>65</v>
      </c>
      <c r="FU12" s="408" t="str">
        <f t="shared" si="1"/>
        <v>N</v>
      </c>
      <c r="FV12">
        <f>IF(ISERROR(DATEDIF('Debit orders'!$E$1,B12,"M")),0,DATEDIF('Debit orders'!$E$1,B12,"M"))</f>
        <v>0</v>
      </c>
      <c r="FX12" t="s">
        <v>2040</v>
      </c>
      <c r="FY12" t="s">
        <v>2041</v>
      </c>
    </row>
    <row r="13" spans="1:183">
      <c r="A13" s="228">
        <v>42171</v>
      </c>
      <c r="B13" s="228">
        <v>42186</v>
      </c>
      <c r="C13" s="301">
        <v>9575</v>
      </c>
      <c r="D13" s="301">
        <v>50260723</v>
      </c>
      <c r="E13" s="35" t="s">
        <v>2050</v>
      </c>
      <c r="F13" s="35" t="s">
        <v>1353</v>
      </c>
      <c r="G13" s="35" t="s">
        <v>2052</v>
      </c>
      <c r="H13" s="35" t="s">
        <v>2070</v>
      </c>
      <c r="I13" s="35" t="s">
        <v>1358</v>
      </c>
      <c r="J13" s="35" t="s">
        <v>1360</v>
      </c>
      <c r="K13" s="35" t="s">
        <v>2069</v>
      </c>
      <c r="L13" s="300">
        <v>24563</v>
      </c>
      <c r="M13" s="198" t="s">
        <v>2071</v>
      </c>
      <c r="N13" s="35" t="s">
        <v>2072</v>
      </c>
      <c r="O13" s="35" t="s">
        <v>75</v>
      </c>
      <c r="P13" s="35" t="s">
        <v>2073</v>
      </c>
      <c r="Q13" s="35" t="s">
        <v>78</v>
      </c>
      <c r="R13" s="198" t="s">
        <v>2074</v>
      </c>
      <c r="S13" s="35" t="s">
        <v>2072</v>
      </c>
      <c r="T13" s="35" t="s">
        <v>75</v>
      </c>
      <c r="U13" s="35" t="s">
        <v>2073</v>
      </c>
      <c r="V13" s="35" t="s">
        <v>78</v>
      </c>
      <c r="W13" s="198" t="s">
        <v>2074</v>
      </c>
      <c r="X13" s="35" t="s">
        <v>1365</v>
      </c>
      <c r="Y13" s="35" t="s">
        <v>2046</v>
      </c>
      <c r="Z13" s="35" t="s">
        <v>75</v>
      </c>
      <c r="AA13" s="35" t="s">
        <v>2046</v>
      </c>
      <c r="AB13" s="35" t="s">
        <v>75</v>
      </c>
      <c r="AC13" s="35" t="s">
        <v>75</v>
      </c>
      <c r="AD13" s="35" t="s">
        <v>75</v>
      </c>
      <c r="AE13" s="35" t="s">
        <v>75</v>
      </c>
      <c r="AF13" s="35" t="s">
        <v>75</v>
      </c>
      <c r="AG13" s="35" t="s">
        <v>75</v>
      </c>
      <c r="AH13" s="35" t="s">
        <v>75</v>
      </c>
      <c r="AI13" s="35" t="s">
        <v>75</v>
      </c>
      <c r="AJ13" s="35" t="s">
        <v>75</v>
      </c>
      <c r="AK13" s="35" t="s">
        <v>75</v>
      </c>
      <c r="AL13" s="35" t="s">
        <v>75</v>
      </c>
      <c r="AM13" s="35" t="s">
        <v>75</v>
      </c>
      <c r="AN13" s="35" t="s">
        <v>75</v>
      </c>
      <c r="AO13" s="35" t="s">
        <v>75</v>
      </c>
      <c r="AP13" s="35" t="s">
        <v>75</v>
      </c>
      <c r="AQ13" s="35" t="s">
        <v>75</v>
      </c>
      <c r="AR13" s="35" t="s">
        <v>75</v>
      </c>
      <c r="AS13" s="35" t="s">
        <v>75</v>
      </c>
      <c r="AT13" s="35" t="s">
        <v>75</v>
      </c>
      <c r="AU13" s="35" t="s">
        <v>75</v>
      </c>
      <c r="AV13" s="198" t="s">
        <v>75</v>
      </c>
      <c r="AW13" s="35" t="s">
        <v>75</v>
      </c>
      <c r="AX13" s="35" t="s">
        <v>75</v>
      </c>
      <c r="AY13" s="35" t="s">
        <v>75</v>
      </c>
      <c r="AZ13" s="35" t="s">
        <v>75</v>
      </c>
      <c r="BA13" s="35" t="s">
        <v>75</v>
      </c>
      <c r="BB13" s="35" t="s">
        <v>75</v>
      </c>
      <c r="BC13" s="35" t="s">
        <v>191</v>
      </c>
      <c r="BD13" s="390">
        <v>1</v>
      </c>
      <c r="BE13" s="35" t="s">
        <v>179</v>
      </c>
      <c r="BF13" s="403">
        <v>88</v>
      </c>
      <c r="BG13" s="403">
        <v>50</v>
      </c>
      <c r="BH13" s="403">
        <v>39</v>
      </c>
      <c r="BI13" s="403">
        <v>0</v>
      </c>
      <c r="BJ13" s="403">
        <v>39</v>
      </c>
      <c r="BK13" s="403">
        <v>49</v>
      </c>
      <c r="BL13" s="35" t="s">
        <v>2075</v>
      </c>
      <c r="BM13" s="35" t="s">
        <v>2076</v>
      </c>
      <c r="BN13" s="35" t="s">
        <v>2068</v>
      </c>
      <c r="BO13" s="24">
        <v>1</v>
      </c>
      <c r="BP13" s="35" t="s">
        <v>75</v>
      </c>
      <c r="BQ13" s="35" t="s">
        <v>75</v>
      </c>
      <c r="BR13" s="35" t="s">
        <v>75</v>
      </c>
      <c r="BS13" s="24" t="s">
        <v>75</v>
      </c>
      <c r="BT13" s="35" t="s">
        <v>75</v>
      </c>
      <c r="BU13" s="35" t="s">
        <v>75</v>
      </c>
      <c r="BV13" s="35" t="s">
        <v>75</v>
      </c>
      <c r="BW13" s="198" t="s">
        <v>75</v>
      </c>
      <c r="BX13" s="35" t="s">
        <v>75</v>
      </c>
      <c r="BY13" s="35" t="s">
        <v>75</v>
      </c>
      <c r="BZ13" s="35" t="s">
        <v>75</v>
      </c>
      <c r="CA13" s="35" t="s">
        <v>75</v>
      </c>
      <c r="CB13" s="35" t="s">
        <v>75</v>
      </c>
      <c r="CC13" s="35" t="s">
        <v>75</v>
      </c>
      <c r="CD13" s="35" t="s">
        <v>1358</v>
      </c>
      <c r="CE13" s="35" t="s">
        <v>2077</v>
      </c>
      <c r="CF13" s="35" t="s">
        <v>2068</v>
      </c>
      <c r="CG13" s="454" t="s">
        <v>2078</v>
      </c>
      <c r="CH13" s="198" t="s">
        <v>2079</v>
      </c>
      <c r="CI13" s="35" t="s">
        <v>75</v>
      </c>
      <c r="CJ13" s="35" t="s">
        <v>2080</v>
      </c>
      <c r="CK13" s="35" t="s">
        <v>75</v>
      </c>
      <c r="CL13" s="35" t="s">
        <v>75</v>
      </c>
      <c r="CM13" s="35" t="s">
        <v>75</v>
      </c>
      <c r="CN13" s="454" t="s">
        <v>75</v>
      </c>
      <c r="CO13" s="390" t="s">
        <v>75</v>
      </c>
      <c r="CP13" s="35" t="s">
        <v>75</v>
      </c>
      <c r="CQ13" s="35" t="s">
        <v>75</v>
      </c>
      <c r="CR13" s="35" t="s">
        <v>75</v>
      </c>
      <c r="CS13" s="35" t="s">
        <v>75</v>
      </c>
      <c r="CT13" s="454" t="s">
        <v>75</v>
      </c>
      <c r="CU13" s="390" t="s">
        <v>75</v>
      </c>
      <c r="CV13" s="35" t="s">
        <v>75</v>
      </c>
      <c r="CW13" s="35" t="s">
        <v>75</v>
      </c>
      <c r="CX13" s="35" t="s">
        <v>75</v>
      </c>
      <c r="CY13" s="35" t="s">
        <v>75</v>
      </c>
      <c r="CZ13" s="454" t="s">
        <v>75</v>
      </c>
      <c r="DA13" s="198" t="s">
        <v>75</v>
      </c>
      <c r="DB13" s="35" t="s">
        <v>75</v>
      </c>
      <c r="DC13" s="35" t="s">
        <v>75</v>
      </c>
      <c r="DD13" s="35" t="s">
        <v>75</v>
      </c>
      <c r="DE13" s="35" t="s">
        <v>75</v>
      </c>
      <c r="DF13" s="454" t="s">
        <v>75</v>
      </c>
      <c r="DG13" s="198" t="s">
        <v>75</v>
      </c>
      <c r="DH13" s="35" t="s">
        <v>75</v>
      </c>
      <c r="DI13" s="35" t="s">
        <v>75</v>
      </c>
      <c r="DJ13" s="35" t="s">
        <v>75</v>
      </c>
      <c r="DK13" s="35" t="s">
        <v>75</v>
      </c>
      <c r="DL13" s="454" t="s">
        <v>75</v>
      </c>
      <c r="DM13" s="198" t="s">
        <v>75</v>
      </c>
      <c r="DN13" s="35" t="s">
        <v>75</v>
      </c>
      <c r="DO13" s="35" t="s">
        <v>75</v>
      </c>
      <c r="DP13" s="35" t="s">
        <v>75</v>
      </c>
      <c r="DQ13" s="35" t="s">
        <v>75</v>
      </c>
      <c r="DR13" s="454" t="s">
        <v>75</v>
      </c>
      <c r="DS13" s="198" t="s">
        <v>75</v>
      </c>
      <c r="DT13" s="35" t="s">
        <v>75</v>
      </c>
      <c r="DU13" s="35" t="s">
        <v>75</v>
      </c>
      <c r="DV13" s="35" t="s">
        <v>75</v>
      </c>
      <c r="DW13" s="35" t="s">
        <v>75</v>
      </c>
      <c r="DX13" s="454" t="s">
        <v>75</v>
      </c>
      <c r="DY13" s="198" t="s">
        <v>75</v>
      </c>
      <c r="DZ13" s="35" t="s">
        <v>75</v>
      </c>
      <c r="EA13" s="35" t="s">
        <v>75</v>
      </c>
      <c r="EB13" s="35" t="s">
        <v>75</v>
      </c>
      <c r="EC13" s="35" t="s">
        <v>75</v>
      </c>
      <c r="ED13" s="454" t="s">
        <v>75</v>
      </c>
      <c r="EF13" s="35" t="s">
        <v>75</v>
      </c>
      <c r="EG13" s="35" t="s">
        <v>75</v>
      </c>
      <c r="EH13" s="35" t="s">
        <v>75</v>
      </c>
      <c r="EI13" s="35" t="s">
        <v>75</v>
      </c>
      <c r="EJ13" s="454" t="s">
        <v>75</v>
      </c>
      <c r="EK13" s="198" t="s">
        <v>75</v>
      </c>
      <c r="EL13" s="35" t="s">
        <v>75</v>
      </c>
      <c r="EM13" s="35" t="s">
        <v>75</v>
      </c>
      <c r="EN13" s="35" t="s">
        <v>75</v>
      </c>
      <c r="EO13" s="35" t="s">
        <v>75</v>
      </c>
      <c r="EP13" s="454" t="s">
        <v>75</v>
      </c>
      <c r="EQ13" s="198" t="s">
        <v>75</v>
      </c>
      <c r="ER13" s="35" t="s">
        <v>75</v>
      </c>
      <c r="EU13" s="197" t="s">
        <v>75</v>
      </c>
      <c r="EV13" s="35" t="s">
        <v>179</v>
      </c>
      <c r="EW13" s="35" t="s">
        <v>161</v>
      </c>
      <c r="EX13" s="35" t="s">
        <v>2081</v>
      </c>
      <c r="EY13" s="35" t="s">
        <v>1387</v>
      </c>
      <c r="EZ13" s="35" t="s">
        <v>2082</v>
      </c>
      <c r="FA13" s="197">
        <v>88</v>
      </c>
      <c r="FB13" s="197">
        <v>0</v>
      </c>
      <c r="FC13" s="403">
        <v>50</v>
      </c>
      <c r="FD13" s="403">
        <v>138</v>
      </c>
      <c r="FE13" s="403">
        <v>88</v>
      </c>
      <c r="FF13" s="403">
        <v>39</v>
      </c>
      <c r="FG13" s="403">
        <v>0</v>
      </c>
      <c r="FH13" s="403">
        <v>39</v>
      </c>
      <c r="FI13" s="403">
        <v>99</v>
      </c>
      <c r="FJ13" s="403">
        <v>49</v>
      </c>
      <c r="FK13" s="403">
        <v>0</v>
      </c>
      <c r="FL13" s="403">
        <v>0</v>
      </c>
      <c r="FM13" s="403">
        <v>99</v>
      </c>
      <c r="FN13" s="403">
        <v>49</v>
      </c>
      <c r="FO13" s="403">
        <v>60</v>
      </c>
      <c r="FP13" s="403">
        <v>20</v>
      </c>
      <c r="FQ13" s="403">
        <v>39</v>
      </c>
      <c r="FR13" s="403">
        <v>29</v>
      </c>
      <c r="FS13" s="453" t="s">
        <v>65</v>
      </c>
      <c r="FU13" s="408" t="str">
        <f t="shared" si="1"/>
        <v>N</v>
      </c>
      <c r="FV13">
        <f>IF(ISERROR(DATEDIF('Debit orders'!$E$1,B13,"M")),0,DATEDIF('Debit orders'!$E$1,B13,"M"))</f>
        <v>0</v>
      </c>
      <c r="FX13" t="s">
        <v>2040</v>
      </c>
      <c r="FY13" t="s">
        <v>2041</v>
      </c>
    </row>
    <row r="14" spans="1:183">
      <c r="A14" s="228">
        <v>42171</v>
      </c>
      <c r="B14" s="228">
        <v>42186</v>
      </c>
      <c r="C14" s="301">
        <v>9575</v>
      </c>
      <c r="D14" s="301">
        <v>50260731</v>
      </c>
      <c r="E14" s="35" t="s">
        <v>2050</v>
      </c>
      <c r="F14" s="35" t="s">
        <v>1355</v>
      </c>
      <c r="G14" s="35" t="s">
        <v>2084</v>
      </c>
      <c r="H14" s="35" t="s">
        <v>2085</v>
      </c>
      <c r="I14" s="35" t="s">
        <v>1359</v>
      </c>
      <c r="J14" s="35" t="s">
        <v>1360</v>
      </c>
      <c r="K14" s="35" t="s">
        <v>2083</v>
      </c>
      <c r="L14" s="300">
        <v>18176</v>
      </c>
      <c r="M14" s="198" t="s">
        <v>1951</v>
      </c>
      <c r="N14" s="35" t="s">
        <v>2086</v>
      </c>
      <c r="O14" s="35" t="s">
        <v>75</v>
      </c>
      <c r="P14" s="35" t="s">
        <v>2087</v>
      </c>
      <c r="Q14" s="35" t="s">
        <v>78</v>
      </c>
      <c r="R14" s="198" t="s">
        <v>2045</v>
      </c>
      <c r="S14" s="35" t="s">
        <v>2086</v>
      </c>
      <c r="T14" s="35" t="s">
        <v>75</v>
      </c>
      <c r="U14" s="35" t="s">
        <v>2087</v>
      </c>
      <c r="V14" s="35" t="s">
        <v>78</v>
      </c>
      <c r="W14" s="198" t="s">
        <v>2045</v>
      </c>
      <c r="X14" s="35" t="s">
        <v>1364</v>
      </c>
      <c r="Y14" s="35" t="s">
        <v>2046</v>
      </c>
      <c r="Z14" s="35" t="s">
        <v>75</v>
      </c>
      <c r="AA14" s="35" t="s">
        <v>2046</v>
      </c>
      <c r="AB14" s="35" t="s">
        <v>75</v>
      </c>
      <c r="AC14" s="35" t="s">
        <v>75</v>
      </c>
      <c r="AD14" s="35" t="s">
        <v>75</v>
      </c>
      <c r="AE14" s="35" t="s">
        <v>75</v>
      </c>
      <c r="AF14" s="35" t="s">
        <v>75</v>
      </c>
      <c r="AG14" s="35" t="s">
        <v>75</v>
      </c>
      <c r="AH14" s="35" t="s">
        <v>75</v>
      </c>
      <c r="AI14" s="35" t="s">
        <v>75</v>
      </c>
      <c r="AJ14" s="35" t="s">
        <v>75</v>
      </c>
      <c r="AK14" s="35" t="s">
        <v>75</v>
      </c>
      <c r="AL14" s="35" t="s">
        <v>75</v>
      </c>
      <c r="AM14" s="35" t="s">
        <v>75</v>
      </c>
      <c r="AN14" s="35" t="s">
        <v>75</v>
      </c>
      <c r="AO14" s="35" t="s">
        <v>75</v>
      </c>
      <c r="AP14" s="35" t="s">
        <v>75</v>
      </c>
      <c r="AQ14" s="35" t="s">
        <v>75</v>
      </c>
      <c r="AR14" s="35" t="s">
        <v>75</v>
      </c>
      <c r="AS14" s="35" t="s">
        <v>75</v>
      </c>
      <c r="AT14" s="35" t="s">
        <v>75</v>
      </c>
      <c r="AU14" s="35" t="s">
        <v>75</v>
      </c>
      <c r="AV14" s="198" t="s">
        <v>75</v>
      </c>
      <c r="AW14" s="35" t="s">
        <v>75</v>
      </c>
      <c r="AX14" s="35" t="s">
        <v>75</v>
      </c>
      <c r="AY14" s="35" t="s">
        <v>75</v>
      </c>
      <c r="AZ14" s="35" t="s">
        <v>75</v>
      </c>
      <c r="BA14" s="35" t="s">
        <v>75</v>
      </c>
      <c r="BB14" s="35" t="s">
        <v>75</v>
      </c>
      <c r="BC14" s="35" t="s">
        <v>191</v>
      </c>
      <c r="BD14" s="390">
        <v>1</v>
      </c>
      <c r="BE14" s="35" t="s">
        <v>1842</v>
      </c>
      <c r="BF14" s="403">
        <v>50</v>
      </c>
      <c r="BG14" s="403">
        <v>50</v>
      </c>
      <c r="BH14" s="403">
        <v>40</v>
      </c>
      <c r="BI14" s="403">
        <v>0</v>
      </c>
      <c r="BJ14" s="403">
        <v>40</v>
      </c>
      <c r="BK14" s="403">
        <v>10</v>
      </c>
      <c r="BL14" s="35" t="s">
        <v>2075</v>
      </c>
      <c r="BM14" s="35" t="s">
        <v>2052</v>
      </c>
      <c r="BN14" s="35" t="s">
        <v>2054</v>
      </c>
      <c r="BO14" s="24">
        <v>1</v>
      </c>
      <c r="BP14" s="35" t="s">
        <v>75</v>
      </c>
      <c r="BQ14" s="35" t="s">
        <v>75</v>
      </c>
      <c r="BR14" s="35" t="s">
        <v>75</v>
      </c>
      <c r="BS14" s="24" t="s">
        <v>75</v>
      </c>
      <c r="BT14" s="35" t="s">
        <v>75</v>
      </c>
      <c r="BU14" s="35" t="s">
        <v>75</v>
      </c>
      <c r="BV14" s="35" t="s">
        <v>75</v>
      </c>
      <c r="BW14" s="198" t="s">
        <v>75</v>
      </c>
      <c r="BX14" s="35" t="s">
        <v>75</v>
      </c>
      <c r="BY14" s="35" t="s">
        <v>75</v>
      </c>
      <c r="BZ14" s="35" t="s">
        <v>75</v>
      </c>
      <c r="CA14" s="35" t="s">
        <v>75</v>
      </c>
      <c r="CB14" s="35" t="s">
        <v>75</v>
      </c>
      <c r="CC14" s="35" t="s">
        <v>75</v>
      </c>
      <c r="CD14" s="35" t="s">
        <v>75</v>
      </c>
      <c r="CE14" s="35" t="s">
        <v>75</v>
      </c>
      <c r="CF14" s="35" t="s">
        <v>75</v>
      </c>
      <c r="CG14" s="454" t="s">
        <v>75</v>
      </c>
      <c r="CH14" s="198" t="s">
        <v>75</v>
      </c>
      <c r="CI14" s="35" t="s">
        <v>75</v>
      </c>
      <c r="CJ14" s="35" t="s">
        <v>75</v>
      </c>
      <c r="CK14" s="35" t="s">
        <v>75</v>
      </c>
      <c r="CL14" s="35" t="s">
        <v>75</v>
      </c>
      <c r="CM14" s="35" t="s">
        <v>75</v>
      </c>
      <c r="CN14" s="454" t="s">
        <v>75</v>
      </c>
      <c r="CO14" s="390" t="s">
        <v>75</v>
      </c>
      <c r="CP14" s="35" t="s">
        <v>75</v>
      </c>
      <c r="CQ14" s="35" t="s">
        <v>75</v>
      </c>
      <c r="CR14" s="35" t="s">
        <v>75</v>
      </c>
      <c r="CS14" s="35" t="s">
        <v>75</v>
      </c>
      <c r="CT14" s="454" t="s">
        <v>75</v>
      </c>
      <c r="CU14" s="390" t="s">
        <v>75</v>
      </c>
      <c r="CV14" s="35" t="s">
        <v>75</v>
      </c>
      <c r="CW14" s="35" t="s">
        <v>75</v>
      </c>
      <c r="CX14" s="35" t="s">
        <v>75</v>
      </c>
      <c r="CY14" s="35" t="s">
        <v>75</v>
      </c>
      <c r="CZ14" s="454" t="s">
        <v>75</v>
      </c>
      <c r="DA14" s="198" t="s">
        <v>75</v>
      </c>
      <c r="DB14" s="35" t="s">
        <v>75</v>
      </c>
      <c r="DC14" s="35" t="s">
        <v>75</v>
      </c>
      <c r="DD14" s="35" t="s">
        <v>75</v>
      </c>
      <c r="DE14" s="35" t="s">
        <v>75</v>
      </c>
      <c r="DF14" s="454" t="s">
        <v>75</v>
      </c>
      <c r="DG14" s="198" t="s">
        <v>75</v>
      </c>
      <c r="DH14" s="35" t="s">
        <v>75</v>
      </c>
      <c r="DI14" s="35" t="s">
        <v>75</v>
      </c>
      <c r="DJ14" s="35" t="s">
        <v>75</v>
      </c>
      <c r="DK14" s="35" t="s">
        <v>75</v>
      </c>
      <c r="DL14" s="454" t="s">
        <v>75</v>
      </c>
      <c r="DM14" s="198" t="s">
        <v>75</v>
      </c>
      <c r="DN14" s="35" t="s">
        <v>75</v>
      </c>
      <c r="DO14" s="35" t="s">
        <v>75</v>
      </c>
      <c r="DP14" s="35" t="s">
        <v>75</v>
      </c>
      <c r="DQ14" s="35" t="s">
        <v>75</v>
      </c>
      <c r="DR14" s="454" t="s">
        <v>75</v>
      </c>
      <c r="DS14" s="198" t="s">
        <v>75</v>
      </c>
      <c r="DT14" s="35" t="s">
        <v>75</v>
      </c>
      <c r="DU14" s="35" t="s">
        <v>75</v>
      </c>
      <c r="DV14" s="35" t="s">
        <v>75</v>
      </c>
      <c r="DW14" s="35" t="s">
        <v>75</v>
      </c>
      <c r="DX14" s="454" t="s">
        <v>75</v>
      </c>
      <c r="DY14" s="198" t="s">
        <v>75</v>
      </c>
      <c r="DZ14" s="35" t="s">
        <v>75</v>
      </c>
      <c r="EA14" s="35" t="s">
        <v>75</v>
      </c>
      <c r="EB14" s="35" t="s">
        <v>75</v>
      </c>
      <c r="EC14" s="35" t="s">
        <v>75</v>
      </c>
      <c r="ED14" s="454" t="s">
        <v>75</v>
      </c>
      <c r="EF14" s="35" t="s">
        <v>75</v>
      </c>
      <c r="EG14" s="35" t="s">
        <v>75</v>
      </c>
      <c r="EH14" s="35" t="s">
        <v>75</v>
      </c>
      <c r="EI14" s="35" t="s">
        <v>75</v>
      </c>
      <c r="EJ14" s="454" t="s">
        <v>75</v>
      </c>
      <c r="EK14" s="198" t="s">
        <v>75</v>
      </c>
      <c r="EL14" s="35" t="s">
        <v>75</v>
      </c>
      <c r="EM14" s="35" t="s">
        <v>75</v>
      </c>
      <c r="EN14" s="35" t="s">
        <v>75</v>
      </c>
      <c r="EO14" s="35" t="s">
        <v>75</v>
      </c>
      <c r="EP14" s="454" t="s">
        <v>75</v>
      </c>
      <c r="EQ14" s="198" t="s">
        <v>75</v>
      </c>
      <c r="ER14" s="35" t="s">
        <v>75</v>
      </c>
      <c r="EU14" s="197" t="s">
        <v>75</v>
      </c>
      <c r="EV14" s="35" t="s">
        <v>1842</v>
      </c>
      <c r="EW14" s="35" t="s">
        <v>1840</v>
      </c>
      <c r="EX14" s="35" t="s">
        <v>2088</v>
      </c>
      <c r="EY14" s="35" t="s">
        <v>1387</v>
      </c>
      <c r="EZ14" s="35" t="s">
        <v>2089</v>
      </c>
      <c r="FA14" s="197">
        <v>50</v>
      </c>
      <c r="FB14" s="197">
        <v>0</v>
      </c>
      <c r="FC14" s="403">
        <v>50</v>
      </c>
      <c r="FD14" s="403">
        <v>100</v>
      </c>
      <c r="FE14" s="403">
        <v>50</v>
      </c>
      <c r="FF14" s="403">
        <v>40</v>
      </c>
      <c r="FG14" s="403">
        <v>0</v>
      </c>
      <c r="FH14" s="403">
        <v>40</v>
      </c>
      <c r="FI14" s="403">
        <v>60</v>
      </c>
      <c r="FJ14" s="403">
        <v>10</v>
      </c>
      <c r="FK14" s="403">
        <v>0</v>
      </c>
      <c r="FL14" s="403">
        <v>0</v>
      </c>
      <c r="FM14" s="403">
        <v>60</v>
      </c>
      <c r="FN14" s="403">
        <v>10</v>
      </c>
      <c r="FO14" s="403">
        <v>40</v>
      </c>
      <c r="FP14" s="403">
        <v>0</v>
      </c>
      <c r="FQ14" s="403">
        <v>20</v>
      </c>
      <c r="FR14" s="403">
        <v>10</v>
      </c>
      <c r="FS14" s="453" t="s">
        <v>65</v>
      </c>
      <c r="FU14" s="408" t="str">
        <f t="shared" si="1"/>
        <v>N</v>
      </c>
      <c r="FV14">
        <f>IF(ISERROR(DATEDIF('Debit orders'!$E$1,B14,"M")),0,DATEDIF('Debit orders'!$E$1,B14,"M"))</f>
        <v>0</v>
      </c>
      <c r="FX14" t="s">
        <v>2040</v>
      </c>
      <c r="FY14" t="s">
        <v>2041</v>
      </c>
    </row>
    <row r="15" spans="1:183">
      <c r="A15" s="228">
        <v>42171</v>
      </c>
      <c r="B15" s="228">
        <v>42186</v>
      </c>
      <c r="C15" s="301">
        <v>9575</v>
      </c>
      <c r="D15" s="301">
        <v>50260749</v>
      </c>
      <c r="E15" s="35" t="s">
        <v>2050</v>
      </c>
      <c r="F15" s="35" t="s">
        <v>1355</v>
      </c>
      <c r="G15" s="229" t="s">
        <v>2091</v>
      </c>
      <c r="H15" s="35" t="s">
        <v>2092</v>
      </c>
      <c r="I15" s="35" t="s">
        <v>1359</v>
      </c>
      <c r="J15" s="35" t="s">
        <v>1360</v>
      </c>
      <c r="K15" s="35" t="s">
        <v>2090</v>
      </c>
      <c r="L15" s="300">
        <v>13910</v>
      </c>
      <c r="M15" s="198" t="s">
        <v>2093</v>
      </c>
      <c r="N15" s="35" t="s">
        <v>2042</v>
      </c>
      <c r="O15" s="35" t="s">
        <v>2043</v>
      </c>
      <c r="P15" s="35" t="s">
        <v>2049</v>
      </c>
      <c r="Q15" s="35" t="s">
        <v>78</v>
      </c>
      <c r="R15" s="198" t="s">
        <v>2045</v>
      </c>
      <c r="S15" s="35" t="s">
        <v>2042</v>
      </c>
      <c r="T15" s="35" t="s">
        <v>2043</v>
      </c>
      <c r="U15" s="35" t="s">
        <v>2049</v>
      </c>
      <c r="V15" s="35" t="s">
        <v>78</v>
      </c>
      <c r="W15" s="198" t="s">
        <v>2045</v>
      </c>
      <c r="X15" s="35" t="s">
        <v>1364</v>
      </c>
      <c r="Y15" s="35" t="s">
        <v>2046</v>
      </c>
      <c r="Z15" s="35" t="s">
        <v>75</v>
      </c>
      <c r="AA15" s="35" t="s">
        <v>2046</v>
      </c>
      <c r="AB15" s="35" t="s">
        <v>75</v>
      </c>
      <c r="AC15" s="35" t="s">
        <v>75</v>
      </c>
      <c r="AD15" s="35" t="s">
        <v>75</v>
      </c>
      <c r="AE15" s="35" t="s">
        <v>75</v>
      </c>
      <c r="AF15" s="35" t="s">
        <v>75</v>
      </c>
      <c r="AG15" s="35" t="s">
        <v>75</v>
      </c>
      <c r="AH15" s="35" t="s">
        <v>75</v>
      </c>
      <c r="AI15" s="35" t="s">
        <v>75</v>
      </c>
      <c r="AJ15" s="35" t="s">
        <v>75</v>
      </c>
      <c r="AK15" s="35" t="s">
        <v>75</v>
      </c>
      <c r="AL15" s="35" t="s">
        <v>75</v>
      </c>
      <c r="AM15" s="35" t="s">
        <v>75</v>
      </c>
      <c r="AN15" s="35" t="s">
        <v>75</v>
      </c>
      <c r="AO15" s="35" t="s">
        <v>75</v>
      </c>
      <c r="AP15" s="35" t="s">
        <v>75</v>
      </c>
      <c r="AQ15" s="35" t="s">
        <v>75</v>
      </c>
      <c r="AR15" s="35" t="s">
        <v>75</v>
      </c>
      <c r="AS15" s="35" t="s">
        <v>75</v>
      </c>
      <c r="AT15" s="35" t="s">
        <v>75</v>
      </c>
      <c r="AU15" s="35" t="s">
        <v>75</v>
      </c>
      <c r="AV15" s="198" t="s">
        <v>75</v>
      </c>
      <c r="AW15" s="35" t="s">
        <v>75</v>
      </c>
      <c r="AX15" s="35" t="s">
        <v>75</v>
      </c>
      <c r="AY15" s="35" t="s">
        <v>75</v>
      </c>
      <c r="AZ15" s="35" t="s">
        <v>75</v>
      </c>
      <c r="BA15" s="35" t="s">
        <v>75</v>
      </c>
      <c r="BB15" s="35" t="s">
        <v>75</v>
      </c>
      <c r="BC15" s="35" t="s">
        <v>191</v>
      </c>
      <c r="BD15" s="390">
        <v>1</v>
      </c>
      <c r="BE15" s="35" t="s">
        <v>1842</v>
      </c>
      <c r="BF15" s="403">
        <v>50</v>
      </c>
      <c r="BG15" s="403">
        <v>50</v>
      </c>
      <c r="BH15" s="403">
        <v>42</v>
      </c>
      <c r="BI15" s="403">
        <v>0</v>
      </c>
      <c r="BJ15" s="403">
        <v>42</v>
      </c>
      <c r="BK15" s="403">
        <v>8</v>
      </c>
      <c r="BL15" s="35" t="s">
        <v>1973</v>
      </c>
      <c r="BM15" s="35" t="s">
        <v>2052</v>
      </c>
      <c r="BN15" s="35" t="s">
        <v>2054</v>
      </c>
      <c r="BO15" s="24">
        <v>1</v>
      </c>
      <c r="BP15" s="35" t="s">
        <v>75</v>
      </c>
      <c r="BQ15" s="35" t="s">
        <v>75</v>
      </c>
      <c r="BR15" s="35" t="s">
        <v>75</v>
      </c>
      <c r="BS15" s="24" t="s">
        <v>75</v>
      </c>
      <c r="BT15" s="35" t="s">
        <v>75</v>
      </c>
      <c r="BU15" s="35" t="s">
        <v>75</v>
      </c>
      <c r="BV15" s="35" t="s">
        <v>75</v>
      </c>
      <c r="BW15" s="198" t="s">
        <v>75</v>
      </c>
      <c r="BX15" s="35" t="s">
        <v>75</v>
      </c>
      <c r="BY15" s="35" t="s">
        <v>75</v>
      </c>
      <c r="BZ15" s="35" t="s">
        <v>75</v>
      </c>
      <c r="CA15" s="35" t="s">
        <v>75</v>
      </c>
      <c r="CB15" s="35" t="s">
        <v>75</v>
      </c>
      <c r="CC15" s="35" t="s">
        <v>75</v>
      </c>
      <c r="CD15" s="35" t="s">
        <v>75</v>
      </c>
      <c r="CE15" s="35" t="s">
        <v>75</v>
      </c>
      <c r="CF15" s="35" t="s">
        <v>75</v>
      </c>
      <c r="CG15" s="454" t="s">
        <v>75</v>
      </c>
      <c r="CH15" s="198" t="s">
        <v>75</v>
      </c>
      <c r="CI15" s="35" t="s">
        <v>75</v>
      </c>
      <c r="CJ15" s="35" t="s">
        <v>75</v>
      </c>
      <c r="CK15" s="35" t="s">
        <v>75</v>
      </c>
      <c r="CL15" s="35" t="s">
        <v>75</v>
      </c>
      <c r="CM15" s="35" t="s">
        <v>75</v>
      </c>
      <c r="CN15" s="454" t="s">
        <v>75</v>
      </c>
      <c r="CO15" s="390" t="s">
        <v>75</v>
      </c>
      <c r="CP15" s="35" t="s">
        <v>75</v>
      </c>
      <c r="CQ15" s="35" t="s">
        <v>75</v>
      </c>
      <c r="CR15" s="35" t="s">
        <v>75</v>
      </c>
      <c r="CS15" s="35" t="s">
        <v>75</v>
      </c>
      <c r="CT15" s="454" t="s">
        <v>75</v>
      </c>
      <c r="CU15" s="390" t="s">
        <v>75</v>
      </c>
      <c r="CV15" s="35" t="s">
        <v>75</v>
      </c>
      <c r="CW15" s="35" t="s">
        <v>75</v>
      </c>
      <c r="CX15" s="35" t="s">
        <v>75</v>
      </c>
      <c r="CY15" s="35" t="s">
        <v>75</v>
      </c>
      <c r="CZ15" s="454" t="s">
        <v>75</v>
      </c>
      <c r="DA15" s="198" t="s">
        <v>75</v>
      </c>
      <c r="DB15" s="35" t="s">
        <v>75</v>
      </c>
      <c r="DC15" s="35" t="s">
        <v>75</v>
      </c>
      <c r="DD15" s="35" t="s">
        <v>75</v>
      </c>
      <c r="DE15" s="35" t="s">
        <v>75</v>
      </c>
      <c r="DF15" s="454" t="s">
        <v>75</v>
      </c>
      <c r="DG15" s="198" t="s">
        <v>75</v>
      </c>
      <c r="DH15" s="35" t="s">
        <v>75</v>
      </c>
      <c r="DI15" s="35" t="s">
        <v>75</v>
      </c>
      <c r="DJ15" s="35" t="s">
        <v>75</v>
      </c>
      <c r="DK15" s="35" t="s">
        <v>75</v>
      </c>
      <c r="DL15" s="454" t="s">
        <v>75</v>
      </c>
      <c r="DM15" s="198" t="s">
        <v>75</v>
      </c>
      <c r="DN15" s="35" t="s">
        <v>75</v>
      </c>
      <c r="DO15" s="35" t="s">
        <v>75</v>
      </c>
      <c r="DP15" s="35" t="s">
        <v>75</v>
      </c>
      <c r="DQ15" s="35" t="s">
        <v>75</v>
      </c>
      <c r="DR15" s="454" t="s">
        <v>75</v>
      </c>
      <c r="DS15" s="198" t="s">
        <v>75</v>
      </c>
      <c r="DT15" s="35" t="s">
        <v>75</v>
      </c>
      <c r="DU15" s="35" t="s">
        <v>75</v>
      </c>
      <c r="DV15" s="35" t="s">
        <v>75</v>
      </c>
      <c r="DW15" s="35" t="s">
        <v>75</v>
      </c>
      <c r="DX15" s="454" t="s">
        <v>75</v>
      </c>
      <c r="DY15" s="198" t="s">
        <v>75</v>
      </c>
      <c r="DZ15" s="35" t="s">
        <v>75</v>
      </c>
      <c r="EA15" s="35" t="s">
        <v>75</v>
      </c>
      <c r="EB15" s="35" t="s">
        <v>75</v>
      </c>
      <c r="EC15" s="35" t="s">
        <v>75</v>
      </c>
      <c r="ED15" s="454" t="s">
        <v>75</v>
      </c>
      <c r="EF15" s="35" t="s">
        <v>75</v>
      </c>
      <c r="EG15" s="35" t="s">
        <v>75</v>
      </c>
      <c r="EH15" s="35" t="s">
        <v>75</v>
      </c>
      <c r="EI15" s="35" t="s">
        <v>75</v>
      </c>
      <c r="EJ15" s="454" t="s">
        <v>75</v>
      </c>
      <c r="EK15" s="198" t="s">
        <v>75</v>
      </c>
      <c r="EL15" s="35" t="s">
        <v>75</v>
      </c>
      <c r="EM15" s="35" t="s">
        <v>75</v>
      </c>
      <c r="EN15" s="35" t="s">
        <v>75</v>
      </c>
      <c r="EO15" s="35" t="s">
        <v>75</v>
      </c>
      <c r="EP15" s="454" t="s">
        <v>75</v>
      </c>
      <c r="EQ15" s="198" t="s">
        <v>75</v>
      </c>
      <c r="ER15" s="35" t="s">
        <v>75</v>
      </c>
      <c r="EU15" s="197" t="s">
        <v>75</v>
      </c>
      <c r="EV15" s="35" t="s">
        <v>1842</v>
      </c>
      <c r="EW15" s="35" t="s">
        <v>1840</v>
      </c>
      <c r="EX15" s="35" t="s">
        <v>2094</v>
      </c>
      <c r="EY15" s="35" t="s">
        <v>1387</v>
      </c>
      <c r="EZ15" s="35" t="s">
        <v>2095</v>
      </c>
      <c r="FA15" s="197">
        <v>50</v>
      </c>
      <c r="FB15" s="197">
        <v>0</v>
      </c>
      <c r="FC15" s="403">
        <v>50</v>
      </c>
      <c r="FD15" s="403">
        <v>100</v>
      </c>
      <c r="FE15" s="403">
        <v>50</v>
      </c>
      <c r="FF15" s="403">
        <v>42</v>
      </c>
      <c r="FG15" s="403">
        <v>0</v>
      </c>
      <c r="FH15" s="403">
        <v>42</v>
      </c>
      <c r="FI15" s="403">
        <v>58</v>
      </c>
      <c r="FJ15" s="403">
        <v>8</v>
      </c>
      <c r="FK15" s="403">
        <v>0</v>
      </c>
      <c r="FL15" s="403">
        <v>0</v>
      </c>
      <c r="FM15" s="403">
        <v>58</v>
      </c>
      <c r="FN15" s="403">
        <v>8</v>
      </c>
      <c r="FO15" s="403">
        <v>40</v>
      </c>
      <c r="FP15" s="403">
        <v>0</v>
      </c>
      <c r="FQ15" s="403">
        <v>18</v>
      </c>
      <c r="FR15" s="403">
        <v>8</v>
      </c>
      <c r="FS15" s="453" t="s">
        <v>65</v>
      </c>
      <c r="FU15" s="408" t="str">
        <f t="shared" si="1"/>
        <v>N</v>
      </c>
      <c r="FV15">
        <f>IF(ISERROR(DATEDIF('Debit orders'!$E$1,B15,"M")),0,DATEDIF('Debit orders'!$E$1,B15,"M"))</f>
        <v>0</v>
      </c>
      <c r="FX15" t="s">
        <v>2040</v>
      </c>
      <c r="FY15" t="s">
        <v>2041</v>
      </c>
    </row>
    <row r="16" spans="1:183">
      <c r="A16" s="228">
        <v>42171</v>
      </c>
      <c r="B16" s="228">
        <v>42186</v>
      </c>
      <c r="C16" s="301">
        <v>9575</v>
      </c>
      <c r="D16" s="301">
        <v>50260756</v>
      </c>
      <c r="E16" s="35" t="s">
        <v>2050</v>
      </c>
      <c r="F16" s="35" t="s">
        <v>1353</v>
      </c>
      <c r="G16" s="35" t="s">
        <v>2099</v>
      </c>
      <c r="H16" s="35" t="s">
        <v>2316</v>
      </c>
      <c r="I16" s="35" t="s">
        <v>1358</v>
      </c>
      <c r="J16" s="35" t="s">
        <v>1360</v>
      </c>
      <c r="K16" s="35" t="s">
        <v>2096</v>
      </c>
      <c r="L16" s="300">
        <v>28798</v>
      </c>
      <c r="M16" s="198" t="s">
        <v>2100</v>
      </c>
      <c r="N16" s="35" t="s">
        <v>2101</v>
      </c>
      <c r="O16" s="35" t="s">
        <v>75</v>
      </c>
      <c r="P16" s="35" t="s">
        <v>2102</v>
      </c>
      <c r="Q16" s="35" t="s">
        <v>78</v>
      </c>
      <c r="R16" s="198" t="s">
        <v>2045</v>
      </c>
      <c r="S16" s="35" t="s">
        <v>2101</v>
      </c>
      <c r="T16" s="35" t="s">
        <v>75</v>
      </c>
      <c r="U16" s="35" t="s">
        <v>2102</v>
      </c>
      <c r="V16" s="35" t="s">
        <v>78</v>
      </c>
      <c r="W16" s="198" t="s">
        <v>2045</v>
      </c>
      <c r="X16" s="35" t="s">
        <v>1365</v>
      </c>
      <c r="Y16" s="35" t="s">
        <v>2103</v>
      </c>
      <c r="Z16" s="35" t="s">
        <v>75</v>
      </c>
      <c r="AA16" s="35" t="s">
        <v>75</v>
      </c>
      <c r="AB16" s="35" t="s">
        <v>75</v>
      </c>
      <c r="AC16" s="35" t="s">
        <v>75</v>
      </c>
      <c r="AD16" s="35" t="s">
        <v>75</v>
      </c>
      <c r="AE16" s="35" t="s">
        <v>75</v>
      </c>
      <c r="AF16" s="35" t="s">
        <v>75</v>
      </c>
      <c r="AG16" s="35" t="s">
        <v>75</v>
      </c>
      <c r="AH16" s="35" t="s">
        <v>75</v>
      </c>
      <c r="AI16" s="35" t="s">
        <v>75</v>
      </c>
      <c r="AJ16" s="35" t="s">
        <v>75</v>
      </c>
      <c r="AK16" s="35" t="s">
        <v>75</v>
      </c>
      <c r="AL16" s="35" t="s">
        <v>75</v>
      </c>
      <c r="AM16" s="35" t="s">
        <v>75</v>
      </c>
      <c r="AN16" s="35" t="s">
        <v>75</v>
      </c>
      <c r="AO16" s="35" t="s">
        <v>75</v>
      </c>
      <c r="AP16" s="35" t="s">
        <v>75</v>
      </c>
      <c r="AQ16" s="35" t="s">
        <v>75</v>
      </c>
      <c r="AR16" s="35" t="s">
        <v>75</v>
      </c>
      <c r="AS16" s="35" t="s">
        <v>75</v>
      </c>
      <c r="AT16" s="35" t="s">
        <v>75</v>
      </c>
      <c r="AU16" s="35" t="s">
        <v>75</v>
      </c>
      <c r="AV16" s="198" t="s">
        <v>75</v>
      </c>
      <c r="AW16" s="35" t="s">
        <v>75</v>
      </c>
      <c r="AX16" s="35" t="s">
        <v>75</v>
      </c>
      <c r="AY16" s="35" t="s">
        <v>75</v>
      </c>
      <c r="AZ16" s="35" t="s">
        <v>75</v>
      </c>
      <c r="BA16" s="35" t="s">
        <v>75</v>
      </c>
      <c r="BB16" s="35" t="s">
        <v>75</v>
      </c>
      <c r="BC16" s="35" t="s">
        <v>191</v>
      </c>
      <c r="BD16" s="390">
        <v>1</v>
      </c>
      <c r="BE16" s="35" t="s">
        <v>177</v>
      </c>
      <c r="BF16" s="403">
        <v>58</v>
      </c>
      <c r="BG16" s="403">
        <v>50</v>
      </c>
      <c r="BH16" s="403">
        <v>28</v>
      </c>
      <c r="BI16" s="403">
        <v>0</v>
      </c>
      <c r="BJ16" s="403">
        <v>28</v>
      </c>
      <c r="BK16" s="403">
        <v>30</v>
      </c>
      <c r="BL16" s="35" t="s">
        <v>2104</v>
      </c>
      <c r="BM16" s="35" t="s">
        <v>2058</v>
      </c>
      <c r="BN16" s="35" t="s">
        <v>2097</v>
      </c>
      <c r="BO16" s="24">
        <v>1</v>
      </c>
      <c r="BP16" s="35" t="s">
        <v>75</v>
      </c>
      <c r="BQ16" s="35" t="s">
        <v>75</v>
      </c>
      <c r="BR16" s="35" t="s">
        <v>75</v>
      </c>
      <c r="BS16" s="24" t="s">
        <v>75</v>
      </c>
      <c r="BT16" s="35" t="s">
        <v>75</v>
      </c>
      <c r="BU16" s="35" t="s">
        <v>75</v>
      </c>
      <c r="BV16" s="35" t="s">
        <v>75</v>
      </c>
      <c r="BW16" s="198" t="s">
        <v>75</v>
      </c>
      <c r="BX16" s="35" t="s">
        <v>75</v>
      </c>
      <c r="BY16" s="35" t="s">
        <v>75</v>
      </c>
      <c r="BZ16" s="35" t="s">
        <v>75</v>
      </c>
      <c r="CA16" s="35" t="s">
        <v>75</v>
      </c>
      <c r="CB16" s="35" t="s">
        <v>75</v>
      </c>
      <c r="CC16" s="35" t="s">
        <v>75</v>
      </c>
      <c r="CD16" s="35" t="s">
        <v>75</v>
      </c>
      <c r="CE16" s="35" t="s">
        <v>2099</v>
      </c>
      <c r="CF16" s="35" t="s">
        <v>2097</v>
      </c>
      <c r="CG16" s="454" t="s">
        <v>2105</v>
      </c>
      <c r="CH16" s="198" t="s">
        <v>2079</v>
      </c>
      <c r="CI16" s="35" t="s">
        <v>75</v>
      </c>
      <c r="CJ16" s="35" t="s">
        <v>2106</v>
      </c>
      <c r="CK16" s="35" t="s">
        <v>1613</v>
      </c>
      <c r="CL16" s="35" t="s">
        <v>2099</v>
      </c>
      <c r="CM16" s="35" t="s">
        <v>2098</v>
      </c>
      <c r="CN16" s="454" t="s">
        <v>2107</v>
      </c>
      <c r="CO16" s="390" t="s">
        <v>2108</v>
      </c>
      <c r="CP16" s="35" t="s">
        <v>1623</v>
      </c>
      <c r="CQ16" s="35" t="s">
        <v>75</v>
      </c>
      <c r="CR16" s="35" t="s">
        <v>75</v>
      </c>
      <c r="CS16" s="35" t="s">
        <v>75</v>
      </c>
      <c r="CT16" s="454" t="s">
        <v>75</v>
      </c>
      <c r="CU16" s="390" t="s">
        <v>75</v>
      </c>
      <c r="CV16" s="35" t="s">
        <v>75</v>
      </c>
      <c r="CW16" s="35" t="s">
        <v>75</v>
      </c>
      <c r="CX16" s="35" t="s">
        <v>75</v>
      </c>
      <c r="CY16" s="35" t="s">
        <v>75</v>
      </c>
      <c r="CZ16" s="454" t="s">
        <v>75</v>
      </c>
      <c r="DA16" s="198" t="s">
        <v>75</v>
      </c>
      <c r="DB16" s="35" t="s">
        <v>75</v>
      </c>
      <c r="DC16" s="35" t="s">
        <v>75</v>
      </c>
      <c r="DD16" s="35" t="s">
        <v>75</v>
      </c>
      <c r="DE16" s="35" t="s">
        <v>75</v>
      </c>
      <c r="DF16" s="454" t="s">
        <v>75</v>
      </c>
      <c r="DG16" s="198" t="s">
        <v>75</v>
      </c>
      <c r="DH16" s="35" t="s">
        <v>75</v>
      </c>
      <c r="DI16" s="35" t="s">
        <v>75</v>
      </c>
      <c r="DJ16" s="35" t="s">
        <v>75</v>
      </c>
      <c r="DK16" s="35" t="s">
        <v>75</v>
      </c>
      <c r="DL16" s="454" t="s">
        <v>75</v>
      </c>
      <c r="DM16" s="198" t="s">
        <v>75</v>
      </c>
      <c r="DN16" s="35" t="s">
        <v>75</v>
      </c>
      <c r="DO16" s="35" t="s">
        <v>75</v>
      </c>
      <c r="DP16" s="35" t="s">
        <v>75</v>
      </c>
      <c r="DQ16" s="35" t="s">
        <v>75</v>
      </c>
      <c r="DR16" s="454" t="s">
        <v>75</v>
      </c>
      <c r="DS16" s="198" t="s">
        <v>75</v>
      </c>
      <c r="DT16" s="35" t="s">
        <v>75</v>
      </c>
      <c r="DU16" s="35" t="s">
        <v>75</v>
      </c>
      <c r="DV16" s="35" t="s">
        <v>75</v>
      </c>
      <c r="DW16" s="35" t="s">
        <v>75</v>
      </c>
      <c r="DX16" s="454" t="s">
        <v>75</v>
      </c>
      <c r="DY16" s="198" t="s">
        <v>75</v>
      </c>
      <c r="DZ16" s="35" t="s">
        <v>75</v>
      </c>
      <c r="EA16" s="35" t="s">
        <v>75</v>
      </c>
      <c r="EB16" s="35" t="s">
        <v>75</v>
      </c>
      <c r="EC16" s="35" t="s">
        <v>75</v>
      </c>
      <c r="ED16" s="454" t="s">
        <v>75</v>
      </c>
      <c r="EF16" s="35" t="s">
        <v>75</v>
      </c>
      <c r="EG16" s="35" t="s">
        <v>75</v>
      </c>
      <c r="EH16" s="35" t="s">
        <v>75</v>
      </c>
      <c r="EI16" s="35" t="s">
        <v>75</v>
      </c>
      <c r="EJ16" s="454" t="s">
        <v>75</v>
      </c>
      <c r="EK16" s="198" t="s">
        <v>75</v>
      </c>
      <c r="EL16" s="35" t="s">
        <v>75</v>
      </c>
      <c r="EM16" s="35" t="s">
        <v>75</v>
      </c>
      <c r="EN16" s="35" t="s">
        <v>75</v>
      </c>
      <c r="EO16" s="35" t="s">
        <v>75</v>
      </c>
      <c r="EP16" s="454" t="s">
        <v>75</v>
      </c>
      <c r="EQ16" s="198" t="s">
        <v>75</v>
      </c>
      <c r="ER16" s="35" t="s">
        <v>75</v>
      </c>
      <c r="EU16" s="197" t="s">
        <v>75</v>
      </c>
      <c r="EV16" s="35" t="s">
        <v>177</v>
      </c>
      <c r="EW16" s="35" t="s">
        <v>159</v>
      </c>
      <c r="EX16" s="35" t="s">
        <v>2109</v>
      </c>
      <c r="EY16" s="35" t="s">
        <v>1387</v>
      </c>
      <c r="EZ16" s="35" t="s">
        <v>2110</v>
      </c>
      <c r="FA16" s="197">
        <v>58</v>
      </c>
      <c r="FB16" s="197">
        <v>0</v>
      </c>
      <c r="FC16" s="403">
        <v>50</v>
      </c>
      <c r="FD16" s="403">
        <v>108</v>
      </c>
      <c r="FE16" s="403">
        <v>58</v>
      </c>
      <c r="FF16" s="403">
        <v>28</v>
      </c>
      <c r="FG16" s="403">
        <v>0</v>
      </c>
      <c r="FH16" s="403">
        <v>28</v>
      </c>
      <c r="FI16" s="403">
        <v>80</v>
      </c>
      <c r="FJ16" s="403">
        <v>30</v>
      </c>
      <c r="FK16" s="403">
        <v>0</v>
      </c>
      <c r="FL16" s="403">
        <v>0</v>
      </c>
      <c r="FM16" s="403">
        <v>80</v>
      </c>
      <c r="FN16" s="403">
        <v>30</v>
      </c>
      <c r="FO16" s="403">
        <v>56</v>
      </c>
      <c r="FP16" s="403">
        <v>16</v>
      </c>
      <c r="FQ16" s="403">
        <v>24</v>
      </c>
      <c r="FR16" s="403">
        <v>14</v>
      </c>
      <c r="FS16" s="453" t="s">
        <v>65</v>
      </c>
      <c r="FU16" s="408" t="str">
        <f t="shared" si="1"/>
        <v>N</v>
      </c>
      <c r="FV16">
        <f>IF(ISERROR(DATEDIF('Debit orders'!$E$1,B16,"M")),0,DATEDIF('Debit orders'!$E$1,B16,"M"))</f>
        <v>0</v>
      </c>
      <c r="FX16" t="s">
        <v>2040</v>
      </c>
      <c r="FY16" t="s">
        <v>2041</v>
      </c>
    </row>
    <row r="17" spans="1:180">
      <c r="A17" s="228">
        <v>42142</v>
      </c>
      <c r="B17" s="228">
        <v>42186</v>
      </c>
      <c r="C17" s="301">
        <v>9575</v>
      </c>
      <c r="D17" s="301">
        <v>50260533</v>
      </c>
      <c r="E17" s="35" t="s">
        <v>2152</v>
      </c>
      <c r="F17" s="35" t="s">
        <v>1355</v>
      </c>
      <c r="G17" s="35" t="s">
        <v>2116</v>
      </c>
      <c r="H17" s="35" t="s">
        <v>2117</v>
      </c>
      <c r="I17" s="35" t="s">
        <v>1359</v>
      </c>
      <c r="J17" s="35" t="s">
        <v>1360</v>
      </c>
      <c r="K17" s="35" t="s">
        <v>2112</v>
      </c>
      <c r="L17" s="300">
        <v>26173</v>
      </c>
      <c r="M17" s="198" t="s">
        <v>2118</v>
      </c>
      <c r="N17" s="35" t="s">
        <v>1812</v>
      </c>
      <c r="O17" s="35" t="s">
        <v>75</v>
      </c>
      <c r="P17" s="35" t="s">
        <v>1813</v>
      </c>
      <c r="Q17" s="35" t="s">
        <v>78</v>
      </c>
      <c r="R17" s="198" t="s">
        <v>75</v>
      </c>
      <c r="S17" s="35" t="s">
        <v>1812</v>
      </c>
      <c r="T17" s="35" t="s">
        <v>75</v>
      </c>
      <c r="U17" s="35" t="s">
        <v>1813</v>
      </c>
      <c r="V17" s="35" t="s">
        <v>78</v>
      </c>
      <c r="W17" s="198" t="s">
        <v>75</v>
      </c>
      <c r="X17" s="35" t="s">
        <v>1365</v>
      </c>
      <c r="Y17" s="35" t="s">
        <v>1816</v>
      </c>
      <c r="Z17" s="35" t="s">
        <v>75</v>
      </c>
      <c r="AA17" s="35" t="s">
        <v>1816</v>
      </c>
      <c r="AB17" s="35" t="s">
        <v>1610</v>
      </c>
      <c r="AC17" s="35" t="s">
        <v>2119</v>
      </c>
      <c r="AD17" s="35" t="s">
        <v>75</v>
      </c>
      <c r="AE17" s="35" t="s">
        <v>75</v>
      </c>
      <c r="AF17" s="35" t="s">
        <v>75</v>
      </c>
      <c r="AG17" s="35" t="s">
        <v>75</v>
      </c>
      <c r="AH17" s="35" t="s">
        <v>75</v>
      </c>
      <c r="AI17" s="35" t="s">
        <v>75</v>
      </c>
      <c r="AJ17" s="35" t="s">
        <v>75</v>
      </c>
      <c r="AK17" s="35" t="s">
        <v>75</v>
      </c>
      <c r="AL17" s="35" t="s">
        <v>75</v>
      </c>
      <c r="AM17" s="35" t="s">
        <v>75</v>
      </c>
      <c r="AN17" s="35" t="s">
        <v>75</v>
      </c>
      <c r="AO17" s="35" t="s">
        <v>75</v>
      </c>
      <c r="AP17" s="35" t="s">
        <v>75</v>
      </c>
      <c r="AQ17" s="35" t="s">
        <v>75</v>
      </c>
      <c r="AR17" s="35" t="s">
        <v>75</v>
      </c>
      <c r="AS17" s="35" t="s">
        <v>75</v>
      </c>
      <c r="AT17" s="35" t="s">
        <v>75</v>
      </c>
      <c r="AU17" s="35" t="s">
        <v>75</v>
      </c>
      <c r="AV17" s="198" t="s">
        <v>75</v>
      </c>
      <c r="AW17" s="35" t="s">
        <v>75</v>
      </c>
      <c r="AX17" s="35" t="s">
        <v>75</v>
      </c>
      <c r="AY17" s="35" t="s">
        <v>75</v>
      </c>
      <c r="AZ17" s="35" t="s">
        <v>75</v>
      </c>
      <c r="BA17" s="35" t="s">
        <v>75</v>
      </c>
      <c r="BB17" s="35" t="s">
        <v>75</v>
      </c>
      <c r="BC17" s="35" t="s">
        <v>191</v>
      </c>
      <c r="BD17" s="390">
        <v>1</v>
      </c>
      <c r="BE17" s="35" t="s">
        <v>1721</v>
      </c>
      <c r="BF17" s="403">
        <v>125</v>
      </c>
      <c r="BG17" s="403">
        <v>75</v>
      </c>
      <c r="BH17" s="403">
        <v>28</v>
      </c>
      <c r="BI17" s="403">
        <v>50</v>
      </c>
      <c r="BJ17" s="403">
        <v>78</v>
      </c>
      <c r="BK17" s="403">
        <v>47</v>
      </c>
      <c r="BL17" s="35" t="s">
        <v>2120</v>
      </c>
      <c r="BM17" s="35" t="s">
        <v>1788</v>
      </c>
      <c r="BN17" s="35" t="s">
        <v>2121</v>
      </c>
      <c r="BO17" s="24">
        <v>1</v>
      </c>
      <c r="BP17" s="35" t="s">
        <v>75</v>
      </c>
      <c r="BQ17" s="35" t="s">
        <v>75</v>
      </c>
      <c r="BR17" s="35" t="s">
        <v>75</v>
      </c>
      <c r="BS17" s="24" t="s">
        <v>75</v>
      </c>
      <c r="BT17" s="35" t="s">
        <v>75</v>
      </c>
      <c r="BU17" s="35" t="s">
        <v>75</v>
      </c>
      <c r="BV17" s="35" t="s">
        <v>75</v>
      </c>
      <c r="BW17" s="198" t="s">
        <v>75</v>
      </c>
      <c r="BX17" s="35" t="s">
        <v>75</v>
      </c>
      <c r="BY17" s="35" t="s">
        <v>75</v>
      </c>
      <c r="BZ17" s="35" t="s">
        <v>75</v>
      </c>
      <c r="CA17" s="35" t="s">
        <v>75</v>
      </c>
      <c r="CB17" s="35" t="s">
        <v>75</v>
      </c>
      <c r="CC17" s="35" t="s">
        <v>75</v>
      </c>
      <c r="CD17" s="35" t="s">
        <v>2120</v>
      </c>
      <c r="CE17" s="35" t="s">
        <v>2116</v>
      </c>
      <c r="CF17" s="35" t="s">
        <v>2113</v>
      </c>
      <c r="CG17" s="456" t="s">
        <v>2122</v>
      </c>
      <c r="CH17" s="198" t="s">
        <v>1390</v>
      </c>
      <c r="CI17" s="35" t="s">
        <v>2123</v>
      </c>
      <c r="CJ17" s="35" t="s">
        <v>1952</v>
      </c>
      <c r="CK17" s="35" t="s">
        <v>2124</v>
      </c>
      <c r="CL17" s="35" t="s">
        <v>2116</v>
      </c>
      <c r="CM17" s="35" t="s">
        <v>2114</v>
      </c>
      <c r="CN17" s="456" t="s">
        <v>2125</v>
      </c>
      <c r="CO17" s="390" t="s">
        <v>1915</v>
      </c>
      <c r="CP17" s="35" t="s">
        <v>1400</v>
      </c>
      <c r="CQ17" s="35" t="s">
        <v>1973</v>
      </c>
      <c r="CR17" s="35" t="s">
        <v>2116</v>
      </c>
      <c r="CS17" s="35" t="s">
        <v>2115</v>
      </c>
      <c r="CT17" s="456" t="s">
        <v>2126</v>
      </c>
      <c r="CU17" s="390" t="s">
        <v>1592</v>
      </c>
      <c r="CV17" s="35" t="s">
        <v>1400</v>
      </c>
      <c r="CW17" s="35" t="s">
        <v>75</v>
      </c>
      <c r="CX17" s="35" t="s">
        <v>75</v>
      </c>
      <c r="CY17" s="35" t="s">
        <v>75</v>
      </c>
      <c r="CZ17" s="456" t="s">
        <v>75</v>
      </c>
      <c r="DA17" s="198" t="s">
        <v>75</v>
      </c>
      <c r="DB17" s="35" t="s">
        <v>75</v>
      </c>
      <c r="DC17" s="35" t="s">
        <v>75</v>
      </c>
      <c r="DD17" s="35" t="s">
        <v>75</v>
      </c>
      <c r="DE17" s="35" t="s">
        <v>75</v>
      </c>
      <c r="DF17" s="456" t="s">
        <v>75</v>
      </c>
      <c r="DG17" s="198" t="s">
        <v>75</v>
      </c>
      <c r="DH17" s="35" t="s">
        <v>75</v>
      </c>
      <c r="DI17" s="35" t="s">
        <v>75</v>
      </c>
      <c r="DJ17" s="35" t="s">
        <v>75</v>
      </c>
      <c r="DK17" s="35" t="s">
        <v>75</v>
      </c>
      <c r="DL17" s="456" t="s">
        <v>75</v>
      </c>
      <c r="DM17" s="198" t="s">
        <v>75</v>
      </c>
      <c r="DN17" s="35" t="s">
        <v>75</v>
      </c>
      <c r="DO17" s="35" t="s">
        <v>75</v>
      </c>
      <c r="DP17" s="35" t="s">
        <v>75</v>
      </c>
      <c r="DQ17" s="35" t="s">
        <v>75</v>
      </c>
      <c r="DR17" s="456" t="s">
        <v>75</v>
      </c>
      <c r="DS17" s="198" t="s">
        <v>75</v>
      </c>
      <c r="DT17" s="35" t="s">
        <v>75</v>
      </c>
      <c r="DU17" s="35" t="s">
        <v>75</v>
      </c>
      <c r="DV17" s="35" t="s">
        <v>75</v>
      </c>
      <c r="DW17" s="35" t="s">
        <v>75</v>
      </c>
      <c r="DX17" s="456" t="s">
        <v>75</v>
      </c>
      <c r="DY17" s="198" t="s">
        <v>75</v>
      </c>
      <c r="DZ17" s="35" t="s">
        <v>75</v>
      </c>
      <c r="EA17" s="35" t="s">
        <v>75</v>
      </c>
      <c r="EB17" s="35" t="s">
        <v>75</v>
      </c>
      <c r="EC17" s="35" t="s">
        <v>75</v>
      </c>
      <c r="ED17" s="456" t="s">
        <v>75</v>
      </c>
      <c r="EF17" s="35" t="s">
        <v>75</v>
      </c>
      <c r="EG17" s="35" t="s">
        <v>75</v>
      </c>
      <c r="EH17" s="35" t="s">
        <v>75</v>
      </c>
      <c r="EI17" s="35" t="s">
        <v>75</v>
      </c>
      <c r="EJ17" s="456" t="s">
        <v>75</v>
      </c>
      <c r="EK17" s="198" t="s">
        <v>75</v>
      </c>
      <c r="EL17" s="35" t="s">
        <v>75</v>
      </c>
      <c r="EM17" s="35" t="s">
        <v>75</v>
      </c>
      <c r="EN17" s="35" t="s">
        <v>75</v>
      </c>
      <c r="EO17" s="35" t="s">
        <v>75</v>
      </c>
      <c r="EP17" s="456" t="s">
        <v>75</v>
      </c>
      <c r="EQ17" s="198" t="s">
        <v>75</v>
      </c>
      <c r="ER17" s="35" t="s">
        <v>75</v>
      </c>
      <c r="EU17" s="197" t="s">
        <v>75</v>
      </c>
      <c r="EV17" s="35" t="s">
        <v>1721</v>
      </c>
      <c r="EW17" s="35" t="s">
        <v>139</v>
      </c>
      <c r="EX17" s="35" t="s">
        <v>2127</v>
      </c>
      <c r="EY17" s="35" t="s">
        <v>1387</v>
      </c>
      <c r="EZ17" s="35" t="s">
        <v>2128</v>
      </c>
      <c r="FA17" s="197">
        <v>125</v>
      </c>
      <c r="FB17" s="197">
        <v>0</v>
      </c>
      <c r="FC17" s="403">
        <v>75</v>
      </c>
      <c r="FD17" s="403">
        <v>200</v>
      </c>
      <c r="FE17" s="403">
        <v>125</v>
      </c>
      <c r="FF17" s="403">
        <v>28</v>
      </c>
      <c r="FG17" s="403">
        <v>0</v>
      </c>
      <c r="FH17" s="403">
        <v>28</v>
      </c>
      <c r="FI17" s="403">
        <v>172</v>
      </c>
      <c r="FJ17" s="403">
        <v>97</v>
      </c>
      <c r="FK17" s="403">
        <v>50</v>
      </c>
      <c r="FL17" s="403">
        <v>50</v>
      </c>
      <c r="FM17" s="403">
        <v>122</v>
      </c>
      <c r="FN17" s="403">
        <v>47</v>
      </c>
      <c r="FO17" s="403">
        <v>80</v>
      </c>
      <c r="FP17" s="403">
        <v>17</v>
      </c>
      <c r="FQ17" s="403">
        <v>42</v>
      </c>
      <c r="FR17" s="403">
        <v>30</v>
      </c>
      <c r="FS17" s="455" t="s">
        <v>65</v>
      </c>
      <c r="FU17" s="408" t="str">
        <f t="shared" ref="FU17:FU26" si="2">IF(AND(FS17="Active",BC17="debit order",FV17&lt;1),"Y","N")</f>
        <v>N</v>
      </c>
      <c r="FV17">
        <f>IF(ISERROR(DATEDIF('Debit orders'!$E$1,B17,"M")),0,DATEDIF('Debit orders'!$E$1,B17,"M"))</f>
        <v>0</v>
      </c>
    </row>
    <row r="18" spans="1:180">
      <c r="A18" s="228">
        <v>42142</v>
      </c>
      <c r="B18" s="228">
        <v>42186</v>
      </c>
      <c r="C18" s="301">
        <v>9575</v>
      </c>
      <c r="D18" s="301">
        <v>50260558</v>
      </c>
      <c r="E18" s="35" t="s">
        <v>2152</v>
      </c>
      <c r="F18" s="35" t="s">
        <v>1353</v>
      </c>
      <c r="G18" s="35" t="s">
        <v>2134</v>
      </c>
      <c r="H18" s="35" t="s">
        <v>2135</v>
      </c>
      <c r="I18" s="35" t="s">
        <v>1359</v>
      </c>
      <c r="J18" s="35" t="s">
        <v>1360</v>
      </c>
      <c r="K18" s="35" t="s">
        <v>2129</v>
      </c>
      <c r="L18" s="300">
        <v>27660</v>
      </c>
      <c r="M18" s="198" t="s">
        <v>1604</v>
      </c>
      <c r="N18" s="35" t="s">
        <v>2136</v>
      </c>
      <c r="O18" s="35" t="s">
        <v>75</v>
      </c>
      <c r="P18" s="35" t="s">
        <v>1813</v>
      </c>
      <c r="Q18" s="35" t="s">
        <v>78</v>
      </c>
      <c r="R18" s="198" t="s">
        <v>75</v>
      </c>
      <c r="S18" s="35" t="s">
        <v>2136</v>
      </c>
      <c r="T18" s="35" t="s">
        <v>75</v>
      </c>
      <c r="U18" s="35" t="s">
        <v>1813</v>
      </c>
      <c r="V18" s="35" t="s">
        <v>78</v>
      </c>
      <c r="W18" s="198" t="s">
        <v>75</v>
      </c>
      <c r="X18" s="35" t="s">
        <v>1365</v>
      </c>
      <c r="Y18" s="35" t="s">
        <v>2137</v>
      </c>
      <c r="Z18" s="35" t="s">
        <v>75</v>
      </c>
      <c r="AA18" s="35" t="s">
        <v>2137</v>
      </c>
      <c r="AB18" s="35" t="s">
        <v>1610</v>
      </c>
      <c r="AC18" s="35" t="s">
        <v>2138</v>
      </c>
      <c r="AD18" s="35" t="s">
        <v>75</v>
      </c>
      <c r="AE18" s="35" t="s">
        <v>75</v>
      </c>
      <c r="AF18" s="35" t="s">
        <v>75</v>
      </c>
      <c r="AG18" s="35" t="s">
        <v>75</v>
      </c>
      <c r="AH18" s="35" t="s">
        <v>75</v>
      </c>
      <c r="AI18" s="35" t="s">
        <v>75</v>
      </c>
      <c r="AJ18" s="35" t="s">
        <v>75</v>
      </c>
      <c r="AK18" s="35" t="s">
        <v>75</v>
      </c>
      <c r="AL18" s="35" t="s">
        <v>75</v>
      </c>
      <c r="AM18" s="35" t="s">
        <v>75</v>
      </c>
      <c r="AN18" s="35" t="s">
        <v>75</v>
      </c>
      <c r="AO18" s="35" t="s">
        <v>75</v>
      </c>
      <c r="AP18" s="35" t="s">
        <v>75</v>
      </c>
      <c r="AQ18" s="35" t="s">
        <v>75</v>
      </c>
      <c r="AR18" s="35" t="s">
        <v>75</v>
      </c>
      <c r="AS18" s="35" t="s">
        <v>75</v>
      </c>
      <c r="AT18" s="35" t="s">
        <v>75</v>
      </c>
      <c r="AU18" s="35" t="s">
        <v>75</v>
      </c>
      <c r="AV18" s="198" t="s">
        <v>75</v>
      </c>
      <c r="AW18" s="35" t="s">
        <v>75</v>
      </c>
      <c r="AX18" s="35" t="s">
        <v>75</v>
      </c>
      <c r="AY18" s="35" t="s">
        <v>75</v>
      </c>
      <c r="AZ18" s="35" t="s">
        <v>75</v>
      </c>
      <c r="BA18" s="35" t="s">
        <v>75</v>
      </c>
      <c r="BB18" s="35" t="s">
        <v>75</v>
      </c>
      <c r="BC18" s="35" t="s">
        <v>191</v>
      </c>
      <c r="BD18" s="390">
        <v>1</v>
      </c>
      <c r="BE18" s="35" t="s">
        <v>1721</v>
      </c>
      <c r="BF18" s="403">
        <v>125</v>
      </c>
      <c r="BG18" s="403">
        <v>75</v>
      </c>
      <c r="BH18" s="403">
        <v>28</v>
      </c>
      <c r="BI18" s="403">
        <v>50</v>
      </c>
      <c r="BJ18" s="403">
        <v>78</v>
      </c>
      <c r="BK18" s="403">
        <v>47</v>
      </c>
      <c r="BL18" s="35" t="s">
        <v>2139</v>
      </c>
      <c r="BM18" s="35" t="s">
        <v>2134</v>
      </c>
      <c r="BN18" s="35" t="s">
        <v>2130</v>
      </c>
      <c r="BO18" s="24">
        <v>1</v>
      </c>
      <c r="BP18" s="35" t="s">
        <v>75</v>
      </c>
      <c r="BQ18" s="35" t="s">
        <v>75</v>
      </c>
      <c r="BR18" s="35" t="s">
        <v>75</v>
      </c>
      <c r="BS18" s="24" t="s">
        <v>75</v>
      </c>
      <c r="BT18" s="35" t="s">
        <v>75</v>
      </c>
      <c r="BU18" s="35" t="s">
        <v>75</v>
      </c>
      <c r="BV18" s="35" t="s">
        <v>75</v>
      </c>
      <c r="BW18" s="198" t="s">
        <v>75</v>
      </c>
      <c r="BX18" s="35" t="s">
        <v>75</v>
      </c>
      <c r="BY18" s="35" t="s">
        <v>75</v>
      </c>
      <c r="BZ18" s="35" t="s">
        <v>75</v>
      </c>
      <c r="CA18" s="35" t="s">
        <v>75</v>
      </c>
      <c r="CB18" s="35" t="s">
        <v>75</v>
      </c>
      <c r="CC18" s="35" t="s">
        <v>75</v>
      </c>
      <c r="CD18" s="35" t="s">
        <v>2139</v>
      </c>
      <c r="CE18" s="35" t="s">
        <v>2134</v>
      </c>
      <c r="CF18" s="35" t="s">
        <v>2130</v>
      </c>
      <c r="CG18" s="456" t="s">
        <v>2140</v>
      </c>
      <c r="CH18" s="198" t="s">
        <v>2141</v>
      </c>
      <c r="CI18" s="35" t="s">
        <v>2137</v>
      </c>
      <c r="CJ18" s="35" t="s">
        <v>2142</v>
      </c>
      <c r="CK18" s="35" t="s">
        <v>1918</v>
      </c>
      <c r="CL18" s="35" t="s">
        <v>2134</v>
      </c>
      <c r="CM18" s="35" t="s">
        <v>2131</v>
      </c>
      <c r="CN18" s="456" t="s">
        <v>2143</v>
      </c>
      <c r="CO18" s="390" t="s">
        <v>2144</v>
      </c>
      <c r="CP18" s="35" t="s">
        <v>1623</v>
      </c>
      <c r="CQ18" s="35" t="s">
        <v>2145</v>
      </c>
      <c r="CR18" s="35" t="s">
        <v>2134</v>
      </c>
      <c r="CS18" s="35" t="s">
        <v>2132</v>
      </c>
      <c r="CT18" s="456" t="s">
        <v>2146</v>
      </c>
      <c r="CU18" s="390" t="s">
        <v>1399</v>
      </c>
      <c r="CV18" s="35" t="s">
        <v>1623</v>
      </c>
      <c r="CW18" s="35" t="s">
        <v>2147</v>
      </c>
      <c r="CX18" s="35" t="s">
        <v>2134</v>
      </c>
      <c r="CY18" s="35" t="s">
        <v>2133</v>
      </c>
      <c r="CZ18" s="456" t="s">
        <v>2148</v>
      </c>
      <c r="DA18" s="198" t="s">
        <v>2149</v>
      </c>
      <c r="DB18" s="35" t="s">
        <v>1623</v>
      </c>
      <c r="DC18" s="35" t="s">
        <v>75</v>
      </c>
      <c r="DD18" s="35" t="s">
        <v>75</v>
      </c>
      <c r="DE18" s="35" t="s">
        <v>75</v>
      </c>
      <c r="DF18" s="456" t="s">
        <v>75</v>
      </c>
      <c r="DG18" s="198" t="s">
        <v>75</v>
      </c>
      <c r="DH18" s="35" t="s">
        <v>75</v>
      </c>
      <c r="DI18" s="35" t="s">
        <v>75</v>
      </c>
      <c r="DJ18" s="35" t="s">
        <v>75</v>
      </c>
      <c r="DK18" s="35" t="s">
        <v>75</v>
      </c>
      <c r="DL18" s="456" t="s">
        <v>75</v>
      </c>
      <c r="DM18" s="198" t="s">
        <v>75</v>
      </c>
      <c r="DN18" s="35" t="s">
        <v>75</v>
      </c>
      <c r="DO18" s="35" t="s">
        <v>75</v>
      </c>
      <c r="DP18" s="35" t="s">
        <v>75</v>
      </c>
      <c r="DQ18" s="35" t="s">
        <v>75</v>
      </c>
      <c r="DR18" s="456" t="s">
        <v>75</v>
      </c>
      <c r="DS18" s="198" t="s">
        <v>75</v>
      </c>
      <c r="DT18" s="35" t="s">
        <v>75</v>
      </c>
      <c r="DU18" s="35" t="s">
        <v>75</v>
      </c>
      <c r="DV18" s="35" t="s">
        <v>75</v>
      </c>
      <c r="DW18" s="35" t="s">
        <v>75</v>
      </c>
      <c r="DX18" s="456" t="s">
        <v>75</v>
      </c>
      <c r="DY18" s="198" t="s">
        <v>75</v>
      </c>
      <c r="DZ18" s="35" t="s">
        <v>75</v>
      </c>
      <c r="EA18" s="35" t="s">
        <v>75</v>
      </c>
      <c r="EB18" s="35" t="s">
        <v>75</v>
      </c>
      <c r="EC18" s="35" t="s">
        <v>75</v>
      </c>
      <c r="ED18" s="456" t="s">
        <v>75</v>
      </c>
      <c r="EF18" s="35" t="s">
        <v>75</v>
      </c>
      <c r="EG18" s="35" t="s">
        <v>75</v>
      </c>
      <c r="EH18" s="35" t="s">
        <v>75</v>
      </c>
      <c r="EI18" s="35" t="s">
        <v>75</v>
      </c>
      <c r="EJ18" s="456" t="s">
        <v>75</v>
      </c>
      <c r="EK18" s="198" t="s">
        <v>75</v>
      </c>
      <c r="EL18" s="35" t="s">
        <v>75</v>
      </c>
      <c r="EM18" s="35" t="s">
        <v>75</v>
      </c>
      <c r="EN18" s="35" t="s">
        <v>75</v>
      </c>
      <c r="EO18" s="35" t="s">
        <v>75</v>
      </c>
      <c r="EP18" s="456" t="s">
        <v>75</v>
      </c>
      <c r="EQ18" s="198" t="s">
        <v>75</v>
      </c>
      <c r="ER18" s="35" t="s">
        <v>75</v>
      </c>
      <c r="EU18" s="197" t="s">
        <v>75</v>
      </c>
      <c r="EV18" s="35" t="s">
        <v>1721</v>
      </c>
      <c r="EW18" s="35" t="s">
        <v>139</v>
      </c>
      <c r="EX18" s="35" t="s">
        <v>2150</v>
      </c>
      <c r="EY18" s="35" t="s">
        <v>1387</v>
      </c>
      <c r="EZ18" s="35" t="s">
        <v>2151</v>
      </c>
      <c r="FA18" s="197">
        <v>125</v>
      </c>
      <c r="FB18" s="197">
        <v>0</v>
      </c>
      <c r="FC18" s="403">
        <v>75</v>
      </c>
      <c r="FD18" s="403">
        <v>200</v>
      </c>
      <c r="FE18" s="403">
        <v>125</v>
      </c>
      <c r="FF18" s="403">
        <v>28</v>
      </c>
      <c r="FG18" s="403">
        <v>0</v>
      </c>
      <c r="FH18" s="403">
        <v>28</v>
      </c>
      <c r="FI18" s="403">
        <v>172</v>
      </c>
      <c r="FJ18" s="403">
        <v>97</v>
      </c>
      <c r="FK18" s="403">
        <v>50</v>
      </c>
      <c r="FL18" s="403">
        <v>50</v>
      </c>
      <c r="FM18" s="403">
        <v>122</v>
      </c>
      <c r="FN18" s="403">
        <v>47</v>
      </c>
      <c r="FO18" s="403">
        <v>80</v>
      </c>
      <c r="FP18" s="403">
        <v>17</v>
      </c>
      <c r="FQ18" s="403">
        <v>42</v>
      </c>
      <c r="FR18" s="403">
        <v>30</v>
      </c>
      <c r="FS18" s="455" t="s">
        <v>65</v>
      </c>
      <c r="FU18" s="408" t="str">
        <f t="shared" si="2"/>
        <v>N</v>
      </c>
      <c r="FV18">
        <f>IF(ISERROR(DATEDIF('Debit orders'!$E$1,B18,"M")),0,DATEDIF('Debit orders'!$E$1,B18,"M"))</f>
        <v>0</v>
      </c>
    </row>
    <row r="19" spans="1:180">
      <c r="A19" s="228">
        <v>42173</v>
      </c>
      <c r="B19" s="228">
        <v>42186</v>
      </c>
      <c r="C19" s="301">
        <v>9575</v>
      </c>
      <c r="D19" s="301">
        <v>50260020</v>
      </c>
      <c r="E19" s="35" t="s">
        <v>279</v>
      </c>
      <c r="F19" s="35" t="s">
        <v>1354</v>
      </c>
      <c r="G19" s="35" t="s">
        <v>2158</v>
      </c>
      <c r="H19" s="35" t="s">
        <v>2159</v>
      </c>
      <c r="I19" s="35" t="s">
        <v>1359</v>
      </c>
      <c r="J19" s="35" t="s">
        <v>1360</v>
      </c>
      <c r="K19" s="35" t="s">
        <v>2154</v>
      </c>
      <c r="L19" s="300">
        <v>29082</v>
      </c>
      <c r="M19" s="198" t="s">
        <v>1899</v>
      </c>
      <c r="N19" s="35" t="s">
        <v>2160</v>
      </c>
      <c r="O19" s="35" t="s">
        <v>75</v>
      </c>
      <c r="P19" s="35" t="s">
        <v>2161</v>
      </c>
      <c r="Q19" s="35" t="s">
        <v>78</v>
      </c>
      <c r="R19" s="198" t="s">
        <v>1298</v>
      </c>
      <c r="S19" s="35" t="s">
        <v>2160</v>
      </c>
      <c r="T19" s="35" t="s">
        <v>75</v>
      </c>
      <c r="U19" s="35" t="s">
        <v>2161</v>
      </c>
      <c r="V19" s="35" t="s">
        <v>78</v>
      </c>
      <c r="W19" s="198" t="s">
        <v>1298</v>
      </c>
      <c r="X19" s="35" t="s">
        <v>1365</v>
      </c>
      <c r="Y19" s="35" t="s">
        <v>2162</v>
      </c>
      <c r="Z19" s="35" t="s">
        <v>75</v>
      </c>
      <c r="AA19" s="35" t="s">
        <v>75</v>
      </c>
      <c r="AB19" s="35" t="s">
        <v>75</v>
      </c>
      <c r="AC19" s="35" t="s">
        <v>75</v>
      </c>
      <c r="AD19" s="35" t="s">
        <v>75</v>
      </c>
      <c r="AE19" s="35" t="s">
        <v>75</v>
      </c>
      <c r="AF19" s="35" t="s">
        <v>75</v>
      </c>
      <c r="AG19" s="35" t="s">
        <v>75</v>
      </c>
      <c r="AH19" s="35" t="s">
        <v>75</v>
      </c>
      <c r="AI19" s="35" t="s">
        <v>75</v>
      </c>
      <c r="AJ19" s="35" t="s">
        <v>75</v>
      </c>
      <c r="AK19" s="35" t="s">
        <v>75</v>
      </c>
      <c r="AL19" s="35" t="s">
        <v>75</v>
      </c>
      <c r="AM19" s="35" t="s">
        <v>75</v>
      </c>
      <c r="AN19" s="35" t="s">
        <v>75</v>
      </c>
      <c r="AO19" s="35" t="s">
        <v>75</v>
      </c>
      <c r="AP19" s="35" t="s">
        <v>75</v>
      </c>
      <c r="AQ19" s="35" t="s">
        <v>75</v>
      </c>
      <c r="AR19" s="35" t="s">
        <v>75</v>
      </c>
      <c r="AS19" s="35" t="s">
        <v>75</v>
      </c>
      <c r="AT19" s="35" t="s">
        <v>75</v>
      </c>
      <c r="AU19" s="35" t="s">
        <v>75</v>
      </c>
      <c r="AV19" s="198" t="s">
        <v>75</v>
      </c>
      <c r="AW19" s="35" t="s">
        <v>2163</v>
      </c>
      <c r="AX19" s="35" t="s">
        <v>241</v>
      </c>
      <c r="AY19" s="35" t="s">
        <v>2164</v>
      </c>
      <c r="AZ19" s="35" t="s">
        <v>75</v>
      </c>
      <c r="BA19" s="35" t="s">
        <v>2165</v>
      </c>
      <c r="BB19" s="35" t="s">
        <v>254</v>
      </c>
      <c r="BC19" s="35" t="s">
        <v>197</v>
      </c>
      <c r="BD19" s="390">
        <v>1</v>
      </c>
      <c r="BE19" s="35" t="s">
        <v>1733</v>
      </c>
      <c r="BF19" s="403">
        <v>95</v>
      </c>
      <c r="BG19" s="403">
        <v>50</v>
      </c>
      <c r="BH19" s="403">
        <v>50</v>
      </c>
      <c r="BI19" s="403">
        <v>0</v>
      </c>
      <c r="BJ19" s="403">
        <v>50</v>
      </c>
      <c r="BK19" s="403">
        <v>45</v>
      </c>
      <c r="BL19" s="35" t="s">
        <v>1911</v>
      </c>
      <c r="BM19" s="35" t="s">
        <v>2166</v>
      </c>
      <c r="BN19" s="35" t="s">
        <v>2155</v>
      </c>
      <c r="BO19" s="24">
        <v>1</v>
      </c>
      <c r="BP19" s="35" t="s">
        <v>75</v>
      </c>
      <c r="BQ19" s="35" t="s">
        <v>75</v>
      </c>
      <c r="BR19" s="35" t="s">
        <v>75</v>
      </c>
      <c r="BS19" s="24" t="s">
        <v>75</v>
      </c>
      <c r="BT19" s="35" t="s">
        <v>75</v>
      </c>
      <c r="BU19" s="35" t="s">
        <v>75</v>
      </c>
      <c r="BV19" s="35" t="s">
        <v>75</v>
      </c>
      <c r="BW19" s="198" t="s">
        <v>75</v>
      </c>
      <c r="BX19" s="35" t="s">
        <v>75</v>
      </c>
      <c r="BY19" s="35" t="s">
        <v>75</v>
      </c>
      <c r="BZ19" s="35" t="s">
        <v>75</v>
      </c>
      <c r="CA19" s="35" t="s">
        <v>75</v>
      </c>
      <c r="CB19" s="35" t="s">
        <v>75</v>
      </c>
      <c r="CC19" s="35" t="s">
        <v>75</v>
      </c>
      <c r="CD19" s="35" t="s">
        <v>1911</v>
      </c>
      <c r="CE19" s="35" t="s">
        <v>2166</v>
      </c>
      <c r="CF19" s="35" t="s">
        <v>2155</v>
      </c>
      <c r="CG19" s="458" t="s">
        <v>2167</v>
      </c>
      <c r="CH19" s="198" t="s">
        <v>2168</v>
      </c>
      <c r="CI19" s="35" t="s">
        <v>75</v>
      </c>
      <c r="CJ19" s="35" t="s">
        <v>2169</v>
      </c>
      <c r="CK19" s="35" t="s">
        <v>1359</v>
      </c>
      <c r="CL19" s="35" t="s">
        <v>2158</v>
      </c>
      <c r="CM19" s="35" t="s">
        <v>2156</v>
      </c>
      <c r="CN19" s="458" t="s">
        <v>2170</v>
      </c>
      <c r="CO19" s="390" t="s">
        <v>2144</v>
      </c>
      <c r="CP19" s="35" t="s">
        <v>1400</v>
      </c>
      <c r="CQ19" s="35" t="s">
        <v>1620</v>
      </c>
      <c r="CR19" s="35" t="s">
        <v>2158</v>
      </c>
      <c r="CS19" s="35" t="s">
        <v>2157</v>
      </c>
      <c r="CT19" s="458" t="s">
        <v>2171</v>
      </c>
      <c r="CU19" s="390" t="s">
        <v>1956</v>
      </c>
      <c r="CV19" s="35" t="s">
        <v>1400</v>
      </c>
      <c r="CW19" s="35" t="s">
        <v>75</v>
      </c>
      <c r="CX19" s="35" t="s">
        <v>75</v>
      </c>
      <c r="CY19" s="35" t="s">
        <v>75</v>
      </c>
      <c r="CZ19" s="458" t="s">
        <v>75</v>
      </c>
      <c r="DA19" s="198" t="s">
        <v>75</v>
      </c>
      <c r="DB19" s="35" t="s">
        <v>75</v>
      </c>
      <c r="DC19" s="35" t="s">
        <v>75</v>
      </c>
      <c r="DD19" s="35" t="s">
        <v>75</v>
      </c>
      <c r="DE19" s="35" t="s">
        <v>75</v>
      </c>
      <c r="DF19" s="458" t="s">
        <v>75</v>
      </c>
      <c r="DG19" s="198" t="s">
        <v>75</v>
      </c>
      <c r="DH19" s="35" t="s">
        <v>75</v>
      </c>
      <c r="DI19" s="35" t="s">
        <v>75</v>
      </c>
      <c r="DJ19" s="35" t="s">
        <v>75</v>
      </c>
      <c r="DK19" s="35" t="s">
        <v>75</v>
      </c>
      <c r="DL19" s="458" t="s">
        <v>75</v>
      </c>
      <c r="DM19" s="198" t="s">
        <v>75</v>
      </c>
      <c r="DN19" s="35" t="s">
        <v>75</v>
      </c>
      <c r="DO19" s="35" t="s">
        <v>75</v>
      </c>
      <c r="DP19" s="35" t="s">
        <v>75</v>
      </c>
      <c r="DQ19" s="35" t="s">
        <v>75</v>
      </c>
      <c r="DR19" s="458" t="s">
        <v>75</v>
      </c>
      <c r="DS19" s="198" t="s">
        <v>75</v>
      </c>
      <c r="DT19" s="35" t="s">
        <v>75</v>
      </c>
      <c r="DU19" s="35" t="s">
        <v>75</v>
      </c>
      <c r="DV19" s="35" t="s">
        <v>75</v>
      </c>
      <c r="DW19" s="35" t="s">
        <v>75</v>
      </c>
      <c r="DX19" s="458" t="s">
        <v>75</v>
      </c>
      <c r="DY19" s="198" t="s">
        <v>75</v>
      </c>
      <c r="DZ19" s="35" t="s">
        <v>75</v>
      </c>
      <c r="EA19" s="35" t="s">
        <v>75</v>
      </c>
      <c r="EB19" s="35" t="s">
        <v>75</v>
      </c>
      <c r="EC19" s="35" t="s">
        <v>75</v>
      </c>
      <c r="ED19" s="458" t="s">
        <v>75</v>
      </c>
      <c r="EF19" s="35" t="s">
        <v>75</v>
      </c>
      <c r="EG19" s="35" t="s">
        <v>75</v>
      </c>
      <c r="EH19" s="35" t="s">
        <v>75</v>
      </c>
      <c r="EI19" s="35" t="s">
        <v>75</v>
      </c>
      <c r="EJ19" s="458" t="s">
        <v>75</v>
      </c>
      <c r="EK19" s="198" t="s">
        <v>75</v>
      </c>
      <c r="EL19" s="35" t="s">
        <v>75</v>
      </c>
      <c r="EM19" s="35" t="s">
        <v>75</v>
      </c>
      <c r="EN19" s="35" t="s">
        <v>75</v>
      </c>
      <c r="EO19" s="35" t="s">
        <v>75</v>
      </c>
      <c r="EP19" s="458" t="s">
        <v>75</v>
      </c>
      <c r="EQ19" s="198" t="s">
        <v>75</v>
      </c>
      <c r="ER19" s="35" t="s">
        <v>75</v>
      </c>
      <c r="EU19" s="197" t="s">
        <v>75</v>
      </c>
      <c r="EV19" s="35" t="s">
        <v>1733</v>
      </c>
      <c r="EW19" s="35" t="s">
        <v>157</v>
      </c>
      <c r="EX19" s="35" t="s">
        <v>2172</v>
      </c>
      <c r="EY19" s="35" t="s">
        <v>1387</v>
      </c>
      <c r="EZ19" s="35" t="s">
        <v>2173</v>
      </c>
      <c r="FA19" s="197">
        <v>95</v>
      </c>
      <c r="FB19" s="197">
        <v>0</v>
      </c>
      <c r="FC19" s="403">
        <v>50</v>
      </c>
      <c r="FD19" s="403">
        <v>145</v>
      </c>
      <c r="FE19" s="403">
        <v>95</v>
      </c>
      <c r="FF19" s="403">
        <v>50</v>
      </c>
      <c r="FG19" s="403">
        <v>0</v>
      </c>
      <c r="FH19" s="403">
        <v>50</v>
      </c>
      <c r="FI19" s="403">
        <v>95</v>
      </c>
      <c r="FJ19" s="403">
        <v>45</v>
      </c>
      <c r="FK19" s="403">
        <v>0</v>
      </c>
      <c r="FL19" s="403">
        <v>0</v>
      </c>
      <c r="FM19" s="403">
        <v>95</v>
      </c>
      <c r="FN19" s="403">
        <v>45</v>
      </c>
      <c r="FO19" s="403">
        <v>72</v>
      </c>
      <c r="FP19" s="403">
        <v>22</v>
      </c>
      <c r="FQ19" s="403">
        <v>24</v>
      </c>
      <c r="FR19" s="403">
        <v>24</v>
      </c>
      <c r="FS19" s="457" t="s">
        <v>65</v>
      </c>
      <c r="FU19" s="408" t="str">
        <f t="shared" si="2"/>
        <v>Y</v>
      </c>
      <c r="FV19">
        <f>IF(ISERROR(DATEDIF('Debit orders'!$E$1,B19,"M")),0,DATEDIF('Debit orders'!$E$1,B19,"M"))</f>
        <v>0</v>
      </c>
    </row>
    <row r="20" spans="1:180">
      <c r="A20" s="228">
        <v>42178</v>
      </c>
      <c r="B20" s="228">
        <v>42217</v>
      </c>
      <c r="C20" s="301">
        <v>9575</v>
      </c>
      <c r="D20" s="301">
        <v>50260038</v>
      </c>
      <c r="E20" s="35" t="s">
        <v>279</v>
      </c>
      <c r="F20" s="35" t="s">
        <v>1354</v>
      </c>
      <c r="G20" s="35" t="s">
        <v>2178</v>
      </c>
      <c r="H20" s="35" t="s">
        <v>2179</v>
      </c>
      <c r="I20" s="35" t="s">
        <v>1359</v>
      </c>
      <c r="J20" s="35" t="s">
        <v>1360</v>
      </c>
      <c r="K20" s="35" t="s">
        <v>2174</v>
      </c>
      <c r="L20" s="300">
        <v>30013</v>
      </c>
      <c r="M20" s="198" t="s">
        <v>2180</v>
      </c>
      <c r="N20" s="35" t="s">
        <v>2181</v>
      </c>
      <c r="O20" s="35" t="s">
        <v>2182</v>
      </c>
      <c r="P20" s="35" t="s">
        <v>2183</v>
      </c>
      <c r="Q20" s="35" t="s">
        <v>78</v>
      </c>
      <c r="R20" s="198" t="s">
        <v>1749</v>
      </c>
      <c r="S20" s="35" t="s">
        <v>2181</v>
      </c>
      <c r="T20" s="35" t="s">
        <v>2182</v>
      </c>
      <c r="U20" s="35" t="s">
        <v>2183</v>
      </c>
      <c r="V20" s="35" t="s">
        <v>78</v>
      </c>
      <c r="W20" s="198" t="s">
        <v>1749</v>
      </c>
      <c r="X20" s="35" t="s">
        <v>1365</v>
      </c>
      <c r="Y20" s="35" t="s">
        <v>2184</v>
      </c>
      <c r="Z20" s="35" t="s">
        <v>75</v>
      </c>
      <c r="AA20" s="35" t="s">
        <v>75</v>
      </c>
      <c r="AB20" s="35" t="s">
        <v>75</v>
      </c>
      <c r="AC20" s="35" t="s">
        <v>75</v>
      </c>
      <c r="AD20" s="35" t="s">
        <v>75</v>
      </c>
      <c r="AE20" s="35" t="s">
        <v>75</v>
      </c>
      <c r="AF20" s="35" t="s">
        <v>75</v>
      </c>
      <c r="AG20" s="35" t="s">
        <v>75</v>
      </c>
      <c r="AH20" s="35" t="s">
        <v>75</v>
      </c>
      <c r="AI20" s="35" t="s">
        <v>75</v>
      </c>
      <c r="AJ20" s="35" t="s">
        <v>75</v>
      </c>
      <c r="AK20" s="35" t="s">
        <v>75</v>
      </c>
      <c r="AL20" s="35" t="s">
        <v>75</v>
      </c>
      <c r="AM20" s="35" t="s">
        <v>75</v>
      </c>
      <c r="AN20" s="35" t="s">
        <v>75</v>
      </c>
      <c r="AO20" s="35" t="s">
        <v>75</v>
      </c>
      <c r="AP20" s="35" t="s">
        <v>75</v>
      </c>
      <c r="AQ20" s="35" t="s">
        <v>75</v>
      </c>
      <c r="AR20" s="35" t="s">
        <v>75</v>
      </c>
      <c r="AS20" s="35" t="s">
        <v>75</v>
      </c>
      <c r="AT20" s="35" t="s">
        <v>75</v>
      </c>
      <c r="AU20" s="35" t="s">
        <v>75</v>
      </c>
      <c r="AV20" s="198" t="s">
        <v>75</v>
      </c>
      <c r="AW20" s="35" t="s">
        <v>2185</v>
      </c>
      <c r="AX20" s="35" t="s">
        <v>214</v>
      </c>
      <c r="AY20" s="35" t="s">
        <v>75</v>
      </c>
      <c r="AZ20" s="35" t="s">
        <v>2186</v>
      </c>
      <c r="BA20" s="35" t="s">
        <v>2187</v>
      </c>
      <c r="BB20" s="35" t="s">
        <v>213</v>
      </c>
      <c r="BC20" s="35" t="s">
        <v>197</v>
      </c>
      <c r="BD20" s="390">
        <v>1</v>
      </c>
      <c r="BE20" s="35" t="s">
        <v>171</v>
      </c>
      <c r="BF20" s="403">
        <v>78</v>
      </c>
      <c r="BG20" s="403">
        <v>50</v>
      </c>
      <c r="BH20" s="403">
        <v>39</v>
      </c>
      <c r="BI20" s="403">
        <v>0</v>
      </c>
      <c r="BJ20" s="403">
        <v>39</v>
      </c>
      <c r="BK20" s="403">
        <v>39</v>
      </c>
      <c r="BL20" s="35" t="s">
        <v>2188</v>
      </c>
      <c r="BM20" s="35" t="s">
        <v>2178</v>
      </c>
      <c r="BN20" s="35" t="s">
        <v>2175</v>
      </c>
      <c r="BO20" s="24">
        <v>1</v>
      </c>
      <c r="BP20" s="35" t="s">
        <v>75</v>
      </c>
      <c r="BQ20" s="35" t="s">
        <v>75</v>
      </c>
      <c r="BR20" s="35" t="s">
        <v>75</v>
      </c>
      <c r="BS20" s="24" t="s">
        <v>75</v>
      </c>
      <c r="BT20" s="35" t="s">
        <v>75</v>
      </c>
      <c r="BU20" s="35" t="s">
        <v>75</v>
      </c>
      <c r="BV20" s="35" t="s">
        <v>75</v>
      </c>
      <c r="BW20" s="198" t="s">
        <v>75</v>
      </c>
      <c r="BX20" s="35" t="s">
        <v>75</v>
      </c>
      <c r="BY20" s="35" t="s">
        <v>75</v>
      </c>
      <c r="BZ20" s="35" t="s">
        <v>75</v>
      </c>
      <c r="CA20" s="35" t="s">
        <v>75</v>
      </c>
      <c r="CB20" s="35" t="s">
        <v>75</v>
      </c>
      <c r="CC20" s="35" t="s">
        <v>75</v>
      </c>
      <c r="CD20" s="35" t="s">
        <v>2188</v>
      </c>
      <c r="CE20" s="35" t="s">
        <v>2178</v>
      </c>
      <c r="CF20" s="35" t="s">
        <v>2175</v>
      </c>
      <c r="CG20" s="461" t="s">
        <v>2189</v>
      </c>
      <c r="CH20" s="198" t="s">
        <v>2168</v>
      </c>
      <c r="CI20" s="35" t="s">
        <v>75</v>
      </c>
      <c r="CJ20" s="35" t="s">
        <v>1952</v>
      </c>
      <c r="CK20" s="35" t="s">
        <v>2190</v>
      </c>
      <c r="CL20" s="35" t="s">
        <v>2178</v>
      </c>
      <c r="CM20" s="35" t="s">
        <v>2177</v>
      </c>
      <c r="CN20" s="461" t="s">
        <v>2191</v>
      </c>
      <c r="CO20" s="390" t="s">
        <v>2149</v>
      </c>
      <c r="CP20" s="35" t="s">
        <v>1623</v>
      </c>
      <c r="CQ20" s="35" t="s">
        <v>2192</v>
      </c>
      <c r="CR20" s="35" t="s">
        <v>2178</v>
      </c>
      <c r="CS20" s="35" t="s">
        <v>2176</v>
      </c>
      <c r="CT20" s="461" t="s">
        <v>2193</v>
      </c>
      <c r="CU20" s="390" t="s">
        <v>1956</v>
      </c>
      <c r="CV20" s="35" t="s">
        <v>1623</v>
      </c>
      <c r="CW20" s="35" t="s">
        <v>75</v>
      </c>
      <c r="CX20" s="35" t="s">
        <v>75</v>
      </c>
      <c r="CY20" s="35" t="s">
        <v>75</v>
      </c>
      <c r="CZ20" s="461" t="s">
        <v>75</v>
      </c>
      <c r="DA20" s="198" t="s">
        <v>75</v>
      </c>
      <c r="DB20" s="35" t="s">
        <v>75</v>
      </c>
      <c r="DC20" s="35" t="s">
        <v>75</v>
      </c>
      <c r="DD20" s="35" t="s">
        <v>75</v>
      </c>
      <c r="DE20" s="35" t="s">
        <v>75</v>
      </c>
      <c r="DF20" s="461" t="s">
        <v>75</v>
      </c>
      <c r="DG20" s="198" t="s">
        <v>75</v>
      </c>
      <c r="DH20" s="35" t="s">
        <v>75</v>
      </c>
      <c r="DI20" s="35" t="s">
        <v>75</v>
      </c>
      <c r="DJ20" s="35" t="s">
        <v>75</v>
      </c>
      <c r="DK20" s="35" t="s">
        <v>75</v>
      </c>
      <c r="DL20" s="461" t="s">
        <v>75</v>
      </c>
      <c r="DM20" s="198" t="s">
        <v>75</v>
      </c>
      <c r="DN20" s="35" t="s">
        <v>75</v>
      </c>
      <c r="DO20" s="35" t="s">
        <v>75</v>
      </c>
      <c r="DP20" s="35" t="s">
        <v>75</v>
      </c>
      <c r="DQ20" s="35" t="s">
        <v>75</v>
      </c>
      <c r="DR20" s="461" t="s">
        <v>75</v>
      </c>
      <c r="DS20" s="198" t="s">
        <v>75</v>
      </c>
      <c r="DT20" s="35" t="s">
        <v>75</v>
      </c>
      <c r="DU20" s="35" t="s">
        <v>75</v>
      </c>
      <c r="DV20" s="35" t="s">
        <v>75</v>
      </c>
      <c r="DW20" s="35" t="s">
        <v>75</v>
      </c>
      <c r="DX20" s="461" t="s">
        <v>75</v>
      </c>
      <c r="DY20" s="198" t="s">
        <v>75</v>
      </c>
      <c r="DZ20" s="35" t="s">
        <v>75</v>
      </c>
      <c r="EA20" s="35" t="s">
        <v>75</v>
      </c>
      <c r="EB20" s="35" t="s">
        <v>75</v>
      </c>
      <c r="EC20" s="35" t="s">
        <v>75</v>
      </c>
      <c r="ED20" s="461" t="s">
        <v>75</v>
      </c>
      <c r="EF20" s="35" t="s">
        <v>75</v>
      </c>
      <c r="EG20" s="35" t="s">
        <v>75</v>
      </c>
      <c r="EH20" s="35" t="s">
        <v>75</v>
      </c>
      <c r="EI20" s="35" t="s">
        <v>75</v>
      </c>
      <c r="EJ20" s="461" t="s">
        <v>75</v>
      </c>
      <c r="EK20" s="198" t="s">
        <v>75</v>
      </c>
      <c r="EL20" s="35" t="s">
        <v>75</v>
      </c>
      <c r="EM20" s="35" t="s">
        <v>75</v>
      </c>
      <c r="EN20" s="35" t="s">
        <v>75</v>
      </c>
      <c r="EO20" s="35" t="s">
        <v>75</v>
      </c>
      <c r="EP20" s="461" t="s">
        <v>75</v>
      </c>
      <c r="EQ20" s="198" t="s">
        <v>75</v>
      </c>
      <c r="ER20" s="35" t="s">
        <v>75</v>
      </c>
      <c r="EU20" s="197" t="s">
        <v>75</v>
      </c>
      <c r="EV20" s="35" t="s">
        <v>171</v>
      </c>
      <c r="EW20" s="35" t="s">
        <v>156</v>
      </c>
      <c r="EX20" s="35" t="s">
        <v>2194</v>
      </c>
      <c r="EY20" s="35" t="s">
        <v>1387</v>
      </c>
      <c r="EZ20" s="35" t="s">
        <v>2195</v>
      </c>
      <c r="FA20" s="197">
        <v>78</v>
      </c>
      <c r="FB20" s="197">
        <v>0</v>
      </c>
      <c r="FC20" s="403">
        <v>50</v>
      </c>
      <c r="FD20" s="403">
        <v>128</v>
      </c>
      <c r="FE20" s="403">
        <v>78</v>
      </c>
      <c r="FF20" s="403">
        <v>39</v>
      </c>
      <c r="FG20" s="403">
        <v>0</v>
      </c>
      <c r="FH20" s="403">
        <v>39</v>
      </c>
      <c r="FI20" s="403">
        <v>89</v>
      </c>
      <c r="FJ20" s="403">
        <v>39</v>
      </c>
      <c r="FK20" s="403">
        <v>0</v>
      </c>
      <c r="FL20" s="403">
        <v>0</v>
      </c>
      <c r="FM20" s="403">
        <v>89</v>
      </c>
      <c r="FN20" s="403">
        <v>39</v>
      </c>
      <c r="FO20" s="403">
        <v>67</v>
      </c>
      <c r="FP20" s="403">
        <v>17</v>
      </c>
      <c r="FQ20" s="403">
        <v>22</v>
      </c>
      <c r="FR20" s="403">
        <v>22</v>
      </c>
      <c r="FS20" s="459" t="s">
        <v>65</v>
      </c>
      <c r="FU20" s="408" t="str">
        <f t="shared" si="2"/>
        <v>N</v>
      </c>
      <c r="FV20">
        <f>IF(ISERROR(DATEDIF('Debit orders'!$E$1,B20,"M")),0,DATEDIF('Debit orders'!$E$1,B20,"M"))</f>
        <v>1</v>
      </c>
    </row>
    <row r="21" spans="1:180">
      <c r="A21" s="228">
        <v>42174</v>
      </c>
      <c r="B21" s="228">
        <v>42186</v>
      </c>
      <c r="C21" s="301">
        <v>9575</v>
      </c>
      <c r="D21" s="301">
        <v>50260624</v>
      </c>
      <c r="E21" s="35" t="s">
        <v>1341</v>
      </c>
      <c r="F21" s="35" t="s">
        <v>1353</v>
      </c>
      <c r="G21" s="35" t="s">
        <v>2202</v>
      </c>
      <c r="H21" s="35" t="s">
        <v>1787</v>
      </c>
      <c r="I21" s="35" t="s">
        <v>1358</v>
      </c>
      <c r="J21" s="35" t="s">
        <v>1360</v>
      </c>
      <c r="K21" s="35" t="s">
        <v>2196</v>
      </c>
      <c r="L21" s="300">
        <v>28052</v>
      </c>
      <c r="M21" s="198" t="s">
        <v>2203</v>
      </c>
      <c r="N21" s="35" t="s">
        <v>2284</v>
      </c>
      <c r="O21" s="35" t="s">
        <v>2282</v>
      </c>
      <c r="P21" s="35" t="s">
        <v>2283</v>
      </c>
      <c r="Q21" s="35" t="s">
        <v>78</v>
      </c>
      <c r="R21" s="198">
        <v>7570</v>
      </c>
      <c r="S21" s="35" t="s">
        <v>2284</v>
      </c>
      <c r="T21" s="35" t="s">
        <v>2282</v>
      </c>
      <c r="U21" s="35" t="s">
        <v>2283</v>
      </c>
      <c r="V21" s="35" t="s">
        <v>78</v>
      </c>
      <c r="W21" s="198">
        <v>7570</v>
      </c>
      <c r="X21" s="35" t="s">
        <v>1365</v>
      </c>
      <c r="Y21" s="35" t="s">
        <v>2204</v>
      </c>
      <c r="Z21" s="35" t="s">
        <v>2205</v>
      </c>
      <c r="AA21" s="35" t="s">
        <v>2204</v>
      </c>
      <c r="AB21" s="35" t="s">
        <v>1583</v>
      </c>
      <c r="AC21" s="35" t="s">
        <v>2206</v>
      </c>
      <c r="AD21" s="35" t="s">
        <v>75</v>
      </c>
      <c r="AE21" s="35" t="s">
        <v>75</v>
      </c>
      <c r="AF21" s="35" t="s">
        <v>75</v>
      </c>
      <c r="AG21" s="35" t="s">
        <v>75</v>
      </c>
      <c r="AH21" s="35" t="s">
        <v>75</v>
      </c>
      <c r="AI21" s="35" t="s">
        <v>75</v>
      </c>
      <c r="AJ21" s="35" t="s">
        <v>75</v>
      </c>
      <c r="AK21" s="35" t="s">
        <v>75</v>
      </c>
      <c r="AL21" s="35" t="s">
        <v>75</v>
      </c>
      <c r="AM21" s="35" t="s">
        <v>75</v>
      </c>
      <c r="AN21" s="35" t="s">
        <v>75</v>
      </c>
      <c r="AO21" s="35" t="s">
        <v>75</v>
      </c>
      <c r="AP21" s="35" t="s">
        <v>75</v>
      </c>
      <c r="AQ21" s="35" t="s">
        <v>75</v>
      </c>
      <c r="AR21" s="35" t="s">
        <v>75</v>
      </c>
      <c r="AS21" s="35" t="s">
        <v>75</v>
      </c>
      <c r="AT21" s="35" t="s">
        <v>75</v>
      </c>
      <c r="AU21" s="35" t="s">
        <v>75</v>
      </c>
      <c r="AV21" s="198" t="s">
        <v>75</v>
      </c>
      <c r="AW21" s="35" t="s">
        <v>75</v>
      </c>
      <c r="AX21" s="35" t="s">
        <v>75</v>
      </c>
      <c r="AY21" s="35" t="s">
        <v>75</v>
      </c>
      <c r="AZ21" s="35" t="s">
        <v>75</v>
      </c>
      <c r="BA21" s="35" t="s">
        <v>75</v>
      </c>
      <c r="BB21" s="35" t="s">
        <v>75</v>
      </c>
      <c r="BC21" s="35" t="s">
        <v>2251</v>
      </c>
      <c r="BD21" s="390">
        <v>1</v>
      </c>
      <c r="BE21" s="35" t="s">
        <v>1721</v>
      </c>
      <c r="BF21" s="403">
        <v>125</v>
      </c>
      <c r="BG21" s="403">
        <v>75</v>
      </c>
      <c r="BH21" s="403">
        <v>28</v>
      </c>
      <c r="BI21" s="403">
        <v>50</v>
      </c>
      <c r="BJ21" s="403">
        <v>78</v>
      </c>
      <c r="BK21" s="403">
        <v>47</v>
      </c>
      <c r="BL21" s="35" t="s">
        <v>1397</v>
      </c>
      <c r="BM21" s="35" t="s">
        <v>2207</v>
      </c>
      <c r="BN21" s="35" t="s">
        <v>2197</v>
      </c>
      <c r="BO21" s="24">
        <v>1</v>
      </c>
      <c r="BP21" s="35" t="s">
        <v>75</v>
      </c>
      <c r="BQ21" s="35" t="s">
        <v>75</v>
      </c>
      <c r="BR21" s="35" t="s">
        <v>75</v>
      </c>
      <c r="BS21" s="24" t="s">
        <v>75</v>
      </c>
      <c r="BT21" s="35" t="s">
        <v>75</v>
      </c>
      <c r="BU21" s="35" t="s">
        <v>75</v>
      </c>
      <c r="BV21" s="35" t="s">
        <v>75</v>
      </c>
      <c r="BW21" s="198" t="s">
        <v>75</v>
      </c>
      <c r="BX21" s="35" t="s">
        <v>75</v>
      </c>
      <c r="BY21" s="35" t="s">
        <v>75</v>
      </c>
      <c r="BZ21" s="35" t="s">
        <v>75</v>
      </c>
      <c r="CA21" s="35" t="s">
        <v>75</v>
      </c>
      <c r="CB21" s="35" t="s">
        <v>75</v>
      </c>
      <c r="CC21" s="35" t="s">
        <v>75</v>
      </c>
      <c r="CD21" s="35" t="s">
        <v>1397</v>
      </c>
      <c r="CE21" s="35" t="s">
        <v>2207</v>
      </c>
      <c r="CF21" s="35" t="s">
        <v>2197</v>
      </c>
      <c r="CG21" s="462" t="s">
        <v>2208</v>
      </c>
      <c r="CH21" s="198" t="s">
        <v>1857</v>
      </c>
      <c r="CI21" s="35" t="s">
        <v>75</v>
      </c>
      <c r="CJ21" s="35" t="s">
        <v>2209</v>
      </c>
      <c r="CK21" s="35" t="s">
        <v>1613</v>
      </c>
      <c r="CL21" s="35" t="s">
        <v>2202</v>
      </c>
      <c r="CM21" s="35" t="s">
        <v>2198</v>
      </c>
      <c r="CN21" s="462" t="s">
        <v>2210</v>
      </c>
      <c r="CO21" s="390" t="s">
        <v>1618</v>
      </c>
      <c r="CP21" s="35" t="s">
        <v>1623</v>
      </c>
      <c r="CQ21" s="35" t="s">
        <v>1868</v>
      </c>
      <c r="CR21" s="35" t="s">
        <v>2202</v>
      </c>
      <c r="CS21" s="35" t="s">
        <v>2199</v>
      </c>
      <c r="CT21" s="462" t="s">
        <v>2211</v>
      </c>
      <c r="CU21" s="390" t="s">
        <v>1399</v>
      </c>
      <c r="CV21" s="35" t="s">
        <v>1400</v>
      </c>
      <c r="CW21" s="35" t="s">
        <v>2212</v>
      </c>
      <c r="CX21" s="35" t="s">
        <v>2202</v>
      </c>
      <c r="CY21" s="35" t="s">
        <v>2200</v>
      </c>
      <c r="CZ21" s="462" t="s">
        <v>2213</v>
      </c>
      <c r="DA21" s="198" t="s">
        <v>2108</v>
      </c>
      <c r="DB21" s="35" t="s">
        <v>1400</v>
      </c>
      <c r="DC21" s="35" t="s">
        <v>2214</v>
      </c>
      <c r="DD21" s="35" t="s">
        <v>2202</v>
      </c>
      <c r="DE21" s="35" t="s">
        <v>2201</v>
      </c>
      <c r="DF21" s="462" t="s">
        <v>2215</v>
      </c>
      <c r="DG21" s="198" t="s">
        <v>1915</v>
      </c>
      <c r="DH21" s="35" t="s">
        <v>1400</v>
      </c>
      <c r="DI21" s="35" t="s">
        <v>75</v>
      </c>
      <c r="DJ21" s="35" t="s">
        <v>75</v>
      </c>
      <c r="DK21" s="35" t="s">
        <v>75</v>
      </c>
      <c r="DL21" s="462" t="s">
        <v>75</v>
      </c>
      <c r="DM21" s="198" t="s">
        <v>75</v>
      </c>
      <c r="DN21" s="35" t="s">
        <v>75</v>
      </c>
      <c r="DO21" s="35" t="s">
        <v>75</v>
      </c>
      <c r="DP21" s="35" t="s">
        <v>75</v>
      </c>
      <c r="DQ21" s="35" t="s">
        <v>75</v>
      </c>
      <c r="DR21" s="462" t="s">
        <v>75</v>
      </c>
      <c r="DS21" s="198" t="s">
        <v>75</v>
      </c>
      <c r="DT21" s="35" t="s">
        <v>75</v>
      </c>
      <c r="DU21" s="35" t="s">
        <v>75</v>
      </c>
      <c r="DV21" s="35" t="s">
        <v>75</v>
      </c>
      <c r="DW21" s="35" t="s">
        <v>75</v>
      </c>
      <c r="DX21" s="462" t="s">
        <v>75</v>
      </c>
      <c r="DY21" s="198" t="s">
        <v>75</v>
      </c>
      <c r="DZ21" s="35" t="s">
        <v>75</v>
      </c>
      <c r="EA21" s="35" t="s">
        <v>75</v>
      </c>
      <c r="EB21" s="35" t="s">
        <v>75</v>
      </c>
      <c r="EC21" s="35" t="s">
        <v>75</v>
      </c>
      <c r="ED21" s="462" t="s">
        <v>75</v>
      </c>
      <c r="EF21" s="35" t="s">
        <v>75</v>
      </c>
      <c r="EG21" s="35" t="s">
        <v>75</v>
      </c>
      <c r="EH21" s="35" t="s">
        <v>75</v>
      </c>
      <c r="EI21" s="35" t="s">
        <v>75</v>
      </c>
      <c r="EJ21" s="462" t="s">
        <v>75</v>
      </c>
      <c r="EK21" s="198" t="s">
        <v>75</v>
      </c>
      <c r="EL21" s="35" t="s">
        <v>75</v>
      </c>
      <c r="EM21" s="35" t="s">
        <v>75</v>
      </c>
      <c r="EN21" s="35" t="s">
        <v>75</v>
      </c>
      <c r="EO21" s="35" t="s">
        <v>75</v>
      </c>
      <c r="EP21" s="462" t="s">
        <v>75</v>
      </c>
      <c r="EQ21" s="198" t="s">
        <v>75</v>
      </c>
      <c r="ER21" s="35" t="s">
        <v>75</v>
      </c>
      <c r="EU21" s="197" t="s">
        <v>75</v>
      </c>
      <c r="EV21" s="35" t="s">
        <v>1721</v>
      </c>
      <c r="EW21" s="35" t="s">
        <v>139</v>
      </c>
      <c r="EX21" s="35" t="s">
        <v>2216</v>
      </c>
      <c r="EY21" s="35" t="s">
        <v>1387</v>
      </c>
      <c r="EZ21" s="35" t="s">
        <v>2217</v>
      </c>
      <c r="FA21" s="197">
        <v>125</v>
      </c>
      <c r="FB21" s="197">
        <v>0</v>
      </c>
      <c r="FC21" s="403">
        <v>75</v>
      </c>
      <c r="FD21" s="403">
        <v>200</v>
      </c>
      <c r="FE21" s="403">
        <v>125</v>
      </c>
      <c r="FF21" s="403">
        <v>28</v>
      </c>
      <c r="FG21" s="403">
        <v>0</v>
      </c>
      <c r="FH21" s="403">
        <v>28</v>
      </c>
      <c r="FI21" s="403">
        <v>172</v>
      </c>
      <c r="FJ21" s="403">
        <v>97</v>
      </c>
      <c r="FK21" s="403">
        <v>50</v>
      </c>
      <c r="FL21" s="403">
        <v>50</v>
      </c>
      <c r="FM21" s="403">
        <v>122</v>
      </c>
      <c r="FN21" s="403">
        <v>47</v>
      </c>
      <c r="FO21" s="403">
        <v>80</v>
      </c>
      <c r="FP21" s="403">
        <v>17</v>
      </c>
      <c r="FQ21" s="403">
        <v>42</v>
      </c>
      <c r="FR21" s="403">
        <v>30</v>
      </c>
      <c r="FS21" s="460" t="s">
        <v>65</v>
      </c>
      <c r="FU21" s="408" t="str">
        <f t="shared" si="2"/>
        <v>N</v>
      </c>
      <c r="FV21">
        <f>IF(ISERROR(DATEDIF('Debit orders'!$E$1,B21,"M")),0,DATEDIF('Debit orders'!$E$1,B21,"M"))</f>
        <v>0</v>
      </c>
    </row>
    <row r="22" spans="1:180">
      <c r="A22" s="228">
        <v>42185</v>
      </c>
      <c r="B22" s="228">
        <v>42217</v>
      </c>
      <c r="C22" s="301">
        <v>9575</v>
      </c>
      <c r="D22" s="301">
        <v>50260152</v>
      </c>
      <c r="E22" s="35" t="s">
        <v>1341</v>
      </c>
      <c r="F22" s="35" t="s">
        <v>1353</v>
      </c>
      <c r="G22" s="35" t="s">
        <v>1309</v>
      </c>
      <c r="H22" s="35" t="s">
        <v>2221</v>
      </c>
      <c r="I22" s="35" t="s">
        <v>1358</v>
      </c>
      <c r="J22" s="35" t="s">
        <v>1360</v>
      </c>
      <c r="K22" s="35" t="s">
        <v>1314</v>
      </c>
      <c r="L22" s="300">
        <v>22766</v>
      </c>
      <c r="M22" s="198" t="s">
        <v>2222</v>
      </c>
      <c r="N22" s="35" t="s">
        <v>1310</v>
      </c>
      <c r="O22" s="35" t="s">
        <v>1311</v>
      </c>
      <c r="P22" s="35" t="s">
        <v>1312</v>
      </c>
      <c r="Q22" s="35" t="s">
        <v>78</v>
      </c>
      <c r="R22" s="198">
        <v>7493</v>
      </c>
      <c r="S22" s="35" t="s">
        <v>1310</v>
      </c>
      <c r="T22" s="35" t="s">
        <v>1311</v>
      </c>
      <c r="U22" s="35" t="s">
        <v>1312</v>
      </c>
      <c r="V22" s="35" t="s">
        <v>78</v>
      </c>
      <c r="W22" s="198">
        <v>7493</v>
      </c>
      <c r="X22" s="35" t="s">
        <v>1365</v>
      </c>
      <c r="Y22" s="35" t="s">
        <v>2223</v>
      </c>
      <c r="Z22" s="35" t="s">
        <v>75</v>
      </c>
      <c r="AA22" s="35" t="s">
        <v>2223</v>
      </c>
      <c r="AB22" s="35" t="s">
        <v>1583</v>
      </c>
      <c r="AC22" s="35" t="s">
        <v>2224</v>
      </c>
      <c r="AD22" s="35" t="s">
        <v>2225</v>
      </c>
      <c r="AE22" s="35" t="s">
        <v>2226</v>
      </c>
      <c r="AF22" s="35" t="s">
        <v>1583</v>
      </c>
      <c r="AG22" s="35" t="s">
        <v>2227</v>
      </c>
      <c r="AH22" s="35" t="s">
        <v>75</v>
      </c>
      <c r="AI22" s="35" t="s">
        <v>75</v>
      </c>
      <c r="AJ22" s="35" t="s">
        <v>75</v>
      </c>
      <c r="AK22" s="35" t="s">
        <v>75</v>
      </c>
      <c r="AL22" s="35" t="s">
        <v>75</v>
      </c>
      <c r="AM22" s="35" t="s">
        <v>75</v>
      </c>
      <c r="AN22" s="35" t="s">
        <v>75</v>
      </c>
      <c r="AO22" s="35" t="s">
        <v>75</v>
      </c>
      <c r="AP22" s="35" t="s">
        <v>75</v>
      </c>
      <c r="AQ22" s="35" t="s">
        <v>75</v>
      </c>
      <c r="AR22" s="35" t="s">
        <v>75</v>
      </c>
      <c r="AS22" s="35" t="s">
        <v>75</v>
      </c>
      <c r="AT22" s="35" t="s">
        <v>75</v>
      </c>
      <c r="AU22" s="35" t="s">
        <v>75</v>
      </c>
      <c r="AV22" s="198" t="s">
        <v>75</v>
      </c>
      <c r="AW22" s="35" t="s">
        <v>75</v>
      </c>
      <c r="AX22" s="35" t="s">
        <v>75</v>
      </c>
      <c r="AY22" s="35" t="s">
        <v>75</v>
      </c>
      <c r="AZ22" s="35" t="s">
        <v>75</v>
      </c>
      <c r="BA22" s="35" t="s">
        <v>75</v>
      </c>
      <c r="BB22" s="35" t="s">
        <v>75</v>
      </c>
      <c r="BC22" s="35" t="s">
        <v>191</v>
      </c>
      <c r="BD22" s="390">
        <v>1</v>
      </c>
      <c r="BE22" s="35" t="s">
        <v>1723</v>
      </c>
      <c r="BF22" s="403">
        <v>229</v>
      </c>
      <c r="BG22" s="403">
        <v>75</v>
      </c>
      <c r="BH22" s="403">
        <v>50</v>
      </c>
      <c r="BI22" s="403">
        <v>100</v>
      </c>
      <c r="BJ22" s="403">
        <v>150</v>
      </c>
      <c r="BK22" s="403">
        <v>79</v>
      </c>
      <c r="BL22" s="35" t="s">
        <v>2228</v>
      </c>
      <c r="BM22" s="35" t="s">
        <v>1309</v>
      </c>
      <c r="BN22" s="35" t="s">
        <v>2229</v>
      </c>
      <c r="BO22" s="24">
        <v>1</v>
      </c>
      <c r="BP22" s="35" t="s">
        <v>75</v>
      </c>
      <c r="BQ22" s="35" t="s">
        <v>75</v>
      </c>
      <c r="BR22" s="35" t="s">
        <v>75</v>
      </c>
      <c r="BS22" s="24" t="s">
        <v>75</v>
      </c>
      <c r="BT22" s="35" t="s">
        <v>75</v>
      </c>
      <c r="BU22" s="35" t="s">
        <v>75</v>
      </c>
      <c r="BV22" s="35" t="s">
        <v>75</v>
      </c>
      <c r="BW22" s="198" t="s">
        <v>75</v>
      </c>
      <c r="BX22" s="35" t="s">
        <v>75</v>
      </c>
      <c r="BY22" s="35" t="s">
        <v>75</v>
      </c>
      <c r="BZ22" s="35" t="s">
        <v>75</v>
      </c>
      <c r="CA22" s="35" t="s">
        <v>75</v>
      </c>
      <c r="CB22" s="35" t="s">
        <v>75</v>
      </c>
      <c r="CC22" s="35" t="s">
        <v>75</v>
      </c>
      <c r="CD22" s="35" t="s">
        <v>75</v>
      </c>
      <c r="CE22" s="35" t="s">
        <v>75</v>
      </c>
      <c r="CF22" s="35" t="s">
        <v>75</v>
      </c>
      <c r="CG22" s="462" t="s">
        <v>75</v>
      </c>
      <c r="CH22" s="198" t="s">
        <v>75</v>
      </c>
      <c r="CI22" s="35" t="s">
        <v>75</v>
      </c>
      <c r="CJ22" s="35" t="s">
        <v>75</v>
      </c>
      <c r="CK22" s="35" t="s">
        <v>75</v>
      </c>
      <c r="CL22" s="35" t="s">
        <v>75</v>
      </c>
      <c r="CM22" s="35" t="s">
        <v>75</v>
      </c>
      <c r="CN22" s="462" t="s">
        <v>75</v>
      </c>
      <c r="CO22" s="390" t="s">
        <v>75</v>
      </c>
      <c r="CP22" s="35" t="s">
        <v>75</v>
      </c>
      <c r="CQ22" s="35" t="s">
        <v>75</v>
      </c>
      <c r="CR22" s="35" t="s">
        <v>75</v>
      </c>
      <c r="CS22" s="35" t="s">
        <v>75</v>
      </c>
      <c r="CT22" s="462" t="s">
        <v>75</v>
      </c>
      <c r="CU22" s="390" t="s">
        <v>75</v>
      </c>
      <c r="CV22" s="35" t="s">
        <v>75</v>
      </c>
      <c r="CW22" s="35" t="s">
        <v>75</v>
      </c>
      <c r="CX22" s="35" t="s">
        <v>75</v>
      </c>
      <c r="CY22" s="35" t="s">
        <v>75</v>
      </c>
      <c r="CZ22" s="462" t="s">
        <v>75</v>
      </c>
      <c r="DA22" s="198" t="s">
        <v>75</v>
      </c>
      <c r="DB22" s="35" t="s">
        <v>75</v>
      </c>
      <c r="DC22" s="35" t="s">
        <v>75</v>
      </c>
      <c r="DD22" s="35" t="s">
        <v>75</v>
      </c>
      <c r="DE22" s="35" t="s">
        <v>75</v>
      </c>
      <c r="DF22" s="462" t="s">
        <v>75</v>
      </c>
      <c r="DG22" s="198" t="s">
        <v>75</v>
      </c>
      <c r="DH22" s="35" t="s">
        <v>75</v>
      </c>
      <c r="DI22" s="35" t="s">
        <v>75</v>
      </c>
      <c r="DJ22" s="35" t="s">
        <v>75</v>
      </c>
      <c r="DK22" s="35" t="s">
        <v>75</v>
      </c>
      <c r="DL22" s="462" t="s">
        <v>75</v>
      </c>
      <c r="DM22" s="198" t="s">
        <v>75</v>
      </c>
      <c r="DN22" s="35" t="s">
        <v>75</v>
      </c>
      <c r="DO22" s="35" t="s">
        <v>75</v>
      </c>
      <c r="DP22" s="35" t="s">
        <v>75</v>
      </c>
      <c r="DQ22" s="35" t="s">
        <v>75</v>
      </c>
      <c r="DR22" s="462" t="s">
        <v>75</v>
      </c>
      <c r="DS22" s="198" t="s">
        <v>75</v>
      </c>
      <c r="DT22" s="35" t="s">
        <v>75</v>
      </c>
      <c r="DU22" s="35" t="s">
        <v>1593</v>
      </c>
      <c r="DV22" s="35" t="s">
        <v>1309</v>
      </c>
      <c r="DW22" s="35" t="s">
        <v>2218</v>
      </c>
      <c r="DX22" s="462" t="s">
        <v>2230</v>
      </c>
      <c r="DY22" s="198" t="s">
        <v>2231</v>
      </c>
      <c r="DZ22" s="35" t="s">
        <v>2232</v>
      </c>
      <c r="EA22" s="35" t="s">
        <v>1358</v>
      </c>
      <c r="EB22" s="35" t="s">
        <v>2233</v>
      </c>
      <c r="EC22" s="35" t="s">
        <v>2219</v>
      </c>
      <c r="ED22" s="462" t="s">
        <v>2234</v>
      </c>
      <c r="EE22" s="198">
        <v>58</v>
      </c>
      <c r="EF22" s="35" t="s">
        <v>2235</v>
      </c>
      <c r="EG22" s="35" t="s">
        <v>1973</v>
      </c>
      <c r="EH22" s="35" t="s">
        <v>2236</v>
      </c>
      <c r="EI22" s="35" t="s">
        <v>2220</v>
      </c>
      <c r="EJ22" s="462" t="s">
        <v>2237</v>
      </c>
      <c r="EK22" s="198" t="s">
        <v>2238</v>
      </c>
      <c r="EL22" s="35" t="s">
        <v>2235</v>
      </c>
      <c r="EM22" s="35" t="s">
        <v>75</v>
      </c>
      <c r="EN22" s="35" t="s">
        <v>75</v>
      </c>
      <c r="EO22" s="35" t="s">
        <v>75</v>
      </c>
      <c r="EP22" s="462" t="s">
        <v>75</v>
      </c>
      <c r="EQ22" s="198" t="s">
        <v>75</v>
      </c>
      <c r="ER22" s="35" t="s">
        <v>75</v>
      </c>
      <c r="ES22" s="197" t="s">
        <v>2239</v>
      </c>
      <c r="ET22" s="197" t="s">
        <v>2240</v>
      </c>
      <c r="EU22" s="197" t="s">
        <v>1920</v>
      </c>
      <c r="EV22" s="35" t="s">
        <v>1723</v>
      </c>
      <c r="EW22" s="35" t="s">
        <v>140</v>
      </c>
      <c r="EX22" s="35" t="s">
        <v>2241</v>
      </c>
      <c r="EY22" s="35" t="s">
        <v>1387</v>
      </c>
      <c r="EZ22" s="35" t="s">
        <v>2242</v>
      </c>
      <c r="FA22" s="197">
        <v>229</v>
      </c>
      <c r="FB22" s="197">
        <v>150</v>
      </c>
      <c r="FC22" s="403">
        <v>75</v>
      </c>
      <c r="FD22" s="403">
        <v>454</v>
      </c>
      <c r="FE22" s="403">
        <v>379</v>
      </c>
      <c r="FF22" s="403">
        <v>50</v>
      </c>
      <c r="FG22" s="403">
        <v>66</v>
      </c>
      <c r="FH22" s="403">
        <v>116</v>
      </c>
      <c r="FI22" s="403">
        <v>338</v>
      </c>
      <c r="FJ22" s="403">
        <v>263</v>
      </c>
      <c r="FK22" s="403">
        <v>100</v>
      </c>
      <c r="FL22" s="403">
        <v>100</v>
      </c>
      <c r="FM22" s="403">
        <v>238</v>
      </c>
      <c r="FN22" s="403">
        <v>163</v>
      </c>
      <c r="FO22" s="403">
        <v>110</v>
      </c>
      <c r="FP22" s="403">
        <v>48</v>
      </c>
      <c r="FQ22" s="403">
        <v>128</v>
      </c>
      <c r="FR22" s="403">
        <v>115</v>
      </c>
      <c r="FS22" s="460" t="s">
        <v>65</v>
      </c>
      <c r="FU22" s="408" t="str">
        <f t="shared" si="2"/>
        <v>N</v>
      </c>
      <c r="FV22">
        <f>IF(ISERROR(DATEDIF('Debit orders'!$E$1,B22,"M")),0,DATEDIF('Debit orders'!$E$1,B22,"M"))</f>
        <v>1</v>
      </c>
    </row>
    <row r="23" spans="1:180">
      <c r="A23" s="228">
        <v>42178</v>
      </c>
      <c r="B23" s="228">
        <v>42217</v>
      </c>
      <c r="C23" s="301">
        <v>9575</v>
      </c>
      <c r="D23" s="301">
        <v>50260046</v>
      </c>
      <c r="E23" s="35" t="s">
        <v>279</v>
      </c>
      <c r="F23" s="35" t="s">
        <v>1354</v>
      </c>
      <c r="G23" s="35" t="s">
        <v>2245</v>
      </c>
      <c r="H23" s="35" t="s">
        <v>2244</v>
      </c>
      <c r="I23" s="35" t="s">
        <v>1359</v>
      </c>
      <c r="J23" s="35" t="s">
        <v>1360</v>
      </c>
      <c r="K23" s="35" t="s">
        <v>2243</v>
      </c>
      <c r="L23" s="300">
        <v>19068</v>
      </c>
      <c r="M23" s="198" t="s">
        <v>2246</v>
      </c>
      <c r="N23" s="35" t="s">
        <v>2181</v>
      </c>
      <c r="O23" s="35" t="s">
        <v>2247</v>
      </c>
      <c r="P23" s="35" t="s">
        <v>2183</v>
      </c>
      <c r="Q23" s="35" t="s">
        <v>78</v>
      </c>
      <c r="R23" s="198">
        <v>7100</v>
      </c>
      <c r="S23" s="35" t="s">
        <v>2181</v>
      </c>
      <c r="T23" s="35" t="s">
        <v>2247</v>
      </c>
      <c r="U23" s="35" t="s">
        <v>2183</v>
      </c>
      <c r="V23" s="35" t="s">
        <v>78</v>
      </c>
      <c r="W23" s="198">
        <v>7100</v>
      </c>
      <c r="X23" s="35" t="s">
        <v>1364</v>
      </c>
      <c r="Y23" s="35" t="s">
        <v>2184</v>
      </c>
      <c r="Z23" s="35" t="s">
        <v>75</v>
      </c>
      <c r="AA23" s="35" t="s">
        <v>75</v>
      </c>
      <c r="AB23" s="35" t="s">
        <v>75</v>
      </c>
      <c r="AC23" s="35" t="s">
        <v>75</v>
      </c>
      <c r="AD23" s="35" t="s">
        <v>75</v>
      </c>
      <c r="AE23" s="35" t="s">
        <v>75</v>
      </c>
      <c r="AF23" s="35" t="s">
        <v>75</v>
      </c>
      <c r="AG23" s="35" t="s">
        <v>75</v>
      </c>
      <c r="AH23" s="35" t="s">
        <v>75</v>
      </c>
      <c r="AI23" s="35" t="s">
        <v>75</v>
      </c>
      <c r="AJ23" s="35" t="s">
        <v>75</v>
      </c>
      <c r="AK23" s="35" t="s">
        <v>75</v>
      </c>
      <c r="AL23" s="35" t="s">
        <v>75</v>
      </c>
      <c r="AM23" s="35" t="s">
        <v>75</v>
      </c>
      <c r="AN23" s="35" t="s">
        <v>75</v>
      </c>
      <c r="AO23" s="35" t="s">
        <v>75</v>
      </c>
      <c r="AP23" s="35" t="s">
        <v>75</v>
      </c>
      <c r="AQ23" s="35" t="s">
        <v>75</v>
      </c>
      <c r="AR23" s="35" t="s">
        <v>75</v>
      </c>
      <c r="AS23" s="35" t="s">
        <v>75</v>
      </c>
      <c r="AT23" s="35" t="s">
        <v>75</v>
      </c>
      <c r="AU23" s="35" t="s">
        <v>75</v>
      </c>
      <c r="AV23" s="198" t="s">
        <v>75</v>
      </c>
      <c r="AW23" s="35" t="s">
        <v>2185</v>
      </c>
      <c r="AX23" s="35" t="s">
        <v>214</v>
      </c>
      <c r="AY23" s="35" t="s">
        <v>75</v>
      </c>
      <c r="AZ23" s="35" t="s">
        <v>2186</v>
      </c>
      <c r="BA23" s="35" t="s">
        <v>2187</v>
      </c>
      <c r="BB23" s="35" t="s">
        <v>213</v>
      </c>
      <c r="BC23" s="35" t="s">
        <v>197</v>
      </c>
      <c r="BD23" s="390">
        <v>1</v>
      </c>
      <c r="BE23" s="35" t="s">
        <v>169</v>
      </c>
      <c r="BF23" s="403">
        <v>48</v>
      </c>
      <c r="BG23" s="403">
        <v>50</v>
      </c>
      <c r="BH23" s="403">
        <v>22</v>
      </c>
      <c r="BI23" s="403">
        <v>0</v>
      </c>
      <c r="BJ23" s="403">
        <v>22</v>
      </c>
      <c r="BK23" s="403">
        <v>26</v>
      </c>
      <c r="BL23" s="35" t="s">
        <v>2248</v>
      </c>
      <c r="BM23" s="35" t="s">
        <v>2178</v>
      </c>
      <c r="BN23" s="35" t="s">
        <v>2174</v>
      </c>
      <c r="BO23" s="24">
        <v>1</v>
      </c>
      <c r="BP23" s="35" t="s">
        <v>75</v>
      </c>
      <c r="BQ23" s="35" t="s">
        <v>75</v>
      </c>
      <c r="BR23" s="35" t="s">
        <v>75</v>
      </c>
      <c r="BS23" s="24" t="s">
        <v>75</v>
      </c>
      <c r="BT23" s="35" t="s">
        <v>75</v>
      </c>
      <c r="BU23" s="35" t="s">
        <v>75</v>
      </c>
      <c r="BV23" s="35" t="s">
        <v>75</v>
      </c>
      <c r="BW23" s="198" t="s">
        <v>75</v>
      </c>
      <c r="BX23" s="35" t="s">
        <v>75</v>
      </c>
      <c r="BY23" s="35" t="s">
        <v>75</v>
      </c>
      <c r="BZ23" s="35" t="s">
        <v>75</v>
      </c>
      <c r="CA23" s="35" t="s">
        <v>75</v>
      </c>
      <c r="CB23" s="35" t="s">
        <v>75</v>
      </c>
      <c r="CC23" s="35" t="s">
        <v>75</v>
      </c>
      <c r="CD23" s="35" t="s">
        <v>75</v>
      </c>
      <c r="CE23" s="35" t="s">
        <v>75</v>
      </c>
      <c r="CF23" s="35" t="s">
        <v>75</v>
      </c>
      <c r="CG23" s="462" t="s">
        <v>75</v>
      </c>
      <c r="CH23" s="198" t="s">
        <v>75</v>
      </c>
      <c r="CI23" s="35" t="s">
        <v>75</v>
      </c>
      <c r="CJ23" s="35" t="s">
        <v>75</v>
      </c>
      <c r="CK23" s="35" t="s">
        <v>75</v>
      </c>
      <c r="CL23" s="35" t="s">
        <v>75</v>
      </c>
      <c r="CM23" s="35" t="s">
        <v>75</v>
      </c>
      <c r="CN23" s="462" t="s">
        <v>75</v>
      </c>
      <c r="CO23" s="390" t="s">
        <v>75</v>
      </c>
      <c r="CP23" s="35" t="s">
        <v>75</v>
      </c>
      <c r="CQ23" s="35" t="s">
        <v>75</v>
      </c>
      <c r="CR23" s="35" t="s">
        <v>75</v>
      </c>
      <c r="CS23" s="35" t="s">
        <v>75</v>
      </c>
      <c r="CT23" s="462" t="s">
        <v>75</v>
      </c>
      <c r="CU23" s="390" t="s">
        <v>75</v>
      </c>
      <c r="CV23" s="35" t="s">
        <v>75</v>
      </c>
      <c r="CW23" s="35" t="s">
        <v>75</v>
      </c>
      <c r="CX23" s="35" t="s">
        <v>75</v>
      </c>
      <c r="CY23" s="35" t="s">
        <v>75</v>
      </c>
      <c r="CZ23" s="462" t="s">
        <v>75</v>
      </c>
      <c r="DA23" s="198" t="s">
        <v>75</v>
      </c>
      <c r="DB23" s="35" t="s">
        <v>75</v>
      </c>
      <c r="DC23" s="35" t="s">
        <v>75</v>
      </c>
      <c r="DD23" s="35" t="s">
        <v>75</v>
      </c>
      <c r="DE23" s="35" t="s">
        <v>75</v>
      </c>
      <c r="DF23" s="462" t="s">
        <v>75</v>
      </c>
      <c r="DG23" s="198" t="s">
        <v>75</v>
      </c>
      <c r="DH23" s="35" t="s">
        <v>75</v>
      </c>
      <c r="DI23" s="35" t="s">
        <v>75</v>
      </c>
      <c r="DJ23" s="35" t="s">
        <v>75</v>
      </c>
      <c r="DK23" s="35" t="s">
        <v>75</v>
      </c>
      <c r="DL23" s="462" t="s">
        <v>75</v>
      </c>
      <c r="DM23" s="198" t="s">
        <v>75</v>
      </c>
      <c r="DN23" s="35" t="s">
        <v>75</v>
      </c>
      <c r="DO23" s="35" t="s">
        <v>75</v>
      </c>
      <c r="DP23" s="35" t="s">
        <v>75</v>
      </c>
      <c r="DQ23" s="35" t="s">
        <v>75</v>
      </c>
      <c r="DR23" s="462" t="s">
        <v>75</v>
      </c>
      <c r="DS23" s="198" t="s">
        <v>75</v>
      </c>
      <c r="DT23" s="35" t="s">
        <v>75</v>
      </c>
      <c r="DU23" s="35" t="s">
        <v>75</v>
      </c>
      <c r="DV23" s="35" t="s">
        <v>75</v>
      </c>
      <c r="DW23" s="35" t="s">
        <v>75</v>
      </c>
      <c r="DX23" s="462" t="s">
        <v>75</v>
      </c>
      <c r="DY23" s="198" t="s">
        <v>75</v>
      </c>
      <c r="DZ23" s="35" t="s">
        <v>75</v>
      </c>
      <c r="EA23" s="35" t="s">
        <v>75</v>
      </c>
      <c r="EB23" s="35" t="s">
        <v>75</v>
      </c>
      <c r="EC23" s="35" t="s">
        <v>75</v>
      </c>
      <c r="ED23" s="462" t="s">
        <v>75</v>
      </c>
      <c r="EF23" s="35" t="s">
        <v>75</v>
      </c>
      <c r="EG23" s="35" t="s">
        <v>75</v>
      </c>
      <c r="EH23" s="35" t="s">
        <v>75</v>
      </c>
      <c r="EI23" s="35" t="s">
        <v>75</v>
      </c>
      <c r="EJ23" s="462" t="s">
        <v>75</v>
      </c>
      <c r="EK23" s="198" t="s">
        <v>75</v>
      </c>
      <c r="EL23" s="35" t="s">
        <v>75</v>
      </c>
      <c r="EM23" s="35" t="s">
        <v>75</v>
      </c>
      <c r="EN23" s="35" t="s">
        <v>75</v>
      </c>
      <c r="EO23" s="35" t="s">
        <v>75</v>
      </c>
      <c r="EP23" s="462" t="s">
        <v>75</v>
      </c>
      <c r="EQ23" s="198" t="s">
        <v>75</v>
      </c>
      <c r="ER23" s="35" t="s">
        <v>75</v>
      </c>
      <c r="EU23" s="197" t="s">
        <v>75</v>
      </c>
      <c r="EV23" s="35" t="s">
        <v>169</v>
      </c>
      <c r="EW23" s="35" t="s">
        <v>155</v>
      </c>
      <c r="EX23" s="35" t="s">
        <v>2249</v>
      </c>
      <c r="EY23" s="35" t="s">
        <v>1387</v>
      </c>
      <c r="EZ23" s="35" t="s">
        <v>2250</v>
      </c>
      <c r="FA23" s="197">
        <v>48</v>
      </c>
      <c r="FB23" s="197">
        <v>0</v>
      </c>
      <c r="FC23" s="403">
        <v>50</v>
      </c>
      <c r="FD23" s="403">
        <v>98</v>
      </c>
      <c r="FE23" s="403">
        <v>48</v>
      </c>
      <c r="FF23" s="403">
        <v>22</v>
      </c>
      <c r="FG23" s="403">
        <v>0</v>
      </c>
      <c r="FH23" s="403">
        <v>22</v>
      </c>
      <c r="FI23" s="403">
        <v>76</v>
      </c>
      <c r="FJ23" s="403">
        <v>26</v>
      </c>
      <c r="FK23" s="403">
        <v>0</v>
      </c>
      <c r="FL23" s="403">
        <v>0</v>
      </c>
      <c r="FM23" s="403">
        <v>76</v>
      </c>
      <c r="FN23" s="403">
        <v>26</v>
      </c>
      <c r="FO23" s="403">
        <v>58</v>
      </c>
      <c r="FP23" s="403">
        <v>8</v>
      </c>
      <c r="FQ23" s="403">
        <v>18</v>
      </c>
      <c r="FR23" s="403">
        <v>18</v>
      </c>
      <c r="FS23" s="460" t="s">
        <v>65</v>
      </c>
      <c r="FU23" s="408" t="str">
        <f t="shared" si="2"/>
        <v>N</v>
      </c>
      <c r="FV23">
        <f>IF(ISERROR(DATEDIF('Debit orders'!$E$1,B23,"M")),0,DATEDIF('Debit orders'!$E$1,B23,"M"))</f>
        <v>1</v>
      </c>
    </row>
    <row r="24" spans="1:180">
      <c r="A24" s="228">
        <v>42185</v>
      </c>
      <c r="B24" s="228">
        <v>42217</v>
      </c>
      <c r="C24" s="301">
        <v>9575</v>
      </c>
      <c r="D24" s="301">
        <v>50260160</v>
      </c>
      <c r="E24" s="35" t="s">
        <v>1307</v>
      </c>
      <c r="F24" s="35" t="s">
        <v>1354</v>
      </c>
      <c r="G24" s="35" t="s">
        <v>1309</v>
      </c>
      <c r="H24" s="35" t="s">
        <v>2253</v>
      </c>
      <c r="I24" s="35" t="s">
        <v>1359</v>
      </c>
      <c r="J24" s="35" t="s">
        <v>1360</v>
      </c>
      <c r="K24" s="35" t="s">
        <v>2229</v>
      </c>
      <c r="L24" s="300">
        <v>22091</v>
      </c>
      <c r="M24" s="198" t="s">
        <v>2254</v>
      </c>
      <c r="N24" s="35" t="s">
        <v>1310</v>
      </c>
      <c r="O24" s="35" t="s">
        <v>1311</v>
      </c>
      <c r="P24" s="35" t="s">
        <v>1312</v>
      </c>
      <c r="Q24" s="35" t="s">
        <v>78</v>
      </c>
      <c r="R24" s="198">
        <v>7493</v>
      </c>
      <c r="S24" s="35" t="s">
        <v>1310</v>
      </c>
      <c r="T24" s="35" t="s">
        <v>1311</v>
      </c>
      <c r="U24" s="35" t="s">
        <v>1312</v>
      </c>
      <c r="V24" s="35" t="s">
        <v>78</v>
      </c>
      <c r="W24" s="198">
        <v>7493</v>
      </c>
      <c r="X24" s="35" t="s">
        <v>1365</v>
      </c>
      <c r="Y24" s="35" t="s">
        <v>2255</v>
      </c>
      <c r="Z24" s="35" t="s">
        <v>2256</v>
      </c>
      <c r="AA24" s="35" t="s">
        <v>2255</v>
      </c>
      <c r="AB24" s="35" t="s">
        <v>1583</v>
      </c>
      <c r="AC24" s="35" t="s">
        <v>2257</v>
      </c>
      <c r="AD24" s="35" t="s">
        <v>2258</v>
      </c>
      <c r="AE24" s="35" t="s">
        <v>2259</v>
      </c>
      <c r="AF24" s="35" t="s">
        <v>1583</v>
      </c>
      <c r="AG24" s="35" t="s">
        <v>2260</v>
      </c>
      <c r="AH24" s="35" t="s">
        <v>75</v>
      </c>
      <c r="AI24" s="35" t="s">
        <v>75</v>
      </c>
      <c r="AJ24" s="35" t="s">
        <v>75</v>
      </c>
      <c r="AK24" s="35" t="s">
        <v>75</v>
      </c>
      <c r="AL24" s="35" t="s">
        <v>75</v>
      </c>
      <c r="AM24" s="35" t="s">
        <v>75</v>
      </c>
      <c r="AN24" s="35" t="s">
        <v>75</v>
      </c>
      <c r="AO24" s="35" t="s">
        <v>75</v>
      </c>
      <c r="AP24" s="35" t="s">
        <v>75</v>
      </c>
      <c r="AQ24" s="35" t="s">
        <v>75</v>
      </c>
      <c r="AR24" s="35" t="s">
        <v>75</v>
      </c>
      <c r="AS24" s="35" t="s">
        <v>75</v>
      </c>
      <c r="AT24" s="35" t="s">
        <v>75</v>
      </c>
      <c r="AU24" s="35" t="s">
        <v>75</v>
      </c>
      <c r="AV24" s="198" t="s">
        <v>75</v>
      </c>
      <c r="AW24" s="35" t="s">
        <v>75</v>
      </c>
      <c r="AX24" s="35" t="s">
        <v>75</v>
      </c>
      <c r="AY24" s="35" t="s">
        <v>75</v>
      </c>
      <c r="AZ24" s="35" t="s">
        <v>75</v>
      </c>
      <c r="BA24" s="35" t="s">
        <v>75</v>
      </c>
      <c r="BB24" s="35" t="s">
        <v>75</v>
      </c>
      <c r="BC24" s="35" t="s">
        <v>2251</v>
      </c>
      <c r="BD24" s="390">
        <v>1</v>
      </c>
      <c r="BE24" s="35" t="s">
        <v>1723</v>
      </c>
      <c r="BF24" s="403">
        <v>229</v>
      </c>
      <c r="BG24" s="403">
        <v>75</v>
      </c>
      <c r="BH24" s="403">
        <v>50</v>
      </c>
      <c r="BI24" s="403">
        <v>100</v>
      </c>
      <c r="BJ24" s="403">
        <v>150</v>
      </c>
      <c r="BK24" s="403">
        <v>79</v>
      </c>
      <c r="BL24" s="35" t="s">
        <v>1973</v>
      </c>
      <c r="BM24" s="35" t="s">
        <v>1309</v>
      </c>
      <c r="BN24" s="35" t="s">
        <v>1314</v>
      </c>
      <c r="BO24" s="24">
        <v>1</v>
      </c>
      <c r="BP24" s="35" t="s">
        <v>75</v>
      </c>
      <c r="BQ24" s="35" t="s">
        <v>75</v>
      </c>
      <c r="BR24" s="35" t="s">
        <v>75</v>
      </c>
      <c r="BS24" s="24" t="s">
        <v>75</v>
      </c>
      <c r="BT24" s="35" t="s">
        <v>75</v>
      </c>
      <c r="BU24" s="35" t="s">
        <v>75</v>
      </c>
      <c r="BV24" s="35" t="s">
        <v>75</v>
      </c>
      <c r="BW24" s="198" t="s">
        <v>75</v>
      </c>
      <c r="BX24" s="35" t="s">
        <v>75</v>
      </c>
      <c r="BY24" s="35" t="s">
        <v>75</v>
      </c>
      <c r="BZ24" s="35" t="s">
        <v>75</v>
      </c>
      <c r="CA24" s="35" t="s">
        <v>75</v>
      </c>
      <c r="CB24" s="35" t="s">
        <v>75</v>
      </c>
      <c r="CC24" s="35" t="s">
        <v>75</v>
      </c>
      <c r="CD24" s="35" t="s">
        <v>1973</v>
      </c>
      <c r="CE24" s="35" t="s">
        <v>1309</v>
      </c>
      <c r="CF24" s="35" t="s">
        <v>1314</v>
      </c>
      <c r="CG24" s="462" t="s">
        <v>2261</v>
      </c>
      <c r="CH24" s="198" t="s">
        <v>2222</v>
      </c>
      <c r="CI24" s="35" t="s">
        <v>2258</v>
      </c>
      <c r="CJ24" s="35" t="s">
        <v>1952</v>
      </c>
      <c r="CK24" s="35" t="s">
        <v>75</v>
      </c>
      <c r="CL24" s="35" t="s">
        <v>75</v>
      </c>
      <c r="CM24" s="35" t="s">
        <v>75</v>
      </c>
      <c r="CN24" s="462" t="s">
        <v>75</v>
      </c>
      <c r="CO24" s="390" t="s">
        <v>75</v>
      </c>
      <c r="CP24" s="35" t="s">
        <v>75</v>
      </c>
      <c r="CQ24" s="35" t="s">
        <v>75</v>
      </c>
      <c r="CR24" s="35" t="s">
        <v>75</v>
      </c>
      <c r="CS24" s="35" t="s">
        <v>75</v>
      </c>
      <c r="CT24" s="462" t="s">
        <v>75</v>
      </c>
      <c r="CU24" s="390" t="s">
        <v>75</v>
      </c>
      <c r="CV24" s="35" t="s">
        <v>75</v>
      </c>
      <c r="CW24" s="35" t="s">
        <v>75</v>
      </c>
      <c r="CX24" s="35" t="s">
        <v>75</v>
      </c>
      <c r="CY24" s="35" t="s">
        <v>75</v>
      </c>
      <c r="CZ24" s="462" t="s">
        <v>75</v>
      </c>
      <c r="DA24" s="198" t="s">
        <v>75</v>
      </c>
      <c r="DB24" s="35" t="s">
        <v>75</v>
      </c>
      <c r="DC24" s="35" t="s">
        <v>75</v>
      </c>
      <c r="DD24" s="35" t="s">
        <v>75</v>
      </c>
      <c r="DE24" s="35" t="s">
        <v>75</v>
      </c>
      <c r="DF24" s="462" t="s">
        <v>75</v>
      </c>
      <c r="DG24" s="198" t="s">
        <v>75</v>
      </c>
      <c r="DH24" s="35" t="s">
        <v>75</v>
      </c>
      <c r="DI24" s="35" t="s">
        <v>75</v>
      </c>
      <c r="DJ24" s="35" t="s">
        <v>75</v>
      </c>
      <c r="DK24" s="35" t="s">
        <v>75</v>
      </c>
      <c r="DL24" s="462" t="s">
        <v>75</v>
      </c>
      <c r="DM24" s="198" t="s">
        <v>75</v>
      </c>
      <c r="DN24" s="35" t="s">
        <v>75</v>
      </c>
      <c r="DO24" s="35" t="s">
        <v>75</v>
      </c>
      <c r="DP24" s="35" t="s">
        <v>75</v>
      </c>
      <c r="DQ24" s="35" t="s">
        <v>75</v>
      </c>
      <c r="DR24" s="462" t="s">
        <v>75</v>
      </c>
      <c r="DS24" s="198" t="s">
        <v>75</v>
      </c>
      <c r="DT24" s="35" t="s">
        <v>75</v>
      </c>
      <c r="DU24" s="35" t="s">
        <v>2262</v>
      </c>
      <c r="DV24" s="35" t="s">
        <v>2263</v>
      </c>
      <c r="DW24" s="35" t="s">
        <v>2252</v>
      </c>
      <c r="DX24" s="462" t="s">
        <v>2264</v>
      </c>
      <c r="DY24" s="198" t="s">
        <v>1998</v>
      </c>
      <c r="DZ24" s="35" t="s">
        <v>1400</v>
      </c>
      <c r="EA24" s="35" t="s">
        <v>75</v>
      </c>
      <c r="EB24" s="35" t="s">
        <v>75</v>
      </c>
      <c r="EC24" s="35" t="s">
        <v>75</v>
      </c>
      <c r="ED24" s="462" t="s">
        <v>75</v>
      </c>
      <c r="EF24" s="35" t="s">
        <v>75</v>
      </c>
      <c r="EG24" s="35" t="s">
        <v>75</v>
      </c>
      <c r="EH24" s="35" t="s">
        <v>75</v>
      </c>
      <c r="EI24" s="35" t="s">
        <v>75</v>
      </c>
      <c r="EJ24" s="462" t="s">
        <v>75</v>
      </c>
      <c r="EK24" s="198" t="s">
        <v>75</v>
      </c>
      <c r="EL24" s="35" t="s">
        <v>75</v>
      </c>
      <c r="EM24" s="35" t="s">
        <v>75</v>
      </c>
      <c r="EN24" s="35" t="s">
        <v>75</v>
      </c>
      <c r="EO24" s="35" t="s">
        <v>75</v>
      </c>
      <c r="EP24" s="462" t="s">
        <v>75</v>
      </c>
      <c r="EQ24" s="198" t="s">
        <v>75</v>
      </c>
      <c r="ER24" s="35" t="s">
        <v>75</v>
      </c>
      <c r="ES24" s="197" t="s">
        <v>1865</v>
      </c>
      <c r="ET24" s="197" t="s">
        <v>1958</v>
      </c>
      <c r="EU24" s="197" t="s">
        <v>1959</v>
      </c>
      <c r="EV24" s="35" t="s">
        <v>1723</v>
      </c>
      <c r="EW24" s="35" t="s">
        <v>140</v>
      </c>
      <c r="EX24" s="35" t="s">
        <v>2226</v>
      </c>
      <c r="EY24" s="35" t="s">
        <v>1387</v>
      </c>
      <c r="EZ24" s="35" t="s">
        <v>2265</v>
      </c>
      <c r="FA24" s="197">
        <v>229</v>
      </c>
      <c r="FB24" s="197">
        <v>50</v>
      </c>
      <c r="FC24" s="403">
        <v>75</v>
      </c>
      <c r="FD24" s="403">
        <v>354</v>
      </c>
      <c r="FE24" s="403">
        <v>279</v>
      </c>
      <c r="FF24" s="403">
        <v>50</v>
      </c>
      <c r="FG24" s="403">
        <v>22</v>
      </c>
      <c r="FH24" s="403">
        <v>72</v>
      </c>
      <c r="FI24" s="403">
        <v>282</v>
      </c>
      <c r="FJ24" s="403">
        <v>207</v>
      </c>
      <c r="FK24" s="403">
        <v>100</v>
      </c>
      <c r="FL24" s="403">
        <v>100</v>
      </c>
      <c r="FM24" s="403">
        <v>182</v>
      </c>
      <c r="FN24" s="403">
        <v>107</v>
      </c>
      <c r="FO24" s="403">
        <v>102</v>
      </c>
      <c r="FP24" s="403">
        <v>40</v>
      </c>
      <c r="FQ24" s="403">
        <v>80</v>
      </c>
      <c r="FR24" s="403">
        <v>67</v>
      </c>
      <c r="FS24" s="460" t="s">
        <v>65</v>
      </c>
      <c r="FU24" s="408" t="str">
        <f t="shared" si="2"/>
        <v>N</v>
      </c>
      <c r="FV24">
        <f>IF(ISERROR(DATEDIF('Debit orders'!$E$1,B24,"M")),0,DATEDIF('Debit orders'!$E$1,B24,"M"))</f>
        <v>1</v>
      </c>
    </row>
    <row r="25" spans="1:180">
      <c r="A25" s="228">
        <v>42185</v>
      </c>
      <c r="B25" s="228">
        <v>42217</v>
      </c>
      <c r="C25" s="301">
        <v>9575</v>
      </c>
      <c r="D25" s="301">
        <v>50260194</v>
      </c>
      <c r="E25" s="35" t="s">
        <v>1307</v>
      </c>
      <c r="F25" s="35" t="s">
        <v>1355</v>
      </c>
      <c r="G25" s="35" t="s">
        <v>2267</v>
      </c>
      <c r="H25" s="35" t="s">
        <v>2268</v>
      </c>
      <c r="I25" s="35" t="s">
        <v>1359</v>
      </c>
      <c r="J25" s="35" t="s">
        <v>1360</v>
      </c>
      <c r="K25" s="35" t="s">
        <v>2266</v>
      </c>
      <c r="L25" s="300">
        <v>26245</v>
      </c>
      <c r="M25" s="198" t="s">
        <v>2118</v>
      </c>
      <c r="N25" s="35" t="s">
        <v>1310</v>
      </c>
      <c r="O25" s="35" t="s">
        <v>1311</v>
      </c>
      <c r="P25" s="35" t="s">
        <v>1312</v>
      </c>
      <c r="Q25" s="35" t="s">
        <v>78</v>
      </c>
      <c r="R25" s="198">
        <v>7493</v>
      </c>
      <c r="S25" s="35" t="s">
        <v>1310</v>
      </c>
      <c r="T25" s="35" t="s">
        <v>1311</v>
      </c>
      <c r="U25" s="35" t="s">
        <v>1312</v>
      </c>
      <c r="V25" s="35" t="s">
        <v>78</v>
      </c>
      <c r="W25" s="198">
        <v>7493</v>
      </c>
      <c r="X25" s="35" t="s">
        <v>1364</v>
      </c>
      <c r="Y25" s="35" t="s">
        <v>2269</v>
      </c>
      <c r="Z25" s="35" t="s">
        <v>2270</v>
      </c>
      <c r="AA25" s="35" t="s">
        <v>2269</v>
      </c>
      <c r="AB25" s="35" t="s">
        <v>1583</v>
      </c>
      <c r="AC25" s="35" t="s">
        <v>2271</v>
      </c>
      <c r="AD25" s="35" t="s">
        <v>75</v>
      </c>
      <c r="AE25" s="35" t="s">
        <v>75</v>
      </c>
      <c r="AF25" s="35" t="s">
        <v>75</v>
      </c>
      <c r="AG25" s="35" t="s">
        <v>75</v>
      </c>
      <c r="AH25" s="35" t="s">
        <v>75</v>
      </c>
      <c r="AI25" s="35" t="s">
        <v>75</v>
      </c>
      <c r="AJ25" s="35" t="s">
        <v>75</v>
      </c>
      <c r="AK25" s="35" t="s">
        <v>75</v>
      </c>
      <c r="AL25" s="35" t="s">
        <v>75</v>
      </c>
      <c r="AM25" s="35" t="s">
        <v>75</v>
      </c>
      <c r="AN25" s="35" t="s">
        <v>75</v>
      </c>
      <c r="AO25" s="35" t="s">
        <v>75</v>
      </c>
      <c r="AP25" s="35" t="s">
        <v>75</v>
      </c>
      <c r="AQ25" s="35" t="s">
        <v>75</v>
      </c>
      <c r="AR25" s="35" t="s">
        <v>75</v>
      </c>
      <c r="AS25" s="35" t="s">
        <v>75</v>
      </c>
      <c r="AT25" s="35" t="s">
        <v>75</v>
      </c>
      <c r="AU25" s="35" t="s">
        <v>75</v>
      </c>
      <c r="AV25" s="198" t="s">
        <v>75</v>
      </c>
      <c r="AW25" s="35" t="s">
        <v>75</v>
      </c>
      <c r="AX25" s="35" t="s">
        <v>75</v>
      </c>
      <c r="AY25" s="35" t="s">
        <v>75</v>
      </c>
      <c r="AZ25" s="35" t="s">
        <v>75</v>
      </c>
      <c r="BA25" s="35" t="s">
        <v>75</v>
      </c>
      <c r="BB25" s="35" t="s">
        <v>75</v>
      </c>
      <c r="BC25" s="35" t="s">
        <v>191</v>
      </c>
      <c r="BD25" s="390">
        <v>1</v>
      </c>
      <c r="BE25" s="35" t="s">
        <v>1720</v>
      </c>
      <c r="BF25" s="403">
        <v>99</v>
      </c>
      <c r="BG25" s="403">
        <v>75</v>
      </c>
      <c r="BH25" s="403">
        <v>9</v>
      </c>
      <c r="BI25" s="403">
        <v>40</v>
      </c>
      <c r="BJ25" s="403">
        <v>49</v>
      </c>
      <c r="BK25" s="403">
        <v>50</v>
      </c>
      <c r="BL25" s="35" t="s">
        <v>2228</v>
      </c>
      <c r="BM25" s="35" t="s">
        <v>1309</v>
      </c>
      <c r="BN25" s="35" t="s">
        <v>2229</v>
      </c>
      <c r="BO25" s="24">
        <v>1</v>
      </c>
      <c r="BP25" s="35" t="s">
        <v>75</v>
      </c>
      <c r="BQ25" s="35" t="s">
        <v>75</v>
      </c>
      <c r="BR25" s="35" t="s">
        <v>75</v>
      </c>
      <c r="BS25" s="24" t="s">
        <v>75</v>
      </c>
      <c r="BT25" s="35" t="s">
        <v>75</v>
      </c>
      <c r="BU25" s="35" t="s">
        <v>75</v>
      </c>
      <c r="BV25" s="35" t="s">
        <v>75</v>
      </c>
      <c r="BW25" s="198" t="s">
        <v>75</v>
      </c>
      <c r="BX25" s="35" t="s">
        <v>75</v>
      </c>
      <c r="BY25" s="35" t="s">
        <v>75</v>
      </c>
      <c r="BZ25" s="35" t="s">
        <v>75</v>
      </c>
      <c r="CA25" s="35" t="s">
        <v>75</v>
      </c>
      <c r="CB25" s="35" t="s">
        <v>75</v>
      </c>
      <c r="CC25" s="35" t="s">
        <v>75</v>
      </c>
      <c r="CD25" s="35" t="s">
        <v>75</v>
      </c>
      <c r="CE25" s="35" t="s">
        <v>75</v>
      </c>
      <c r="CF25" s="35" t="s">
        <v>75</v>
      </c>
      <c r="CG25" s="462" t="s">
        <v>75</v>
      </c>
      <c r="CH25" s="198" t="s">
        <v>75</v>
      </c>
      <c r="CI25" s="35" t="s">
        <v>75</v>
      </c>
      <c r="CJ25" s="35" t="s">
        <v>75</v>
      </c>
      <c r="CK25" s="35" t="s">
        <v>75</v>
      </c>
      <c r="CL25" s="35" t="s">
        <v>75</v>
      </c>
      <c r="CM25" s="35" t="s">
        <v>75</v>
      </c>
      <c r="CN25" s="462" t="s">
        <v>75</v>
      </c>
      <c r="CO25" s="390" t="s">
        <v>75</v>
      </c>
      <c r="CP25" s="35" t="s">
        <v>75</v>
      </c>
      <c r="CQ25" s="35" t="s">
        <v>75</v>
      </c>
      <c r="CR25" s="35" t="s">
        <v>75</v>
      </c>
      <c r="CS25" s="35" t="s">
        <v>75</v>
      </c>
      <c r="CT25" s="462" t="s">
        <v>75</v>
      </c>
      <c r="CU25" s="390" t="s">
        <v>75</v>
      </c>
      <c r="CV25" s="35" t="s">
        <v>75</v>
      </c>
      <c r="CW25" s="35" t="s">
        <v>75</v>
      </c>
      <c r="CX25" s="35" t="s">
        <v>75</v>
      </c>
      <c r="CY25" s="35" t="s">
        <v>75</v>
      </c>
      <c r="CZ25" s="462" t="s">
        <v>75</v>
      </c>
      <c r="DA25" s="198" t="s">
        <v>75</v>
      </c>
      <c r="DB25" s="35" t="s">
        <v>75</v>
      </c>
      <c r="DC25" s="35" t="s">
        <v>75</v>
      </c>
      <c r="DD25" s="35" t="s">
        <v>75</v>
      </c>
      <c r="DE25" s="35" t="s">
        <v>75</v>
      </c>
      <c r="DF25" s="462" t="s">
        <v>75</v>
      </c>
      <c r="DG25" s="198" t="s">
        <v>75</v>
      </c>
      <c r="DH25" s="35" t="s">
        <v>75</v>
      </c>
      <c r="DI25" s="35" t="s">
        <v>75</v>
      </c>
      <c r="DJ25" s="35" t="s">
        <v>75</v>
      </c>
      <c r="DK25" s="35" t="s">
        <v>75</v>
      </c>
      <c r="DL25" s="462" t="s">
        <v>75</v>
      </c>
      <c r="DM25" s="198" t="s">
        <v>75</v>
      </c>
      <c r="DN25" s="35" t="s">
        <v>75</v>
      </c>
      <c r="DO25" s="35" t="s">
        <v>75</v>
      </c>
      <c r="DP25" s="35" t="s">
        <v>75</v>
      </c>
      <c r="DQ25" s="35" t="s">
        <v>75</v>
      </c>
      <c r="DR25" s="462" t="s">
        <v>75</v>
      </c>
      <c r="DS25" s="198" t="s">
        <v>75</v>
      </c>
      <c r="DT25" s="35" t="s">
        <v>75</v>
      </c>
      <c r="DU25" s="35" t="s">
        <v>75</v>
      </c>
      <c r="DV25" s="35" t="s">
        <v>75</v>
      </c>
      <c r="DW25" s="35" t="s">
        <v>75</v>
      </c>
      <c r="DX25" s="462" t="s">
        <v>75</v>
      </c>
      <c r="DY25" s="198" t="s">
        <v>75</v>
      </c>
      <c r="DZ25" s="35" t="s">
        <v>75</v>
      </c>
      <c r="EA25" s="35" t="s">
        <v>75</v>
      </c>
      <c r="EB25" s="35" t="s">
        <v>75</v>
      </c>
      <c r="EC25" s="35" t="s">
        <v>75</v>
      </c>
      <c r="ED25" s="462" t="s">
        <v>75</v>
      </c>
      <c r="EF25" s="35" t="s">
        <v>75</v>
      </c>
      <c r="EG25" s="35" t="s">
        <v>75</v>
      </c>
      <c r="EH25" s="35" t="s">
        <v>75</v>
      </c>
      <c r="EI25" s="35" t="s">
        <v>75</v>
      </c>
      <c r="EJ25" s="462" t="s">
        <v>75</v>
      </c>
      <c r="EK25" s="198" t="s">
        <v>75</v>
      </c>
      <c r="EL25" s="35" t="s">
        <v>75</v>
      </c>
      <c r="EM25" s="35" t="s">
        <v>75</v>
      </c>
      <c r="EN25" s="35" t="s">
        <v>75</v>
      </c>
      <c r="EO25" s="35" t="s">
        <v>75</v>
      </c>
      <c r="EP25" s="462" t="s">
        <v>75</v>
      </c>
      <c r="EQ25" s="198" t="s">
        <v>75</v>
      </c>
      <c r="ER25" s="35" t="s">
        <v>75</v>
      </c>
      <c r="EU25" s="197" t="s">
        <v>75</v>
      </c>
      <c r="EV25" s="35" t="s">
        <v>1720</v>
      </c>
      <c r="EW25" s="35" t="s">
        <v>138</v>
      </c>
      <c r="EX25" s="35" t="s">
        <v>2272</v>
      </c>
      <c r="EY25" s="35" t="s">
        <v>1387</v>
      </c>
      <c r="EZ25" s="35" t="s">
        <v>2273</v>
      </c>
      <c r="FA25" s="197">
        <v>99</v>
      </c>
      <c r="FB25" s="197">
        <v>0</v>
      </c>
      <c r="FC25" s="403">
        <v>75</v>
      </c>
      <c r="FD25" s="403">
        <v>174</v>
      </c>
      <c r="FE25" s="403">
        <v>99</v>
      </c>
      <c r="FF25" s="403">
        <v>9</v>
      </c>
      <c r="FG25" s="403">
        <v>0</v>
      </c>
      <c r="FH25" s="403">
        <v>9</v>
      </c>
      <c r="FI25" s="403">
        <v>165</v>
      </c>
      <c r="FJ25" s="403">
        <v>90</v>
      </c>
      <c r="FK25" s="403">
        <v>40</v>
      </c>
      <c r="FL25" s="403">
        <v>40</v>
      </c>
      <c r="FM25" s="403">
        <v>125</v>
      </c>
      <c r="FN25" s="403">
        <v>50</v>
      </c>
      <c r="FO25" s="403">
        <v>72</v>
      </c>
      <c r="FP25" s="403">
        <v>10</v>
      </c>
      <c r="FQ25" s="403">
        <v>52</v>
      </c>
      <c r="FR25" s="403">
        <v>40</v>
      </c>
      <c r="FS25" s="460" t="s">
        <v>65</v>
      </c>
      <c r="FU25" s="408" t="str">
        <f t="shared" si="2"/>
        <v>N</v>
      </c>
      <c r="FV25">
        <f>IF(ISERROR(DATEDIF('Debit orders'!$E$1,B25,"M")),0,DATEDIF('Debit orders'!$E$1,B25,"M"))</f>
        <v>1</v>
      </c>
    </row>
    <row r="26" spans="1:180">
      <c r="A26" s="468">
        <v>42185</v>
      </c>
      <c r="B26" s="228">
        <v>42217</v>
      </c>
      <c r="C26" s="301">
        <v>9575</v>
      </c>
      <c r="D26" s="301">
        <v>50260178</v>
      </c>
      <c r="E26" s="35" t="s">
        <v>1307</v>
      </c>
      <c r="F26" s="35" t="s">
        <v>1353</v>
      </c>
      <c r="G26" s="35" t="s">
        <v>2275</v>
      </c>
      <c r="H26" s="35" t="s">
        <v>2276</v>
      </c>
      <c r="I26" s="35" t="s">
        <v>1358</v>
      </c>
      <c r="J26" s="35" t="s">
        <v>1360</v>
      </c>
      <c r="K26" s="35" t="s">
        <v>2274</v>
      </c>
      <c r="L26" s="300">
        <v>22968</v>
      </c>
      <c r="M26" s="198" t="s">
        <v>2222</v>
      </c>
      <c r="N26" s="35" t="s">
        <v>2277</v>
      </c>
      <c r="O26" s="35" t="s">
        <v>1311</v>
      </c>
      <c r="P26" s="35" t="s">
        <v>1312</v>
      </c>
      <c r="Q26" s="35" t="s">
        <v>78</v>
      </c>
      <c r="R26" s="198" t="s">
        <v>93</v>
      </c>
      <c r="S26" s="35" t="s">
        <v>2277</v>
      </c>
      <c r="T26" s="35" t="s">
        <v>1311</v>
      </c>
      <c r="U26" s="35" t="s">
        <v>1312</v>
      </c>
      <c r="V26" s="35" t="s">
        <v>78</v>
      </c>
      <c r="W26" s="198" t="s">
        <v>93</v>
      </c>
      <c r="X26" s="35" t="s">
        <v>1364</v>
      </c>
      <c r="Y26" s="35" t="s">
        <v>2278</v>
      </c>
      <c r="Z26" s="35" t="s">
        <v>2270</v>
      </c>
      <c r="AA26" s="35" t="s">
        <v>75</v>
      </c>
      <c r="AB26" s="35" t="s">
        <v>75</v>
      </c>
      <c r="AC26" s="35" t="s">
        <v>75</v>
      </c>
      <c r="AD26" s="35" t="s">
        <v>75</v>
      </c>
      <c r="AE26" s="35" t="s">
        <v>75</v>
      </c>
      <c r="AF26" s="35" t="s">
        <v>75</v>
      </c>
      <c r="AG26" s="35" t="s">
        <v>75</v>
      </c>
      <c r="AH26" s="35" t="s">
        <v>75</v>
      </c>
      <c r="AI26" s="35" t="s">
        <v>75</v>
      </c>
      <c r="AJ26" s="35" t="s">
        <v>75</v>
      </c>
      <c r="AK26" s="35" t="s">
        <v>75</v>
      </c>
      <c r="AL26" s="35" t="s">
        <v>75</v>
      </c>
      <c r="AM26" s="35" t="s">
        <v>75</v>
      </c>
      <c r="AN26" s="35" t="s">
        <v>75</v>
      </c>
      <c r="AO26" s="35" t="s">
        <v>75</v>
      </c>
      <c r="AP26" s="35" t="s">
        <v>75</v>
      </c>
      <c r="AQ26" s="35" t="s">
        <v>75</v>
      </c>
      <c r="AR26" s="35" t="s">
        <v>75</v>
      </c>
      <c r="AS26" s="35" t="s">
        <v>75</v>
      </c>
      <c r="AT26" s="35" t="s">
        <v>75</v>
      </c>
      <c r="AU26" s="35" t="s">
        <v>75</v>
      </c>
      <c r="AV26" s="198" t="s">
        <v>75</v>
      </c>
      <c r="AW26" s="35" t="s">
        <v>75</v>
      </c>
      <c r="AX26" s="35" t="s">
        <v>75</v>
      </c>
      <c r="AY26" s="35" t="s">
        <v>75</v>
      </c>
      <c r="AZ26" s="35" t="s">
        <v>75</v>
      </c>
      <c r="BA26" s="35" t="s">
        <v>75</v>
      </c>
      <c r="BB26" s="35" t="s">
        <v>75</v>
      </c>
      <c r="BC26" s="35" t="s">
        <v>191</v>
      </c>
      <c r="BD26" s="390">
        <v>1</v>
      </c>
      <c r="BE26" s="35" t="s">
        <v>169</v>
      </c>
      <c r="BF26" s="403">
        <v>48</v>
      </c>
      <c r="BG26" s="403">
        <v>50</v>
      </c>
      <c r="BH26" s="403">
        <v>22</v>
      </c>
      <c r="BI26" s="403">
        <v>0</v>
      </c>
      <c r="BJ26" s="403">
        <v>22</v>
      </c>
      <c r="BK26" s="403">
        <v>26</v>
      </c>
      <c r="BL26" s="35" t="s">
        <v>2228</v>
      </c>
      <c r="BM26" s="35" t="s">
        <v>1309</v>
      </c>
      <c r="BN26" s="35" t="s">
        <v>2229</v>
      </c>
      <c r="BO26" s="24">
        <v>1</v>
      </c>
      <c r="BP26" s="35" t="s">
        <v>75</v>
      </c>
      <c r="BQ26" s="35" t="s">
        <v>75</v>
      </c>
      <c r="BR26" s="35" t="s">
        <v>75</v>
      </c>
      <c r="BS26" s="24" t="s">
        <v>75</v>
      </c>
      <c r="BT26" s="35" t="s">
        <v>75</v>
      </c>
      <c r="BU26" s="35" t="s">
        <v>75</v>
      </c>
      <c r="BV26" s="35" t="s">
        <v>75</v>
      </c>
      <c r="BW26" s="198" t="s">
        <v>75</v>
      </c>
      <c r="BX26" s="35" t="s">
        <v>75</v>
      </c>
      <c r="BY26" s="35" t="s">
        <v>75</v>
      </c>
      <c r="BZ26" s="35" t="s">
        <v>75</v>
      </c>
      <c r="CA26" s="35" t="s">
        <v>75</v>
      </c>
      <c r="CB26" s="35" t="s">
        <v>75</v>
      </c>
      <c r="CC26" s="35" t="s">
        <v>75</v>
      </c>
      <c r="CD26" s="35" t="s">
        <v>75</v>
      </c>
      <c r="CE26" s="35" t="s">
        <v>75</v>
      </c>
      <c r="CF26" s="35" t="s">
        <v>75</v>
      </c>
      <c r="CG26" s="462" t="s">
        <v>75</v>
      </c>
      <c r="CH26" s="198" t="s">
        <v>75</v>
      </c>
      <c r="CI26" s="35" t="s">
        <v>75</v>
      </c>
      <c r="CJ26" s="35" t="s">
        <v>75</v>
      </c>
      <c r="CK26" s="35" t="s">
        <v>75</v>
      </c>
      <c r="CL26" s="35" t="s">
        <v>75</v>
      </c>
      <c r="CM26" s="35" t="s">
        <v>75</v>
      </c>
      <c r="CN26" s="462" t="s">
        <v>75</v>
      </c>
      <c r="CO26" s="390" t="s">
        <v>75</v>
      </c>
      <c r="CP26" s="35" t="s">
        <v>75</v>
      </c>
      <c r="CQ26" s="35" t="s">
        <v>75</v>
      </c>
      <c r="CR26" s="35" t="s">
        <v>75</v>
      </c>
      <c r="CS26" s="35" t="s">
        <v>75</v>
      </c>
      <c r="CT26" s="462" t="s">
        <v>75</v>
      </c>
      <c r="CU26" s="390" t="s">
        <v>75</v>
      </c>
      <c r="CV26" s="35" t="s">
        <v>75</v>
      </c>
      <c r="CW26" s="35" t="s">
        <v>75</v>
      </c>
      <c r="CX26" s="35" t="s">
        <v>75</v>
      </c>
      <c r="CY26" s="35" t="s">
        <v>75</v>
      </c>
      <c r="CZ26" s="462" t="s">
        <v>75</v>
      </c>
      <c r="DA26" s="198" t="s">
        <v>75</v>
      </c>
      <c r="DB26" s="35" t="s">
        <v>75</v>
      </c>
      <c r="DC26" s="35" t="s">
        <v>75</v>
      </c>
      <c r="DD26" s="35" t="s">
        <v>75</v>
      </c>
      <c r="DE26" s="35" t="s">
        <v>75</v>
      </c>
      <c r="DF26" s="462" t="s">
        <v>75</v>
      </c>
      <c r="DG26" s="198" t="s">
        <v>75</v>
      </c>
      <c r="DH26" s="35" t="s">
        <v>75</v>
      </c>
      <c r="DI26" s="35" t="s">
        <v>75</v>
      </c>
      <c r="DJ26" s="35" t="s">
        <v>75</v>
      </c>
      <c r="DK26" s="35" t="s">
        <v>75</v>
      </c>
      <c r="DL26" s="462" t="s">
        <v>75</v>
      </c>
      <c r="DM26" s="198" t="s">
        <v>75</v>
      </c>
      <c r="DN26" s="35" t="s">
        <v>75</v>
      </c>
      <c r="DO26" s="35" t="s">
        <v>75</v>
      </c>
      <c r="DP26" s="35" t="s">
        <v>75</v>
      </c>
      <c r="DQ26" s="35" t="s">
        <v>75</v>
      </c>
      <c r="DR26" s="462" t="s">
        <v>75</v>
      </c>
      <c r="DS26" s="198" t="s">
        <v>75</v>
      </c>
      <c r="DT26" s="35" t="s">
        <v>75</v>
      </c>
      <c r="DU26" s="35" t="s">
        <v>75</v>
      </c>
      <c r="DV26" s="35" t="s">
        <v>75</v>
      </c>
      <c r="DW26" s="35" t="s">
        <v>75</v>
      </c>
      <c r="DX26" s="462" t="s">
        <v>75</v>
      </c>
      <c r="DY26" s="198" t="s">
        <v>75</v>
      </c>
      <c r="DZ26" s="35" t="s">
        <v>75</v>
      </c>
      <c r="EA26" s="35" t="s">
        <v>75</v>
      </c>
      <c r="EB26" s="35" t="s">
        <v>75</v>
      </c>
      <c r="EC26" s="35" t="s">
        <v>75</v>
      </c>
      <c r="ED26" s="462" t="s">
        <v>75</v>
      </c>
      <c r="EF26" s="35" t="s">
        <v>75</v>
      </c>
      <c r="EG26" s="35" t="s">
        <v>75</v>
      </c>
      <c r="EH26" s="35" t="s">
        <v>75</v>
      </c>
      <c r="EI26" s="35" t="s">
        <v>75</v>
      </c>
      <c r="EJ26" s="462" t="s">
        <v>75</v>
      </c>
      <c r="EK26" s="198" t="s">
        <v>75</v>
      </c>
      <c r="EL26" s="35" t="s">
        <v>75</v>
      </c>
      <c r="EM26" s="35" t="s">
        <v>75</v>
      </c>
      <c r="EN26" s="35" t="s">
        <v>75</v>
      </c>
      <c r="EO26" s="35" t="s">
        <v>75</v>
      </c>
      <c r="EP26" s="462" t="s">
        <v>75</v>
      </c>
      <c r="EQ26" s="198" t="s">
        <v>75</v>
      </c>
      <c r="ER26" s="35" t="s">
        <v>75</v>
      </c>
      <c r="EU26" s="197" t="s">
        <v>75</v>
      </c>
      <c r="EV26" s="35" t="s">
        <v>169</v>
      </c>
      <c r="EW26" s="35" t="s">
        <v>155</v>
      </c>
      <c r="EX26" s="35" t="s">
        <v>2279</v>
      </c>
      <c r="EY26" s="35" t="s">
        <v>1387</v>
      </c>
      <c r="EZ26" s="35" t="s">
        <v>2280</v>
      </c>
      <c r="FA26" s="197">
        <v>48</v>
      </c>
      <c r="FB26" s="197">
        <v>0</v>
      </c>
      <c r="FC26" s="403">
        <v>50</v>
      </c>
      <c r="FD26" s="403">
        <v>98</v>
      </c>
      <c r="FE26" s="403">
        <v>48</v>
      </c>
      <c r="FF26" s="403">
        <v>22</v>
      </c>
      <c r="FG26" s="403">
        <v>0</v>
      </c>
      <c r="FH26" s="403">
        <v>22</v>
      </c>
      <c r="FI26" s="403">
        <v>76</v>
      </c>
      <c r="FJ26" s="403">
        <v>26</v>
      </c>
      <c r="FK26" s="403">
        <v>0</v>
      </c>
      <c r="FL26" s="403">
        <v>0</v>
      </c>
      <c r="FM26" s="403">
        <v>76</v>
      </c>
      <c r="FN26" s="403">
        <v>26</v>
      </c>
      <c r="FO26" s="403">
        <v>58</v>
      </c>
      <c r="FP26" s="403">
        <v>8</v>
      </c>
      <c r="FQ26" s="403">
        <v>18</v>
      </c>
      <c r="FR26" s="403">
        <v>18</v>
      </c>
      <c r="FS26" s="460" t="s">
        <v>65</v>
      </c>
      <c r="FU26" s="408" t="str">
        <f t="shared" si="2"/>
        <v>N</v>
      </c>
      <c r="FV26">
        <f>IF(ISERROR(DATEDIF('Debit orders'!$E$1,B26,"M")),0,DATEDIF('Debit orders'!$E$1,B26,"M"))</f>
        <v>1</v>
      </c>
    </row>
    <row r="27" spans="1:180">
      <c r="A27" s="228">
        <v>42176</v>
      </c>
      <c r="B27" s="228">
        <v>42186</v>
      </c>
      <c r="C27" s="301">
        <v>9575</v>
      </c>
      <c r="D27" s="301">
        <v>50260764</v>
      </c>
      <c r="E27" s="35" t="s">
        <v>2321</v>
      </c>
      <c r="F27" s="35" t="s">
        <v>1355</v>
      </c>
      <c r="G27" s="35" t="s">
        <v>2325</v>
      </c>
      <c r="H27" s="35" t="s">
        <v>2326</v>
      </c>
      <c r="I27" s="35" t="s">
        <v>1359</v>
      </c>
      <c r="J27" s="35" t="s">
        <v>1360</v>
      </c>
      <c r="K27" s="35" t="s">
        <v>2322</v>
      </c>
      <c r="L27" s="300">
        <v>27150</v>
      </c>
      <c r="M27" s="198" t="s">
        <v>2327</v>
      </c>
      <c r="N27" s="35" t="s">
        <v>2328</v>
      </c>
      <c r="O27" s="35" t="s">
        <v>75</v>
      </c>
      <c r="P27" s="35" t="s">
        <v>2329</v>
      </c>
      <c r="Q27" s="35" t="s">
        <v>78</v>
      </c>
      <c r="R27" s="198" t="s">
        <v>75</v>
      </c>
      <c r="S27" s="35" t="s">
        <v>2328</v>
      </c>
      <c r="T27" s="35" t="s">
        <v>75</v>
      </c>
      <c r="U27" s="35" t="s">
        <v>2329</v>
      </c>
      <c r="V27" s="35" t="s">
        <v>78</v>
      </c>
      <c r="W27" s="198" t="s">
        <v>75</v>
      </c>
      <c r="X27" s="35" t="s">
        <v>1364</v>
      </c>
      <c r="Y27" s="35" t="s">
        <v>2330</v>
      </c>
      <c r="Z27" s="35" t="s">
        <v>75</v>
      </c>
      <c r="AA27" s="35" t="s">
        <v>75</v>
      </c>
      <c r="AB27" s="35" t="s">
        <v>75</v>
      </c>
      <c r="AC27" s="35" t="s">
        <v>75</v>
      </c>
      <c r="AD27" s="35" t="s">
        <v>75</v>
      </c>
      <c r="AE27" s="35" t="s">
        <v>75</v>
      </c>
      <c r="AF27" s="35" t="s">
        <v>75</v>
      </c>
      <c r="AG27" s="35" t="s">
        <v>75</v>
      </c>
      <c r="AH27" s="35" t="s">
        <v>75</v>
      </c>
      <c r="AI27" s="35" t="s">
        <v>75</v>
      </c>
      <c r="AJ27" s="35" t="s">
        <v>75</v>
      </c>
      <c r="AK27" s="35" t="s">
        <v>75</v>
      </c>
      <c r="AL27" s="35" t="s">
        <v>75</v>
      </c>
      <c r="AM27" s="35" t="s">
        <v>75</v>
      </c>
      <c r="AN27" s="35" t="s">
        <v>75</v>
      </c>
      <c r="AO27" s="35" t="s">
        <v>75</v>
      </c>
      <c r="AP27" s="35" t="s">
        <v>75</v>
      </c>
      <c r="AQ27" s="35" t="s">
        <v>75</v>
      </c>
      <c r="AR27" s="35" t="s">
        <v>75</v>
      </c>
      <c r="AS27" s="35" t="s">
        <v>75</v>
      </c>
      <c r="AT27" s="35" t="s">
        <v>75</v>
      </c>
      <c r="AU27" s="35" t="s">
        <v>75</v>
      </c>
      <c r="AV27" s="198" t="s">
        <v>75</v>
      </c>
      <c r="AW27" s="35" t="s">
        <v>75</v>
      </c>
      <c r="AX27" s="35" t="s">
        <v>75</v>
      </c>
      <c r="AY27" s="35" t="s">
        <v>75</v>
      </c>
      <c r="AZ27" s="35" t="s">
        <v>75</v>
      </c>
      <c r="BA27" s="35" t="s">
        <v>75</v>
      </c>
      <c r="BB27" s="35" t="s">
        <v>75</v>
      </c>
      <c r="BC27" s="35" t="s">
        <v>75</v>
      </c>
      <c r="BD27" s="390">
        <v>1</v>
      </c>
      <c r="BE27" s="35" t="s">
        <v>179</v>
      </c>
      <c r="BF27" s="403">
        <v>88</v>
      </c>
      <c r="BG27" s="403">
        <v>50</v>
      </c>
      <c r="BH27" s="403">
        <v>39</v>
      </c>
      <c r="BI27" s="403">
        <v>0</v>
      </c>
      <c r="BJ27" s="403">
        <v>39</v>
      </c>
      <c r="BK27" s="403">
        <v>49</v>
      </c>
      <c r="BL27" s="35" t="s">
        <v>2331</v>
      </c>
      <c r="BM27" s="35" t="s">
        <v>2325</v>
      </c>
      <c r="BN27" s="35" t="s">
        <v>75</v>
      </c>
      <c r="BO27" s="24">
        <v>1</v>
      </c>
      <c r="BP27" s="35" t="s">
        <v>75</v>
      </c>
      <c r="BQ27" s="35" t="s">
        <v>75</v>
      </c>
      <c r="BR27" s="35" t="s">
        <v>75</v>
      </c>
      <c r="BS27" s="24" t="s">
        <v>75</v>
      </c>
      <c r="BT27" s="35" t="s">
        <v>75</v>
      </c>
      <c r="BU27" s="35" t="s">
        <v>75</v>
      </c>
      <c r="BV27" s="35" t="s">
        <v>75</v>
      </c>
      <c r="BW27" s="198" t="s">
        <v>75</v>
      </c>
      <c r="BX27" s="35" t="s">
        <v>75</v>
      </c>
      <c r="BY27" s="35" t="s">
        <v>75</v>
      </c>
      <c r="BZ27" s="35" t="s">
        <v>75</v>
      </c>
      <c r="CA27" s="35" t="s">
        <v>75</v>
      </c>
      <c r="CB27" s="35" t="s">
        <v>75</v>
      </c>
      <c r="CC27" s="35" t="s">
        <v>75</v>
      </c>
      <c r="CD27" s="35" t="s">
        <v>75</v>
      </c>
      <c r="CE27" s="35" t="s">
        <v>75</v>
      </c>
      <c r="CF27" s="35" t="s">
        <v>75</v>
      </c>
      <c r="CG27" s="466" t="s">
        <v>75</v>
      </c>
      <c r="CH27" s="198" t="s">
        <v>75</v>
      </c>
      <c r="CI27" s="35" t="s">
        <v>75</v>
      </c>
      <c r="CJ27" s="35" t="s">
        <v>75</v>
      </c>
      <c r="CK27" s="35" t="s">
        <v>1973</v>
      </c>
      <c r="CL27" s="35" t="s">
        <v>2325</v>
      </c>
      <c r="CM27" s="35" t="s">
        <v>2323</v>
      </c>
      <c r="CN27" s="466" t="s">
        <v>2332</v>
      </c>
      <c r="CO27" s="390" t="s">
        <v>2333</v>
      </c>
      <c r="CP27" s="35" t="s">
        <v>1623</v>
      </c>
      <c r="CQ27" s="35" t="s">
        <v>2331</v>
      </c>
      <c r="CR27" s="35" t="s">
        <v>2325</v>
      </c>
      <c r="CS27" s="35" t="s">
        <v>2324</v>
      </c>
      <c r="CT27" s="466" t="s">
        <v>2334</v>
      </c>
      <c r="CU27" s="390" t="s">
        <v>2335</v>
      </c>
      <c r="CV27" s="35" t="s">
        <v>1400</v>
      </c>
      <c r="CW27" s="35" t="s">
        <v>75</v>
      </c>
      <c r="CX27" s="35" t="s">
        <v>75</v>
      </c>
      <c r="CY27" s="35" t="s">
        <v>75</v>
      </c>
      <c r="CZ27" s="466" t="s">
        <v>75</v>
      </c>
      <c r="DA27" s="198" t="s">
        <v>75</v>
      </c>
      <c r="DB27" s="35" t="s">
        <v>75</v>
      </c>
      <c r="DC27" s="35" t="s">
        <v>75</v>
      </c>
      <c r="DD27" s="35" t="s">
        <v>75</v>
      </c>
      <c r="DE27" s="35" t="s">
        <v>75</v>
      </c>
      <c r="DF27" s="466" t="s">
        <v>75</v>
      </c>
      <c r="DG27" s="198" t="s">
        <v>75</v>
      </c>
      <c r="DH27" s="35" t="s">
        <v>75</v>
      </c>
      <c r="DI27" s="35" t="s">
        <v>75</v>
      </c>
      <c r="DJ27" s="35" t="s">
        <v>75</v>
      </c>
      <c r="DK27" s="35" t="s">
        <v>75</v>
      </c>
      <c r="DL27" s="466" t="s">
        <v>75</v>
      </c>
      <c r="DM27" s="198" t="s">
        <v>75</v>
      </c>
      <c r="DN27" s="35" t="s">
        <v>75</v>
      </c>
      <c r="DO27" s="35" t="s">
        <v>75</v>
      </c>
      <c r="DP27" s="35" t="s">
        <v>75</v>
      </c>
      <c r="DQ27" s="35" t="s">
        <v>75</v>
      </c>
      <c r="DR27" s="466" t="s">
        <v>75</v>
      </c>
      <c r="DS27" s="198" t="s">
        <v>75</v>
      </c>
      <c r="DT27" s="35" t="s">
        <v>75</v>
      </c>
      <c r="DU27" s="35" t="s">
        <v>75</v>
      </c>
      <c r="DV27" s="35" t="s">
        <v>75</v>
      </c>
      <c r="DW27" s="35" t="s">
        <v>75</v>
      </c>
      <c r="DX27" s="466" t="s">
        <v>75</v>
      </c>
      <c r="DY27" s="198" t="s">
        <v>75</v>
      </c>
      <c r="DZ27" s="35" t="s">
        <v>75</v>
      </c>
      <c r="EA27" s="35" t="s">
        <v>75</v>
      </c>
      <c r="EB27" s="35" t="s">
        <v>75</v>
      </c>
      <c r="EC27" s="35" t="s">
        <v>75</v>
      </c>
      <c r="ED27" s="466" t="s">
        <v>75</v>
      </c>
      <c r="EF27" s="35" t="s">
        <v>75</v>
      </c>
      <c r="EG27" s="35" t="s">
        <v>75</v>
      </c>
      <c r="EH27" s="35" t="s">
        <v>75</v>
      </c>
      <c r="EI27" s="35" t="s">
        <v>75</v>
      </c>
      <c r="EJ27" s="466" t="s">
        <v>75</v>
      </c>
      <c r="EK27" s="198" t="s">
        <v>75</v>
      </c>
      <c r="EL27" s="35" t="s">
        <v>75</v>
      </c>
      <c r="EM27" s="35" t="s">
        <v>75</v>
      </c>
      <c r="EN27" s="35" t="s">
        <v>75</v>
      </c>
      <c r="EO27" s="35" t="s">
        <v>75</v>
      </c>
      <c r="EP27" s="466" t="s">
        <v>75</v>
      </c>
      <c r="EQ27" s="198" t="s">
        <v>75</v>
      </c>
      <c r="ER27" s="35" t="s">
        <v>75</v>
      </c>
      <c r="EU27" s="197" t="s">
        <v>75</v>
      </c>
      <c r="EV27" s="35" t="s">
        <v>179</v>
      </c>
      <c r="EW27" s="35" t="s">
        <v>161</v>
      </c>
      <c r="EX27" s="35" t="s">
        <v>2336</v>
      </c>
      <c r="EY27" s="35" t="s">
        <v>1387</v>
      </c>
      <c r="EZ27" s="35" t="s">
        <v>2337</v>
      </c>
      <c r="FA27" s="197">
        <v>88</v>
      </c>
      <c r="FB27" s="197">
        <v>0</v>
      </c>
      <c r="FC27" s="403">
        <v>50</v>
      </c>
      <c r="FD27" s="403">
        <v>138</v>
      </c>
      <c r="FE27" s="403">
        <v>88</v>
      </c>
      <c r="FF27" s="403">
        <v>39</v>
      </c>
      <c r="FG27" s="403">
        <v>0</v>
      </c>
      <c r="FH27" s="403">
        <v>39</v>
      </c>
      <c r="FI27" s="403">
        <v>99</v>
      </c>
      <c r="FJ27" s="403">
        <v>49</v>
      </c>
      <c r="FK27" s="403">
        <v>0</v>
      </c>
      <c r="FL27" s="403">
        <v>0</v>
      </c>
      <c r="FM27" s="403">
        <v>99</v>
      </c>
      <c r="FN27" s="403">
        <v>49</v>
      </c>
      <c r="FO27" s="403">
        <v>60</v>
      </c>
      <c r="FP27" s="403">
        <v>20</v>
      </c>
      <c r="FQ27" s="403">
        <v>39</v>
      </c>
      <c r="FR27" s="403">
        <v>29</v>
      </c>
      <c r="FS27" s="464" t="s">
        <v>65</v>
      </c>
      <c r="FU27" s="408" t="str">
        <f>IF(AND(FS27="Active",BC27="debit order",FV27&lt;1),"Y","N")</f>
        <v>N</v>
      </c>
      <c r="FV27">
        <f>IF(ISERROR(DATEDIF('Debit orders'!$E$1,B27,"M")),0,DATEDIF('Debit orders'!$E$1,B27,"M"))</f>
        <v>0</v>
      </c>
      <c r="FX27" t="s">
        <v>2368</v>
      </c>
    </row>
    <row r="28" spans="1:180">
      <c r="A28" s="228">
        <v>42190</v>
      </c>
      <c r="B28" s="228">
        <v>42186</v>
      </c>
      <c r="C28" s="301">
        <v>9575</v>
      </c>
      <c r="D28" s="301">
        <v>50260772</v>
      </c>
      <c r="E28" s="35" t="s">
        <v>2321</v>
      </c>
      <c r="F28" s="35" t="s">
        <v>1355</v>
      </c>
      <c r="G28" s="35" t="s">
        <v>2325</v>
      </c>
      <c r="H28" s="35" t="s">
        <v>2343</v>
      </c>
      <c r="I28" s="35" t="s">
        <v>1359</v>
      </c>
      <c r="J28" s="35" t="s">
        <v>1360</v>
      </c>
      <c r="K28" s="35" t="s">
        <v>2338</v>
      </c>
      <c r="L28" s="300">
        <v>29030</v>
      </c>
      <c r="M28" s="198" t="s">
        <v>1899</v>
      </c>
      <c r="N28" s="35" t="s">
        <v>2344</v>
      </c>
      <c r="O28" s="35" t="s">
        <v>75</v>
      </c>
      <c r="P28" s="35" t="s">
        <v>2329</v>
      </c>
      <c r="Q28" s="35" t="s">
        <v>78</v>
      </c>
      <c r="R28" s="198" t="s">
        <v>75</v>
      </c>
      <c r="S28" s="35" t="s">
        <v>2344</v>
      </c>
      <c r="T28" s="35" t="s">
        <v>2345</v>
      </c>
      <c r="U28" s="35" t="s">
        <v>2346</v>
      </c>
      <c r="V28" s="35" t="s">
        <v>78</v>
      </c>
      <c r="W28" s="198" t="s">
        <v>75</v>
      </c>
      <c r="X28" s="35" t="s">
        <v>1365</v>
      </c>
      <c r="Y28" s="35" t="s">
        <v>2347</v>
      </c>
      <c r="Z28" s="35" t="s">
        <v>75</v>
      </c>
      <c r="AA28" s="35" t="s">
        <v>75</v>
      </c>
      <c r="AB28" s="35" t="s">
        <v>75</v>
      </c>
      <c r="AC28" s="35" t="s">
        <v>75</v>
      </c>
      <c r="AD28" s="35" t="s">
        <v>75</v>
      </c>
      <c r="AE28" s="35" t="s">
        <v>75</v>
      </c>
      <c r="AF28" s="35" t="s">
        <v>75</v>
      </c>
      <c r="AG28" s="35" t="s">
        <v>75</v>
      </c>
      <c r="AH28" s="35" t="s">
        <v>75</v>
      </c>
      <c r="AI28" s="35" t="s">
        <v>75</v>
      </c>
      <c r="AJ28" s="35" t="s">
        <v>75</v>
      </c>
      <c r="AK28" s="35" t="s">
        <v>75</v>
      </c>
      <c r="AL28" s="35" t="s">
        <v>75</v>
      </c>
      <c r="AM28" s="35" t="s">
        <v>75</v>
      </c>
      <c r="AN28" s="35" t="s">
        <v>75</v>
      </c>
      <c r="AO28" s="35" t="s">
        <v>75</v>
      </c>
      <c r="AP28" s="35" t="s">
        <v>75</v>
      </c>
      <c r="AQ28" s="35" t="s">
        <v>75</v>
      </c>
      <c r="AR28" s="35" t="s">
        <v>75</v>
      </c>
      <c r="AS28" s="35" t="s">
        <v>75</v>
      </c>
      <c r="AT28" s="35" t="s">
        <v>75</v>
      </c>
      <c r="AU28" s="35" t="s">
        <v>75</v>
      </c>
      <c r="AV28" s="198" t="s">
        <v>75</v>
      </c>
      <c r="AW28" s="35" t="s">
        <v>75</v>
      </c>
      <c r="AX28" s="35" t="s">
        <v>75</v>
      </c>
      <c r="AY28" s="35" t="s">
        <v>75</v>
      </c>
      <c r="AZ28" s="35" t="s">
        <v>75</v>
      </c>
      <c r="BA28" s="35" t="s">
        <v>75</v>
      </c>
      <c r="BB28" s="35" t="s">
        <v>75</v>
      </c>
      <c r="BC28" s="35" t="s">
        <v>75</v>
      </c>
      <c r="BD28" s="390">
        <v>1</v>
      </c>
      <c r="BE28" s="35" t="s">
        <v>179</v>
      </c>
      <c r="BF28" s="403">
        <v>88</v>
      </c>
      <c r="BG28" s="403">
        <v>50</v>
      </c>
      <c r="BH28" s="403">
        <v>39</v>
      </c>
      <c r="BI28" s="403">
        <v>0</v>
      </c>
      <c r="BJ28" s="403">
        <v>39</v>
      </c>
      <c r="BK28" s="403">
        <v>49</v>
      </c>
      <c r="BL28" s="35" t="s">
        <v>1358</v>
      </c>
      <c r="BM28" s="35" t="s">
        <v>2325</v>
      </c>
      <c r="BN28" s="35" t="s">
        <v>2339</v>
      </c>
      <c r="BO28" s="24">
        <v>1</v>
      </c>
      <c r="BP28" s="35" t="s">
        <v>75</v>
      </c>
      <c r="BQ28" s="35" t="s">
        <v>75</v>
      </c>
      <c r="BR28" s="35" t="s">
        <v>75</v>
      </c>
      <c r="BS28" s="24" t="s">
        <v>75</v>
      </c>
      <c r="BT28" s="35" t="s">
        <v>75</v>
      </c>
      <c r="BU28" s="35" t="s">
        <v>75</v>
      </c>
      <c r="BV28" s="35" t="s">
        <v>75</v>
      </c>
      <c r="BW28" s="198" t="s">
        <v>75</v>
      </c>
      <c r="BX28" s="35" t="s">
        <v>75</v>
      </c>
      <c r="BY28" s="35" t="s">
        <v>75</v>
      </c>
      <c r="BZ28" s="35" t="s">
        <v>75</v>
      </c>
      <c r="CA28" s="35" t="s">
        <v>75</v>
      </c>
      <c r="CB28" s="35" t="s">
        <v>75</v>
      </c>
      <c r="CC28" s="35" t="s">
        <v>75</v>
      </c>
      <c r="CD28" s="35" t="s">
        <v>1358</v>
      </c>
      <c r="CE28" s="35" t="s">
        <v>2325</v>
      </c>
      <c r="CF28" s="35" t="s">
        <v>2339</v>
      </c>
      <c r="CG28" s="466" t="s">
        <v>2348</v>
      </c>
      <c r="CH28" s="198" t="s">
        <v>2203</v>
      </c>
      <c r="CI28" s="35" t="s">
        <v>75</v>
      </c>
      <c r="CJ28" s="35" t="s">
        <v>1952</v>
      </c>
      <c r="CK28" s="35" t="s">
        <v>1358</v>
      </c>
      <c r="CL28" s="35" t="s">
        <v>2349</v>
      </c>
      <c r="CM28" s="35" t="s">
        <v>2340</v>
      </c>
      <c r="CN28" s="466" t="s">
        <v>2350</v>
      </c>
      <c r="CO28" s="390" t="s">
        <v>2351</v>
      </c>
      <c r="CP28" s="35" t="s">
        <v>1619</v>
      </c>
      <c r="CQ28" s="35" t="s">
        <v>2352</v>
      </c>
      <c r="CR28" s="35" t="s">
        <v>2325</v>
      </c>
      <c r="CS28" s="35" t="s">
        <v>2341</v>
      </c>
      <c r="CT28" s="466" t="s">
        <v>2353</v>
      </c>
      <c r="CU28" s="390" t="s">
        <v>2354</v>
      </c>
      <c r="CV28" s="35" t="s">
        <v>1619</v>
      </c>
      <c r="CW28" s="35" t="s">
        <v>2355</v>
      </c>
      <c r="CX28" s="35" t="s">
        <v>2325</v>
      </c>
      <c r="CY28" s="35" t="s">
        <v>2342</v>
      </c>
      <c r="CZ28" s="466" t="s">
        <v>2356</v>
      </c>
      <c r="DA28" s="198" t="s">
        <v>2357</v>
      </c>
      <c r="DB28" s="35" t="s">
        <v>1619</v>
      </c>
      <c r="DC28" s="35" t="s">
        <v>75</v>
      </c>
      <c r="DD28" s="35" t="s">
        <v>75</v>
      </c>
      <c r="DE28" s="35" t="s">
        <v>75</v>
      </c>
      <c r="DF28" s="466" t="s">
        <v>75</v>
      </c>
      <c r="DG28" s="198" t="s">
        <v>75</v>
      </c>
      <c r="DH28" s="35" t="s">
        <v>75</v>
      </c>
      <c r="DI28" s="35" t="s">
        <v>75</v>
      </c>
      <c r="DJ28" s="35" t="s">
        <v>75</v>
      </c>
      <c r="DK28" s="35" t="s">
        <v>75</v>
      </c>
      <c r="DL28" s="466" t="s">
        <v>75</v>
      </c>
      <c r="DM28" s="198" t="s">
        <v>75</v>
      </c>
      <c r="DN28" s="35" t="s">
        <v>75</v>
      </c>
      <c r="DO28" s="35" t="s">
        <v>75</v>
      </c>
      <c r="DP28" s="35" t="s">
        <v>75</v>
      </c>
      <c r="DQ28" s="35" t="s">
        <v>75</v>
      </c>
      <c r="DR28" s="466" t="s">
        <v>75</v>
      </c>
      <c r="DS28" s="198" t="s">
        <v>75</v>
      </c>
      <c r="DT28" s="35" t="s">
        <v>75</v>
      </c>
      <c r="DU28" s="35" t="s">
        <v>75</v>
      </c>
      <c r="DV28" s="35" t="s">
        <v>75</v>
      </c>
      <c r="DW28" s="35" t="s">
        <v>75</v>
      </c>
      <c r="DX28" s="466" t="s">
        <v>75</v>
      </c>
      <c r="DY28" s="198" t="s">
        <v>75</v>
      </c>
      <c r="DZ28" s="35" t="s">
        <v>75</v>
      </c>
      <c r="EA28" s="35" t="s">
        <v>75</v>
      </c>
      <c r="EB28" s="35" t="s">
        <v>75</v>
      </c>
      <c r="EC28" s="35" t="s">
        <v>75</v>
      </c>
      <c r="ED28" s="466" t="s">
        <v>75</v>
      </c>
      <c r="EF28" s="35" t="s">
        <v>75</v>
      </c>
      <c r="EG28" s="35" t="s">
        <v>75</v>
      </c>
      <c r="EH28" s="35" t="s">
        <v>75</v>
      </c>
      <c r="EI28" s="35" t="s">
        <v>75</v>
      </c>
      <c r="EJ28" s="466" t="s">
        <v>75</v>
      </c>
      <c r="EK28" s="198" t="s">
        <v>75</v>
      </c>
      <c r="EL28" s="35" t="s">
        <v>75</v>
      </c>
      <c r="EM28" s="35" t="s">
        <v>75</v>
      </c>
      <c r="EN28" s="35" t="s">
        <v>75</v>
      </c>
      <c r="EO28" s="35" t="s">
        <v>75</v>
      </c>
      <c r="EP28" s="466" t="s">
        <v>75</v>
      </c>
      <c r="EQ28" s="198" t="s">
        <v>75</v>
      </c>
      <c r="ER28" s="35" t="s">
        <v>75</v>
      </c>
      <c r="EU28" s="197" t="s">
        <v>75</v>
      </c>
      <c r="EV28" s="35" t="s">
        <v>179</v>
      </c>
      <c r="EW28" s="35" t="s">
        <v>161</v>
      </c>
      <c r="EX28" s="35" t="s">
        <v>2358</v>
      </c>
      <c r="EY28" s="35" t="s">
        <v>1387</v>
      </c>
      <c r="EZ28" s="35" t="s">
        <v>2359</v>
      </c>
      <c r="FA28" s="197">
        <v>88</v>
      </c>
      <c r="FB28" s="197">
        <v>0</v>
      </c>
      <c r="FC28" s="403">
        <v>50</v>
      </c>
      <c r="FD28" s="403">
        <v>138</v>
      </c>
      <c r="FE28" s="403">
        <v>88</v>
      </c>
      <c r="FF28" s="403">
        <v>39</v>
      </c>
      <c r="FG28" s="403">
        <v>0</v>
      </c>
      <c r="FH28" s="403">
        <v>39</v>
      </c>
      <c r="FI28" s="403">
        <v>99</v>
      </c>
      <c r="FJ28" s="403">
        <v>49</v>
      </c>
      <c r="FK28" s="403">
        <v>0</v>
      </c>
      <c r="FL28" s="403">
        <v>0</v>
      </c>
      <c r="FM28" s="403">
        <v>99</v>
      </c>
      <c r="FN28" s="403">
        <v>49</v>
      </c>
      <c r="FO28" s="403">
        <v>60</v>
      </c>
      <c r="FP28" s="403">
        <v>20</v>
      </c>
      <c r="FQ28" s="403">
        <v>39</v>
      </c>
      <c r="FR28" s="403">
        <v>29</v>
      </c>
      <c r="FS28" s="464" t="s">
        <v>65</v>
      </c>
      <c r="FU28" s="408" t="str">
        <f>IF(AND(FS28="Active",BC28="debit order",FV28&lt;1),"Y","N")</f>
        <v>N</v>
      </c>
      <c r="FV28">
        <f>IF(ISERROR(DATEDIF('Debit orders'!$E$1,B28,"M")),0,DATEDIF('Debit orders'!$E$1,B28,"M"))</f>
        <v>0</v>
      </c>
      <c r="FX28" t="s">
        <v>2368</v>
      </c>
    </row>
    <row r="29" spans="1:180">
      <c r="A29" s="469">
        <v>42185</v>
      </c>
      <c r="B29" s="228">
        <v>42186</v>
      </c>
      <c r="C29" s="301">
        <v>9575</v>
      </c>
      <c r="D29" s="301">
        <v>50260780</v>
      </c>
      <c r="E29" s="35" t="s">
        <v>2321</v>
      </c>
      <c r="F29" s="35" t="s">
        <v>1355</v>
      </c>
      <c r="G29" s="35" t="s">
        <v>2361</v>
      </c>
      <c r="H29" s="35" t="s">
        <v>2362</v>
      </c>
      <c r="I29" s="35" t="s">
        <v>1359</v>
      </c>
      <c r="J29" s="35" t="s">
        <v>1360</v>
      </c>
      <c r="K29" s="35" t="s">
        <v>2360</v>
      </c>
      <c r="L29" s="300">
        <v>12950</v>
      </c>
      <c r="M29" s="198" t="s">
        <v>2363</v>
      </c>
      <c r="N29" s="35" t="s">
        <v>2344</v>
      </c>
      <c r="O29" s="35" t="s">
        <v>2329</v>
      </c>
      <c r="P29" s="35" t="s">
        <v>2346</v>
      </c>
      <c r="Q29" s="35" t="s">
        <v>78</v>
      </c>
      <c r="R29" s="198" t="s">
        <v>75</v>
      </c>
      <c r="S29" s="35" t="s">
        <v>2344</v>
      </c>
      <c r="T29" s="35" t="s">
        <v>2329</v>
      </c>
      <c r="U29" s="35" t="s">
        <v>2346</v>
      </c>
      <c r="V29" s="35" t="s">
        <v>78</v>
      </c>
      <c r="W29" s="198" t="s">
        <v>75</v>
      </c>
      <c r="X29" s="35" t="s">
        <v>1364</v>
      </c>
      <c r="Y29" s="35" t="s">
        <v>75</v>
      </c>
      <c r="Z29" s="35" t="s">
        <v>75</v>
      </c>
      <c r="AA29" s="35" t="s">
        <v>75</v>
      </c>
      <c r="AB29" s="35" t="s">
        <v>75</v>
      </c>
      <c r="AC29" s="35" t="s">
        <v>75</v>
      </c>
      <c r="AD29" s="35" t="s">
        <v>75</v>
      </c>
      <c r="AE29" s="35" t="s">
        <v>75</v>
      </c>
      <c r="AF29" s="35" t="s">
        <v>75</v>
      </c>
      <c r="AG29" s="35" t="s">
        <v>75</v>
      </c>
      <c r="AH29" s="35" t="s">
        <v>75</v>
      </c>
      <c r="AI29" s="35" t="s">
        <v>75</v>
      </c>
      <c r="AJ29" s="35" t="s">
        <v>75</v>
      </c>
      <c r="AK29" s="35" t="s">
        <v>75</v>
      </c>
      <c r="AL29" s="35" t="s">
        <v>75</v>
      </c>
      <c r="AM29" s="35" t="s">
        <v>75</v>
      </c>
      <c r="AN29" s="35" t="s">
        <v>75</v>
      </c>
      <c r="AO29" s="35" t="s">
        <v>75</v>
      </c>
      <c r="AP29" s="35" t="s">
        <v>75</v>
      </c>
      <c r="AQ29" s="35" t="s">
        <v>75</v>
      </c>
      <c r="AR29" s="35" t="s">
        <v>75</v>
      </c>
      <c r="AS29" s="35" t="s">
        <v>75</v>
      </c>
      <c r="AT29" s="35" t="s">
        <v>75</v>
      </c>
      <c r="AU29" s="35" t="s">
        <v>75</v>
      </c>
      <c r="AV29" s="198" t="s">
        <v>75</v>
      </c>
      <c r="AW29" s="35" t="s">
        <v>75</v>
      </c>
      <c r="AX29" s="35" t="s">
        <v>75</v>
      </c>
      <c r="AY29" s="35" t="s">
        <v>75</v>
      </c>
      <c r="AZ29" s="35" t="s">
        <v>75</v>
      </c>
      <c r="BA29" s="35" t="s">
        <v>75</v>
      </c>
      <c r="BB29" s="35" t="s">
        <v>75</v>
      </c>
      <c r="BC29" s="35" t="s">
        <v>75</v>
      </c>
      <c r="BD29" s="390">
        <v>1</v>
      </c>
      <c r="BE29" s="35" t="s">
        <v>1843</v>
      </c>
      <c r="BF29" s="403">
        <v>95</v>
      </c>
      <c r="BG29" s="403">
        <v>50</v>
      </c>
      <c r="BH29" s="403">
        <v>50</v>
      </c>
      <c r="BI29" s="403">
        <v>0</v>
      </c>
      <c r="BJ29" s="403">
        <v>50</v>
      </c>
      <c r="BK29" s="403">
        <v>45</v>
      </c>
      <c r="BL29" s="35" t="s">
        <v>1868</v>
      </c>
      <c r="BM29" s="35" t="s">
        <v>2361</v>
      </c>
      <c r="BN29" s="35" t="s">
        <v>2364</v>
      </c>
      <c r="BO29" s="24">
        <v>1</v>
      </c>
      <c r="BP29" s="35" t="s">
        <v>75</v>
      </c>
      <c r="BQ29" s="35" t="s">
        <v>75</v>
      </c>
      <c r="BR29" s="35" t="s">
        <v>75</v>
      </c>
      <c r="BS29" s="24" t="s">
        <v>75</v>
      </c>
      <c r="BT29" s="35" t="s">
        <v>75</v>
      </c>
      <c r="BU29" s="35" t="s">
        <v>75</v>
      </c>
      <c r="BV29" s="35" t="s">
        <v>75</v>
      </c>
      <c r="BW29" s="198" t="s">
        <v>75</v>
      </c>
      <c r="BX29" s="35" t="s">
        <v>75</v>
      </c>
      <c r="BY29" s="35" t="s">
        <v>75</v>
      </c>
      <c r="BZ29" s="35" t="s">
        <v>75</v>
      </c>
      <c r="CA29" s="35" t="s">
        <v>75</v>
      </c>
      <c r="CB29" s="35" t="s">
        <v>75</v>
      </c>
      <c r="CC29" s="35" t="s">
        <v>75</v>
      </c>
      <c r="CD29" s="35" t="s">
        <v>75</v>
      </c>
      <c r="CE29" s="35" t="s">
        <v>75</v>
      </c>
      <c r="CF29" s="35" t="s">
        <v>75</v>
      </c>
      <c r="CG29" s="466" t="s">
        <v>75</v>
      </c>
      <c r="CH29" s="198" t="s">
        <v>75</v>
      </c>
      <c r="CI29" s="35" t="s">
        <v>75</v>
      </c>
      <c r="CJ29" s="35" t="s">
        <v>75</v>
      </c>
      <c r="CK29" s="35" t="s">
        <v>75</v>
      </c>
      <c r="CL29" s="35" t="s">
        <v>75</v>
      </c>
      <c r="CM29" s="35" t="s">
        <v>75</v>
      </c>
      <c r="CN29" s="466" t="s">
        <v>75</v>
      </c>
      <c r="CO29" s="390" t="s">
        <v>75</v>
      </c>
      <c r="CP29" s="35" t="s">
        <v>75</v>
      </c>
      <c r="CQ29" s="35" t="s">
        <v>75</v>
      </c>
      <c r="CR29" s="35" t="s">
        <v>75</v>
      </c>
      <c r="CS29" s="35" t="s">
        <v>75</v>
      </c>
      <c r="CT29" s="466" t="s">
        <v>75</v>
      </c>
      <c r="CU29" s="390" t="s">
        <v>75</v>
      </c>
      <c r="CV29" s="35" t="s">
        <v>75</v>
      </c>
      <c r="CW29" s="35" t="s">
        <v>75</v>
      </c>
      <c r="CX29" s="35" t="s">
        <v>75</v>
      </c>
      <c r="CY29" s="35" t="s">
        <v>75</v>
      </c>
      <c r="CZ29" s="466" t="s">
        <v>75</v>
      </c>
      <c r="DA29" s="198" t="s">
        <v>75</v>
      </c>
      <c r="DB29" s="35" t="s">
        <v>75</v>
      </c>
      <c r="DC29" s="35" t="s">
        <v>75</v>
      </c>
      <c r="DD29" s="35" t="s">
        <v>75</v>
      </c>
      <c r="DE29" s="35" t="s">
        <v>75</v>
      </c>
      <c r="DF29" s="466" t="s">
        <v>75</v>
      </c>
      <c r="DG29" s="198" t="s">
        <v>75</v>
      </c>
      <c r="DH29" s="35" t="s">
        <v>75</v>
      </c>
      <c r="DI29" s="35" t="s">
        <v>75</v>
      </c>
      <c r="DJ29" s="35" t="s">
        <v>75</v>
      </c>
      <c r="DK29" s="35" t="s">
        <v>75</v>
      </c>
      <c r="DL29" s="466" t="s">
        <v>75</v>
      </c>
      <c r="DM29" s="198" t="s">
        <v>75</v>
      </c>
      <c r="DN29" s="35" t="s">
        <v>75</v>
      </c>
      <c r="DO29" s="35" t="s">
        <v>75</v>
      </c>
      <c r="DP29" s="35" t="s">
        <v>75</v>
      </c>
      <c r="DQ29" s="35" t="s">
        <v>75</v>
      </c>
      <c r="DR29" s="466" t="s">
        <v>75</v>
      </c>
      <c r="DS29" s="198" t="s">
        <v>75</v>
      </c>
      <c r="DT29" s="35" t="s">
        <v>75</v>
      </c>
      <c r="DU29" s="35" t="s">
        <v>75</v>
      </c>
      <c r="DV29" s="35" t="s">
        <v>75</v>
      </c>
      <c r="DW29" s="35" t="s">
        <v>75</v>
      </c>
      <c r="DX29" s="466" t="s">
        <v>75</v>
      </c>
      <c r="DY29" s="198" t="s">
        <v>75</v>
      </c>
      <c r="DZ29" s="35" t="s">
        <v>75</v>
      </c>
      <c r="EA29" s="35" t="s">
        <v>75</v>
      </c>
      <c r="EB29" s="35" t="s">
        <v>75</v>
      </c>
      <c r="EC29" s="35" t="s">
        <v>75</v>
      </c>
      <c r="ED29" s="466" t="s">
        <v>75</v>
      </c>
      <c r="EF29" s="35" t="s">
        <v>75</v>
      </c>
      <c r="EG29" s="35" t="s">
        <v>75</v>
      </c>
      <c r="EH29" s="35" t="s">
        <v>75</v>
      </c>
      <c r="EI29" s="35" t="s">
        <v>75</v>
      </c>
      <c r="EJ29" s="466" t="s">
        <v>75</v>
      </c>
      <c r="EK29" s="198" t="s">
        <v>75</v>
      </c>
      <c r="EL29" s="35" t="s">
        <v>75</v>
      </c>
      <c r="EM29" s="35" t="s">
        <v>75</v>
      </c>
      <c r="EN29" s="35" t="s">
        <v>75</v>
      </c>
      <c r="EO29" s="35" t="s">
        <v>75</v>
      </c>
      <c r="EP29" s="466" t="s">
        <v>75</v>
      </c>
      <c r="EQ29" s="198" t="s">
        <v>75</v>
      </c>
      <c r="ER29" s="35" t="s">
        <v>75</v>
      </c>
      <c r="EU29" s="197" t="s">
        <v>75</v>
      </c>
      <c r="EV29" s="35" t="s">
        <v>1843</v>
      </c>
      <c r="EW29" s="35" t="s">
        <v>1841</v>
      </c>
      <c r="EX29" s="35" t="s">
        <v>2365</v>
      </c>
      <c r="EY29" s="35" t="s">
        <v>1387</v>
      </c>
      <c r="EZ29" s="35" t="s">
        <v>2366</v>
      </c>
      <c r="FA29" s="197">
        <v>95</v>
      </c>
      <c r="FB29" s="197">
        <v>0</v>
      </c>
      <c r="FC29" s="403">
        <v>50</v>
      </c>
      <c r="FD29" s="403">
        <v>145</v>
      </c>
      <c r="FE29" s="403">
        <v>95</v>
      </c>
      <c r="FF29" s="403">
        <v>50</v>
      </c>
      <c r="FG29" s="403">
        <v>0</v>
      </c>
      <c r="FH29" s="403">
        <v>50</v>
      </c>
      <c r="FI29" s="403">
        <v>95</v>
      </c>
      <c r="FJ29" s="403">
        <v>45</v>
      </c>
      <c r="FK29" s="403">
        <v>0</v>
      </c>
      <c r="FL29" s="403">
        <v>0</v>
      </c>
      <c r="FM29" s="403">
        <v>95</v>
      </c>
      <c r="FN29" s="403">
        <v>45</v>
      </c>
      <c r="FO29" s="403">
        <v>40</v>
      </c>
      <c r="FP29" s="403">
        <v>0</v>
      </c>
      <c r="FQ29" s="403">
        <v>55</v>
      </c>
      <c r="FR29" s="403">
        <v>45</v>
      </c>
      <c r="FS29" s="464" t="s">
        <v>65</v>
      </c>
      <c r="FU29" s="408" t="str">
        <f>IF(AND(FS29="Active",BC29="debit order",FV29&lt;1),"Y","N")</f>
        <v>N</v>
      </c>
      <c r="FV29">
        <f>IF(ISERROR(DATEDIF('Debit orders'!$E$1,B29,"M")),0,DATEDIF('Debit orders'!$E$1,B29,"M"))</f>
        <v>0</v>
      </c>
      <c r="FX29" t="s">
        <v>2368</v>
      </c>
    </row>
    <row r="30" spans="1:180">
      <c r="A30" s="228">
        <v>42192</v>
      </c>
      <c r="B30" s="228">
        <v>42217</v>
      </c>
      <c r="C30" s="301">
        <v>9575</v>
      </c>
      <c r="D30" s="301">
        <v>50260202</v>
      </c>
      <c r="E30" s="35" t="s">
        <v>1307</v>
      </c>
      <c r="F30" s="35" t="s">
        <v>1355</v>
      </c>
      <c r="G30" s="35" t="s">
        <v>1309</v>
      </c>
      <c r="H30" s="35" t="s">
        <v>2371</v>
      </c>
      <c r="I30" s="35" t="s">
        <v>1359</v>
      </c>
      <c r="J30" s="35" t="s">
        <v>1360</v>
      </c>
      <c r="K30" s="35" t="s">
        <v>2369</v>
      </c>
      <c r="L30" s="300">
        <v>32059</v>
      </c>
      <c r="M30" s="198" t="s">
        <v>2372</v>
      </c>
      <c r="N30" s="35" t="s">
        <v>75</v>
      </c>
      <c r="O30" s="35" t="s">
        <v>75</v>
      </c>
      <c r="P30" s="35" t="s">
        <v>75</v>
      </c>
      <c r="Q30" s="35" t="s">
        <v>75</v>
      </c>
      <c r="R30" s="198" t="s">
        <v>75</v>
      </c>
      <c r="S30" s="35" t="s">
        <v>75</v>
      </c>
      <c r="T30" s="35" t="s">
        <v>75</v>
      </c>
      <c r="U30" s="35" t="s">
        <v>75</v>
      </c>
      <c r="V30" s="35" t="s">
        <v>75</v>
      </c>
      <c r="W30" s="198" t="s">
        <v>75</v>
      </c>
      <c r="X30" s="35" t="s">
        <v>1364</v>
      </c>
      <c r="Y30" s="35" t="s">
        <v>75</v>
      </c>
      <c r="Z30" s="35" t="s">
        <v>75</v>
      </c>
      <c r="AA30" s="35" t="s">
        <v>2373</v>
      </c>
      <c r="AB30" s="35" t="s">
        <v>1583</v>
      </c>
      <c r="AC30" s="35" t="s">
        <v>2374</v>
      </c>
      <c r="AD30" s="35" t="s">
        <v>75</v>
      </c>
      <c r="AE30" s="35" t="s">
        <v>75</v>
      </c>
      <c r="AF30" s="35" t="s">
        <v>75</v>
      </c>
      <c r="AG30" s="35" t="s">
        <v>75</v>
      </c>
      <c r="AH30" s="35" t="s">
        <v>75</v>
      </c>
      <c r="AI30" s="35" t="s">
        <v>75</v>
      </c>
      <c r="AJ30" s="35" t="s">
        <v>75</v>
      </c>
      <c r="AK30" s="35" t="s">
        <v>75</v>
      </c>
      <c r="AL30" s="35" t="s">
        <v>75</v>
      </c>
      <c r="AM30" s="35" t="s">
        <v>75</v>
      </c>
      <c r="AN30" s="35" t="s">
        <v>75</v>
      </c>
      <c r="AO30" s="35" t="s">
        <v>75</v>
      </c>
      <c r="AP30" s="35" t="s">
        <v>75</v>
      </c>
      <c r="AQ30" s="35" t="s">
        <v>75</v>
      </c>
      <c r="AR30" s="35" t="s">
        <v>75</v>
      </c>
      <c r="AS30" s="35" t="s">
        <v>75</v>
      </c>
      <c r="AT30" s="35" t="s">
        <v>75</v>
      </c>
      <c r="AU30" s="35" t="s">
        <v>75</v>
      </c>
      <c r="AV30" s="198" t="s">
        <v>2108</v>
      </c>
      <c r="AW30" s="35" t="s">
        <v>75</v>
      </c>
      <c r="AX30" s="35" t="s">
        <v>75</v>
      </c>
      <c r="AY30" s="35" t="s">
        <v>75</v>
      </c>
      <c r="AZ30" s="35" t="s">
        <v>75</v>
      </c>
      <c r="BA30" s="35" t="s">
        <v>75</v>
      </c>
      <c r="BB30" s="35" t="s">
        <v>75</v>
      </c>
      <c r="BC30" s="35" t="s">
        <v>191</v>
      </c>
      <c r="BD30" s="390">
        <v>1</v>
      </c>
      <c r="BE30" s="35" t="s">
        <v>1721</v>
      </c>
      <c r="BF30" s="403">
        <v>125</v>
      </c>
      <c r="BG30" s="403">
        <v>75</v>
      </c>
      <c r="BH30" s="403">
        <v>28</v>
      </c>
      <c r="BI30" s="403">
        <v>50</v>
      </c>
      <c r="BJ30" s="403">
        <v>78</v>
      </c>
      <c r="BK30" s="403">
        <v>47</v>
      </c>
      <c r="BL30" s="35" t="s">
        <v>1973</v>
      </c>
      <c r="BM30" s="35" t="s">
        <v>1309</v>
      </c>
      <c r="BN30" s="35" t="s">
        <v>1314</v>
      </c>
      <c r="BO30" s="24">
        <v>1</v>
      </c>
      <c r="BP30" s="35" t="s">
        <v>75</v>
      </c>
      <c r="BQ30" s="35" t="s">
        <v>75</v>
      </c>
      <c r="BR30" s="35" t="s">
        <v>75</v>
      </c>
      <c r="BS30" s="24" t="s">
        <v>75</v>
      </c>
      <c r="BT30" s="35" t="s">
        <v>75</v>
      </c>
      <c r="BU30" s="35" t="s">
        <v>75</v>
      </c>
      <c r="BV30" s="35" t="s">
        <v>75</v>
      </c>
      <c r="BW30" s="198" t="s">
        <v>75</v>
      </c>
      <c r="BX30" s="35" t="s">
        <v>75</v>
      </c>
      <c r="BY30" s="35" t="s">
        <v>75</v>
      </c>
      <c r="BZ30" s="35" t="s">
        <v>75</v>
      </c>
      <c r="CA30" s="35" t="s">
        <v>75</v>
      </c>
      <c r="CB30" s="35" t="s">
        <v>75</v>
      </c>
      <c r="CC30" s="35" t="s">
        <v>75</v>
      </c>
      <c r="CD30" s="35" t="s">
        <v>75</v>
      </c>
      <c r="CE30" s="35" t="s">
        <v>75</v>
      </c>
      <c r="CF30" s="35" t="s">
        <v>75</v>
      </c>
      <c r="CG30" s="467" t="s">
        <v>75</v>
      </c>
      <c r="CH30" s="198" t="s">
        <v>75</v>
      </c>
      <c r="CI30" s="35" t="s">
        <v>75</v>
      </c>
      <c r="CJ30" s="35" t="s">
        <v>75</v>
      </c>
      <c r="CK30" s="35" t="s">
        <v>75</v>
      </c>
      <c r="CL30" s="35" t="s">
        <v>75</v>
      </c>
      <c r="CM30" s="35" t="s">
        <v>75</v>
      </c>
      <c r="CN30" s="467" t="s">
        <v>75</v>
      </c>
      <c r="CO30" s="390" t="s">
        <v>75</v>
      </c>
      <c r="CP30" s="35" t="s">
        <v>75</v>
      </c>
      <c r="CQ30" s="35" t="s">
        <v>75</v>
      </c>
      <c r="CR30" s="35" t="s">
        <v>75</v>
      </c>
      <c r="CS30" s="35" t="s">
        <v>75</v>
      </c>
      <c r="CT30" s="467" t="s">
        <v>75</v>
      </c>
      <c r="CU30" s="390" t="s">
        <v>75</v>
      </c>
      <c r="CV30" s="35" t="s">
        <v>75</v>
      </c>
      <c r="CW30" s="35" t="s">
        <v>75</v>
      </c>
      <c r="CX30" s="35" t="s">
        <v>75</v>
      </c>
      <c r="CY30" s="35" t="s">
        <v>75</v>
      </c>
      <c r="CZ30" s="467" t="s">
        <v>75</v>
      </c>
      <c r="DA30" s="198" t="s">
        <v>75</v>
      </c>
      <c r="DB30" s="35" t="s">
        <v>75</v>
      </c>
      <c r="DC30" s="35" t="s">
        <v>75</v>
      </c>
      <c r="DD30" s="35" t="s">
        <v>75</v>
      </c>
      <c r="DE30" s="35" t="s">
        <v>75</v>
      </c>
      <c r="DF30" s="467" t="s">
        <v>75</v>
      </c>
      <c r="DG30" s="198" t="s">
        <v>75</v>
      </c>
      <c r="DH30" s="35" t="s">
        <v>75</v>
      </c>
      <c r="DI30" s="35" t="s">
        <v>75</v>
      </c>
      <c r="DJ30" s="35" t="s">
        <v>75</v>
      </c>
      <c r="DK30" s="35" t="s">
        <v>75</v>
      </c>
      <c r="DL30" s="467" t="s">
        <v>75</v>
      </c>
      <c r="DM30" s="198" t="s">
        <v>75</v>
      </c>
      <c r="DN30" s="35" t="s">
        <v>75</v>
      </c>
      <c r="DO30" s="35" t="s">
        <v>75</v>
      </c>
      <c r="DP30" s="35" t="s">
        <v>75</v>
      </c>
      <c r="DQ30" s="35" t="s">
        <v>75</v>
      </c>
      <c r="DR30" s="467" t="s">
        <v>75</v>
      </c>
      <c r="DS30" s="198" t="s">
        <v>75</v>
      </c>
      <c r="DT30" s="35" t="s">
        <v>75</v>
      </c>
      <c r="DU30" s="35" t="s">
        <v>1613</v>
      </c>
      <c r="DV30" s="35" t="s">
        <v>1309</v>
      </c>
      <c r="DW30" s="35" t="s">
        <v>2370</v>
      </c>
      <c r="DX30" s="467" t="s">
        <v>2375</v>
      </c>
      <c r="DY30" s="198" t="s">
        <v>2376</v>
      </c>
      <c r="DZ30" s="35" t="s">
        <v>2235</v>
      </c>
      <c r="EA30" s="35" t="s">
        <v>75</v>
      </c>
      <c r="EB30" s="35" t="s">
        <v>75</v>
      </c>
      <c r="EC30" s="35" t="s">
        <v>75</v>
      </c>
      <c r="ED30" s="467" t="s">
        <v>75</v>
      </c>
      <c r="EF30" s="35" t="s">
        <v>75</v>
      </c>
      <c r="EG30" s="35" t="s">
        <v>75</v>
      </c>
      <c r="EH30" s="35" t="s">
        <v>75</v>
      </c>
      <c r="EI30" s="35" t="s">
        <v>75</v>
      </c>
      <c r="EJ30" s="467" t="s">
        <v>75</v>
      </c>
      <c r="EK30" s="198" t="s">
        <v>75</v>
      </c>
      <c r="EL30" s="35" t="s">
        <v>75</v>
      </c>
      <c r="EM30" s="35" t="s">
        <v>75</v>
      </c>
      <c r="EN30" s="35" t="s">
        <v>75</v>
      </c>
      <c r="EO30" s="35" t="s">
        <v>75</v>
      </c>
      <c r="EP30" s="467" t="s">
        <v>75</v>
      </c>
      <c r="EQ30" s="198" t="s">
        <v>75</v>
      </c>
      <c r="ER30" s="35" t="s">
        <v>75</v>
      </c>
      <c r="ES30" s="197" t="s">
        <v>1865</v>
      </c>
      <c r="ET30" s="197" t="s">
        <v>1958</v>
      </c>
      <c r="EU30" s="197" t="s">
        <v>1959</v>
      </c>
      <c r="EV30" s="35" t="s">
        <v>1721</v>
      </c>
      <c r="EW30" s="35" t="s">
        <v>139</v>
      </c>
      <c r="EX30" s="35" t="s">
        <v>2377</v>
      </c>
      <c r="EY30" s="35" t="s">
        <v>1387</v>
      </c>
      <c r="EZ30" s="35" t="s">
        <v>2378</v>
      </c>
      <c r="FA30" s="197">
        <v>125</v>
      </c>
      <c r="FB30" s="197">
        <v>50</v>
      </c>
      <c r="FC30" s="403">
        <v>75</v>
      </c>
      <c r="FD30" s="403">
        <v>250</v>
      </c>
      <c r="FE30" s="403">
        <v>175</v>
      </c>
      <c r="FF30" s="403">
        <v>28</v>
      </c>
      <c r="FG30" s="403">
        <v>22</v>
      </c>
      <c r="FH30" s="403">
        <v>50</v>
      </c>
      <c r="FI30" s="403">
        <v>200</v>
      </c>
      <c r="FJ30" s="403">
        <v>125</v>
      </c>
      <c r="FK30" s="403">
        <v>50</v>
      </c>
      <c r="FL30" s="403">
        <v>50</v>
      </c>
      <c r="FM30" s="403">
        <v>150</v>
      </c>
      <c r="FN30" s="403">
        <v>75</v>
      </c>
      <c r="FO30" s="403">
        <v>84</v>
      </c>
      <c r="FP30" s="403">
        <v>21</v>
      </c>
      <c r="FQ30" s="403">
        <v>66</v>
      </c>
      <c r="FR30" s="403">
        <v>54</v>
      </c>
      <c r="FS30" s="465" t="s">
        <v>65</v>
      </c>
      <c r="FU30" s="408" t="str">
        <f>IF(AND(FS30="Active",BC30="debit order",FV30&lt;1),"Y","N")</f>
        <v>N</v>
      </c>
      <c r="FV30">
        <f>IF(ISERROR(DATEDIF('Debit orders'!$E$1,B30,"M")),0,DATEDIF('Debit orders'!$E$1,B30,"M"))</f>
        <v>1</v>
      </c>
    </row>
    <row r="31" spans="1:180">
      <c r="A31" s="228">
        <v>42191</v>
      </c>
      <c r="B31" s="228">
        <v>42217</v>
      </c>
      <c r="C31" s="301">
        <v>9575</v>
      </c>
      <c r="D31" s="301">
        <v>50260574</v>
      </c>
      <c r="E31" s="35" t="s">
        <v>1786</v>
      </c>
      <c r="F31" s="35" t="s">
        <v>1355</v>
      </c>
      <c r="G31" s="35" t="s">
        <v>2380</v>
      </c>
      <c r="H31" s="35" t="s">
        <v>2381</v>
      </c>
      <c r="I31" s="35" t="s">
        <v>1359</v>
      </c>
      <c r="J31" s="35" t="s">
        <v>1360</v>
      </c>
      <c r="K31" s="35" t="s">
        <v>2379</v>
      </c>
      <c r="L31" s="300">
        <v>18890</v>
      </c>
      <c r="M31" s="198" t="s">
        <v>2382</v>
      </c>
      <c r="N31" s="35" t="s">
        <v>75</v>
      </c>
      <c r="O31" s="35" t="s">
        <v>75</v>
      </c>
      <c r="P31" s="35" t="s">
        <v>75</v>
      </c>
      <c r="Q31" s="35" t="s">
        <v>75</v>
      </c>
      <c r="R31" s="198" t="s">
        <v>75</v>
      </c>
      <c r="S31" s="35" t="s">
        <v>75</v>
      </c>
      <c r="T31" s="35" t="s">
        <v>75</v>
      </c>
      <c r="U31" s="35" t="s">
        <v>75</v>
      </c>
      <c r="V31" s="35" t="s">
        <v>75</v>
      </c>
      <c r="W31" s="198" t="s">
        <v>75</v>
      </c>
      <c r="X31" s="35" t="s">
        <v>1364</v>
      </c>
      <c r="Y31" s="35" t="s">
        <v>2383</v>
      </c>
      <c r="Z31" s="35" t="s">
        <v>1780</v>
      </c>
      <c r="AA31" s="35" t="s">
        <v>2383</v>
      </c>
      <c r="AB31" s="35" t="s">
        <v>1393</v>
      </c>
      <c r="AC31" s="35" t="s">
        <v>2384</v>
      </c>
      <c r="AD31" s="35" t="s">
        <v>75</v>
      </c>
      <c r="AE31" s="35" t="s">
        <v>75</v>
      </c>
      <c r="AF31" s="35" t="s">
        <v>75</v>
      </c>
      <c r="AG31" s="35" t="s">
        <v>75</v>
      </c>
      <c r="AH31" s="35" t="s">
        <v>75</v>
      </c>
      <c r="AI31" s="35" t="s">
        <v>75</v>
      </c>
      <c r="AJ31" s="35" t="s">
        <v>75</v>
      </c>
      <c r="AK31" s="35" t="s">
        <v>75</v>
      </c>
      <c r="AL31" s="35" t="s">
        <v>75</v>
      </c>
      <c r="AM31" s="35" t="s">
        <v>75</v>
      </c>
      <c r="AN31" s="35" t="s">
        <v>75</v>
      </c>
      <c r="AO31" s="35" t="s">
        <v>75</v>
      </c>
      <c r="AP31" s="35" t="s">
        <v>75</v>
      </c>
      <c r="AQ31" s="35" t="s">
        <v>75</v>
      </c>
      <c r="AR31" s="35" t="s">
        <v>75</v>
      </c>
      <c r="AS31" s="35" t="s">
        <v>75</v>
      </c>
      <c r="AT31" s="35" t="s">
        <v>75</v>
      </c>
      <c r="AU31" s="35" t="s">
        <v>75</v>
      </c>
      <c r="AV31" s="198" t="s">
        <v>75</v>
      </c>
      <c r="AW31" s="35" t="s">
        <v>75</v>
      </c>
      <c r="AX31" s="35" t="s">
        <v>75</v>
      </c>
      <c r="AY31" s="35" t="s">
        <v>75</v>
      </c>
      <c r="AZ31" s="35" t="s">
        <v>75</v>
      </c>
      <c r="BA31" s="35" t="s">
        <v>75</v>
      </c>
      <c r="BB31" s="35" t="s">
        <v>75</v>
      </c>
      <c r="BC31" s="35" t="s">
        <v>191</v>
      </c>
      <c r="BD31" s="390">
        <v>1</v>
      </c>
      <c r="BE31" s="35" t="s">
        <v>1722</v>
      </c>
      <c r="BF31" s="403">
        <v>125</v>
      </c>
      <c r="BG31" s="403">
        <v>75</v>
      </c>
      <c r="BH31" s="403">
        <v>22</v>
      </c>
      <c r="BI31" s="403">
        <v>50</v>
      </c>
      <c r="BJ31" s="403">
        <v>72</v>
      </c>
      <c r="BK31" s="403">
        <v>53</v>
      </c>
      <c r="BL31" s="35" t="s">
        <v>1973</v>
      </c>
      <c r="BM31" s="35" t="s">
        <v>2385</v>
      </c>
      <c r="BN31" s="35" t="s">
        <v>2386</v>
      </c>
      <c r="BO31" s="24">
        <v>1</v>
      </c>
      <c r="BP31" s="35" t="s">
        <v>75</v>
      </c>
      <c r="BQ31" s="35" t="s">
        <v>75</v>
      </c>
      <c r="BR31" s="35" t="s">
        <v>75</v>
      </c>
      <c r="BS31" s="24" t="s">
        <v>75</v>
      </c>
      <c r="BT31" s="35" t="s">
        <v>75</v>
      </c>
      <c r="BU31" s="35" t="s">
        <v>75</v>
      </c>
      <c r="BV31" s="35" t="s">
        <v>75</v>
      </c>
      <c r="BW31" s="198" t="s">
        <v>75</v>
      </c>
      <c r="BX31" s="35" t="s">
        <v>75</v>
      </c>
      <c r="BY31" s="35" t="s">
        <v>75</v>
      </c>
      <c r="BZ31" s="35" t="s">
        <v>75</v>
      </c>
      <c r="CA31" s="35" t="s">
        <v>75</v>
      </c>
      <c r="CB31" s="35" t="s">
        <v>75</v>
      </c>
      <c r="CC31" s="35" t="s">
        <v>75</v>
      </c>
      <c r="CD31" s="35" t="s">
        <v>75</v>
      </c>
      <c r="CE31" s="35" t="s">
        <v>75</v>
      </c>
      <c r="CF31" s="35" t="s">
        <v>75</v>
      </c>
      <c r="CG31" s="467" t="s">
        <v>75</v>
      </c>
      <c r="CH31" s="198" t="s">
        <v>75</v>
      </c>
      <c r="CI31" s="35" t="s">
        <v>75</v>
      </c>
      <c r="CJ31" s="35" t="s">
        <v>75</v>
      </c>
      <c r="CK31" s="35" t="s">
        <v>75</v>
      </c>
      <c r="CL31" s="35" t="s">
        <v>75</v>
      </c>
      <c r="CM31" s="35" t="s">
        <v>75</v>
      </c>
      <c r="CN31" s="467" t="s">
        <v>75</v>
      </c>
      <c r="CO31" s="390" t="s">
        <v>75</v>
      </c>
      <c r="CP31" s="35" t="s">
        <v>75</v>
      </c>
      <c r="CQ31" s="35" t="s">
        <v>75</v>
      </c>
      <c r="CR31" s="35" t="s">
        <v>75</v>
      </c>
      <c r="CS31" s="35" t="s">
        <v>75</v>
      </c>
      <c r="CT31" s="467" t="s">
        <v>75</v>
      </c>
      <c r="CU31" s="390" t="s">
        <v>75</v>
      </c>
      <c r="CV31" s="35" t="s">
        <v>75</v>
      </c>
      <c r="CW31" s="35" t="s">
        <v>75</v>
      </c>
      <c r="CX31" s="35" t="s">
        <v>75</v>
      </c>
      <c r="CY31" s="35" t="s">
        <v>75</v>
      </c>
      <c r="CZ31" s="467" t="s">
        <v>75</v>
      </c>
      <c r="DA31" s="198" t="s">
        <v>75</v>
      </c>
      <c r="DB31" s="35" t="s">
        <v>75</v>
      </c>
      <c r="DC31" s="35" t="s">
        <v>75</v>
      </c>
      <c r="DD31" s="35" t="s">
        <v>75</v>
      </c>
      <c r="DE31" s="35" t="s">
        <v>75</v>
      </c>
      <c r="DF31" s="467" t="s">
        <v>75</v>
      </c>
      <c r="DG31" s="198" t="s">
        <v>75</v>
      </c>
      <c r="DH31" s="35" t="s">
        <v>75</v>
      </c>
      <c r="DI31" s="35" t="s">
        <v>75</v>
      </c>
      <c r="DJ31" s="35" t="s">
        <v>75</v>
      </c>
      <c r="DK31" s="35" t="s">
        <v>75</v>
      </c>
      <c r="DL31" s="467" t="s">
        <v>75</v>
      </c>
      <c r="DM31" s="198" t="s">
        <v>75</v>
      </c>
      <c r="DN31" s="35" t="s">
        <v>75</v>
      </c>
      <c r="DO31" s="35" t="s">
        <v>75</v>
      </c>
      <c r="DP31" s="35" t="s">
        <v>75</v>
      </c>
      <c r="DQ31" s="35" t="s">
        <v>75</v>
      </c>
      <c r="DR31" s="467" t="s">
        <v>75</v>
      </c>
      <c r="DS31" s="198" t="s">
        <v>75</v>
      </c>
      <c r="DT31" s="35" t="s">
        <v>75</v>
      </c>
      <c r="DU31" s="35" t="s">
        <v>75</v>
      </c>
      <c r="DV31" s="35" t="s">
        <v>75</v>
      </c>
      <c r="DW31" s="35" t="s">
        <v>75</v>
      </c>
      <c r="DX31" s="467" t="s">
        <v>75</v>
      </c>
      <c r="DY31" s="198" t="s">
        <v>75</v>
      </c>
      <c r="DZ31" s="35" t="s">
        <v>75</v>
      </c>
      <c r="EA31" s="35" t="s">
        <v>75</v>
      </c>
      <c r="EB31" s="35" t="s">
        <v>75</v>
      </c>
      <c r="EC31" s="35" t="s">
        <v>75</v>
      </c>
      <c r="ED31" s="467" t="s">
        <v>75</v>
      </c>
      <c r="EF31" s="35" t="s">
        <v>75</v>
      </c>
      <c r="EG31" s="35" t="s">
        <v>75</v>
      </c>
      <c r="EH31" s="35" t="s">
        <v>75</v>
      </c>
      <c r="EI31" s="35" t="s">
        <v>75</v>
      </c>
      <c r="EJ31" s="467" t="s">
        <v>75</v>
      </c>
      <c r="EK31" s="198" t="s">
        <v>75</v>
      </c>
      <c r="EL31" s="35" t="s">
        <v>75</v>
      </c>
      <c r="EM31" s="35" t="s">
        <v>75</v>
      </c>
      <c r="EN31" s="35" t="s">
        <v>75</v>
      </c>
      <c r="EO31" s="35" t="s">
        <v>75</v>
      </c>
      <c r="EP31" s="467" t="s">
        <v>75</v>
      </c>
      <c r="EQ31" s="198" t="s">
        <v>75</v>
      </c>
      <c r="ER31" s="35" t="s">
        <v>75</v>
      </c>
      <c r="EU31" s="197" t="s">
        <v>75</v>
      </c>
      <c r="EV31" s="35" t="s">
        <v>1722</v>
      </c>
      <c r="EW31" s="35" t="s">
        <v>148</v>
      </c>
      <c r="EX31" s="35" t="s">
        <v>2387</v>
      </c>
      <c r="EY31" s="35" t="s">
        <v>1387</v>
      </c>
      <c r="EZ31" s="35" t="s">
        <v>2388</v>
      </c>
      <c r="FA31" s="197">
        <v>125</v>
      </c>
      <c r="FB31" s="197">
        <v>0</v>
      </c>
      <c r="FC31" s="403">
        <v>75</v>
      </c>
      <c r="FD31" s="403">
        <v>200</v>
      </c>
      <c r="FE31" s="403">
        <v>125</v>
      </c>
      <c r="FF31" s="403">
        <v>22</v>
      </c>
      <c r="FG31" s="403">
        <v>0</v>
      </c>
      <c r="FH31" s="403">
        <v>22</v>
      </c>
      <c r="FI31" s="403">
        <v>178</v>
      </c>
      <c r="FJ31" s="403">
        <v>103</v>
      </c>
      <c r="FK31" s="403">
        <v>50</v>
      </c>
      <c r="FL31" s="403">
        <v>50</v>
      </c>
      <c r="FM31" s="403">
        <v>128</v>
      </c>
      <c r="FN31" s="403">
        <v>53</v>
      </c>
      <c r="FO31" s="403">
        <v>80</v>
      </c>
      <c r="FP31" s="403">
        <v>17</v>
      </c>
      <c r="FQ31" s="403">
        <v>48</v>
      </c>
      <c r="FR31" s="403">
        <v>36</v>
      </c>
      <c r="FS31" s="465" t="s">
        <v>65</v>
      </c>
      <c r="FU31" s="408" t="str">
        <f>IF(AND(FS31="Active",BC31="debit order",FV31&lt;1),"Y","N")</f>
        <v>N</v>
      </c>
      <c r="FV31">
        <f>IF(ISERROR(DATEDIF('Debit orders'!$E$1,B31,"M")),0,DATEDIF('Debit orders'!$E$1,B31,"M"))</f>
        <v>1</v>
      </c>
    </row>
    <row r="32" spans="1:180">
      <c r="FS32" s="400" t="str">
        <f t="shared" ref="FS32:FS67" si="3">IF(C32="","","Active")</f>
        <v/>
      </c>
    </row>
    <row r="33" spans="5:175">
      <c r="E33" s="35" t="s">
        <v>2367</v>
      </c>
      <c r="FS33" s="400" t="str">
        <f t="shared" si="3"/>
        <v/>
      </c>
    </row>
    <row r="34" spans="5:175">
      <c r="FS34" s="400" t="str">
        <f t="shared" si="3"/>
        <v/>
      </c>
    </row>
    <row r="35" spans="5:175">
      <c r="FS35" s="400" t="str">
        <f t="shared" si="3"/>
        <v/>
      </c>
    </row>
    <row r="36" spans="5:175">
      <c r="FS36" s="400" t="str">
        <f t="shared" si="3"/>
        <v/>
      </c>
    </row>
    <row r="37" spans="5:175">
      <c r="FS37" s="400" t="str">
        <f t="shared" si="3"/>
        <v/>
      </c>
    </row>
    <row r="38" spans="5:175">
      <c r="FS38" s="400" t="str">
        <f t="shared" si="3"/>
        <v/>
      </c>
    </row>
    <row r="39" spans="5:175">
      <c r="FS39" s="400" t="str">
        <f t="shared" si="3"/>
        <v/>
      </c>
    </row>
    <row r="40" spans="5:175">
      <c r="FS40" s="400" t="str">
        <f t="shared" si="3"/>
        <v/>
      </c>
    </row>
    <row r="41" spans="5:175">
      <c r="FS41" s="400" t="str">
        <f t="shared" si="3"/>
        <v/>
      </c>
    </row>
    <row r="42" spans="5:175">
      <c r="FS42" s="400" t="str">
        <f t="shared" si="3"/>
        <v/>
      </c>
    </row>
    <row r="43" spans="5:175">
      <c r="FS43" s="400" t="str">
        <f t="shared" si="3"/>
        <v/>
      </c>
    </row>
    <row r="44" spans="5:175">
      <c r="FS44" s="400" t="str">
        <f t="shared" si="3"/>
        <v/>
      </c>
    </row>
    <row r="45" spans="5:175">
      <c r="FS45" s="400" t="str">
        <f t="shared" si="3"/>
        <v/>
      </c>
    </row>
    <row r="46" spans="5:175">
      <c r="FS46" s="400" t="str">
        <f t="shared" si="3"/>
        <v/>
      </c>
    </row>
    <row r="47" spans="5:175">
      <c r="FS47" s="400" t="str">
        <f t="shared" si="3"/>
        <v/>
      </c>
    </row>
    <row r="48" spans="5:175">
      <c r="FS48" s="400" t="str">
        <f t="shared" si="3"/>
        <v/>
      </c>
    </row>
    <row r="49" spans="175:175">
      <c r="FS49" s="400" t="str">
        <f t="shared" si="3"/>
        <v/>
      </c>
    </row>
    <row r="50" spans="175:175">
      <c r="FS50" s="400" t="str">
        <f t="shared" si="3"/>
        <v/>
      </c>
    </row>
    <row r="51" spans="175:175">
      <c r="FS51" s="400" t="str">
        <f t="shared" si="3"/>
        <v/>
      </c>
    </row>
    <row r="52" spans="175:175">
      <c r="FS52" s="400" t="str">
        <f t="shared" si="3"/>
        <v/>
      </c>
    </row>
    <row r="53" spans="175:175">
      <c r="FS53" s="400" t="str">
        <f t="shared" si="3"/>
        <v/>
      </c>
    </row>
    <row r="54" spans="175:175">
      <c r="FS54" s="400" t="str">
        <f t="shared" si="3"/>
        <v/>
      </c>
    </row>
    <row r="55" spans="175:175">
      <c r="FS55" s="400" t="str">
        <f t="shared" si="3"/>
        <v/>
      </c>
    </row>
    <row r="56" spans="175:175">
      <c r="FS56" s="400" t="str">
        <f t="shared" si="3"/>
        <v/>
      </c>
    </row>
    <row r="57" spans="175:175">
      <c r="FS57" s="400" t="str">
        <f t="shared" si="3"/>
        <v/>
      </c>
    </row>
    <row r="58" spans="175:175">
      <c r="FS58" s="400" t="str">
        <f t="shared" si="3"/>
        <v/>
      </c>
    </row>
    <row r="59" spans="175:175">
      <c r="FS59" s="400" t="str">
        <f t="shared" si="3"/>
        <v/>
      </c>
    </row>
    <row r="60" spans="175:175">
      <c r="FS60" s="400" t="str">
        <f t="shared" si="3"/>
        <v/>
      </c>
    </row>
    <row r="61" spans="175:175">
      <c r="FS61" s="400" t="str">
        <f t="shared" si="3"/>
        <v/>
      </c>
    </row>
    <row r="62" spans="175:175">
      <c r="FS62" s="400" t="str">
        <f t="shared" si="3"/>
        <v/>
      </c>
    </row>
    <row r="63" spans="175:175">
      <c r="FS63" s="400" t="str">
        <f t="shared" si="3"/>
        <v/>
      </c>
    </row>
    <row r="64" spans="175:175">
      <c r="FS64" s="400" t="str">
        <f t="shared" si="3"/>
        <v/>
      </c>
    </row>
    <row r="65" spans="175:175">
      <c r="FS65" s="400" t="str">
        <f t="shared" si="3"/>
        <v/>
      </c>
    </row>
    <row r="66" spans="175:175">
      <c r="FS66" s="400" t="str">
        <f t="shared" si="3"/>
        <v/>
      </c>
    </row>
    <row r="67" spans="175:175">
      <c r="FS67" s="400" t="str">
        <f t="shared" si="3"/>
        <v/>
      </c>
    </row>
    <row r="68" spans="175:175">
      <c r="FS68" s="400" t="str">
        <f t="shared" ref="FS68:FS131" si="4">IF(C68="","","Active")</f>
        <v/>
      </c>
    </row>
    <row r="69" spans="175:175">
      <c r="FS69" s="400" t="str">
        <f t="shared" si="4"/>
        <v/>
      </c>
    </row>
    <row r="70" spans="175:175">
      <c r="FS70" s="400" t="str">
        <f t="shared" si="4"/>
        <v/>
      </c>
    </row>
    <row r="71" spans="175:175">
      <c r="FS71" s="400" t="str">
        <f t="shared" si="4"/>
        <v/>
      </c>
    </row>
    <row r="72" spans="175:175">
      <c r="FS72" s="400" t="str">
        <f t="shared" si="4"/>
        <v/>
      </c>
    </row>
    <row r="73" spans="175:175">
      <c r="FS73" s="400" t="str">
        <f t="shared" si="4"/>
        <v/>
      </c>
    </row>
    <row r="74" spans="175:175">
      <c r="FS74" s="400" t="str">
        <f t="shared" si="4"/>
        <v/>
      </c>
    </row>
    <row r="75" spans="175:175">
      <c r="FS75" s="400" t="str">
        <f t="shared" si="4"/>
        <v/>
      </c>
    </row>
    <row r="76" spans="175:175">
      <c r="FS76" s="400" t="str">
        <f t="shared" si="4"/>
        <v/>
      </c>
    </row>
    <row r="77" spans="175:175">
      <c r="FS77" s="400" t="str">
        <f t="shared" si="4"/>
        <v/>
      </c>
    </row>
    <row r="78" spans="175:175">
      <c r="FS78" s="400" t="str">
        <f t="shared" si="4"/>
        <v/>
      </c>
    </row>
    <row r="79" spans="175:175">
      <c r="FS79" s="400" t="str">
        <f t="shared" si="4"/>
        <v/>
      </c>
    </row>
    <row r="80" spans="175:175">
      <c r="FS80" s="400" t="str">
        <f t="shared" si="4"/>
        <v/>
      </c>
    </row>
    <row r="81" spans="175:175">
      <c r="FS81" s="400" t="str">
        <f t="shared" si="4"/>
        <v/>
      </c>
    </row>
    <row r="82" spans="175:175">
      <c r="FS82" s="400" t="str">
        <f t="shared" si="4"/>
        <v/>
      </c>
    </row>
    <row r="83" spans="175:175">
      <c r="FS83" s="400" t="str">
        <f t="shared" si="4"/>
        <v/>
      </c>
    </row>
    <row r="84" spans="175:175">
      <c r="FS84" s="400" t="str">
        <f t="shared" si="4"/>
        <v/>
      </c>
    </row>
    <row r="85" spans="175:175">
      <c r="FS85" s="400" t="str">
        <f t="shared" si="4"/>
        <v/>
      </c>
    </row>
    <row r="86" spans="175:175">
      <c r="FS86" s="400" t="str">
        <f t="shared" si="4"/>
        <v/>
      </c>
    </row>
    <row r="87" spans="175:175">
      <c r="FS87" s="400" t="str">
        <f t="shared" si="4"/>
        <v/>
      </c>
    </row>
    <row r="88" spans="175:175">
      <c r="FS88" s="400" t="str">
        <f t="shared" si="4"/>
        <v/>
      </c>
    </row>
    <row r="89" spans="175:175">
      <c r="FS89" s="400" t="str">
        <f t="shared" si="4"/>
        <v/>
      </c>
    </row>
    <row r="90" spans="175:175">
      <c r="FS90" s="400" t="str">
        <f t="shared" si="4"/>
        <v/>
      </c>
    </row>
    <row r="91" spans="175:175">
      <c r="FS91" s="400" t="str">
        <f t="shared" si="4"/>
        <v/>
      </c>
    </row>
    <row r="92" spans="175:175">
      <c r="FS92" s="400" t="str">
        <f t="shared" si="4"/>
        <v/>
      </c>
    </row>
    <row r="93" spans="175:175">
      <c r="FS93" s="400" t="str">
        <f t="shared" si="4"/>
        <v/>
      </c>
    </row>
    <row r="94" spans="175:175">
      <c r="FS94" s="400" t="str">
        <f t="shared" si="4"/>
        <v/>
      </c>
    </row>
    <row r="95" spans="175:175">
      <c r="FS95" s="400" t="str">
        <f t="shared" si="4"/>
        <v/>
      </c>
    </row>
    <row r="96" spans="175:175">
      <c r="FS96" s="400" t="str">
        <f t="shared" si="4"/>
        <v/>
      </c>
    </row>
    <row r="97" spans="175:175">
      <c r="FS97" s="400" t="str">
        <f t="shared" si="4"/>
        <v/>
      </c>
    </row>
    <row r="98" spans="175:175">
      <c r="FS98" s="400" t="str">
        <f t="shared" si="4"/>
        <v/>
      </c>
    </row>
    <row r="99" spans="175:175">
      <c r="FS99" s="400" t="str">
        <f t="shared" si="4"/>
        <v/>
      </c>
    </row>
    <row r="100" spans="175:175">
      <c r="FS100" s="400" t="str">
        <f t="shared" si="4"/>
        <v/>
      </c>
    </row>
    <row r="101" spans="175:175">
      <c r="FS101" s="400" t="str">
        <f t="shared" si="4"/>
        <v/>
      </c>
    </row>
    <row r="102" spans="175:175">
      <c r="FS102" s="400" t="str">
        <f t="shared" si="4"/>
        <v/>
      </c>
    </row>
    <row r="103" spans="175:175">
      <c r="FS103" s="400" t="str">
        <f t="shared" si="4"/>
        <v/>
      </c>
    </row>
    <row r="104" spans="175:175">
      <c r="FS104" s="400" t="str">
        <f t="shared" si="4"/>
        <v/>
      </c>
    </row>
    <row r="105" spans="175:175">
      <c r="FS105" s="400" t="str">
        <f t="shared" si="4"/>
        <v/>
      </c>
    </row>
    <row r="106" spans="175:175">
      <c r="FS106" s="400" t="str">
        <f t="shared" si="4"/>
        <v/>
      </c>
    </row>
    <row r="107" spans="175:175">
      <c r="FS107" s="400" t="str">
        <f t="shared" si="4"/>
        <v/>
      </c>
    </row>
    <row r="108" spans="175:175">
      <c r="FS108" s="400" t="str">
        <f t="shared" si="4"/>
        <v/>
      </c>
    </row>
    <row r="109" spans="175:175">
      <c r="FS109" s="400" t="str">
        <f t="shared" si="4"/>
        <v/>
      </c>
    </row>
    <row r="110" spans="175:175">
      <c r="FS110" s="400" t="str">
        <f t="shared" si="4"/>
        <v/>
      </c>
    </row>
    <row r="111" spans="175:175">
      <c r="FS111" s="400" t="str">
        <f t="shared" si="4"/>
        <v/>
      </c>
    </row>
    <row r="112" spans="175:175">
      <c r="FS112" s="400" t="str">
        <f t="shared" si="4"/>
        <v/>
      </c>
    </row>
    <row r="113" spans="175:175">
      <c r="FS113" s="400" t="str">
        <f t="shared" si="4"/>
        <v/>
      </c>
    </row>
    <row r="114" spans="175:175">
      <c r="FS114" s="400" t="str">
        <f t="shared" si="4"/>
        <v/>
      </c>
    </row>
    <row r="115" spans="175:175">
      <c r="FS115" s="400" t="str">
        <f t="shared" si="4"/>
        <v/>
      </c>
    </row>
    <row r="116" spans="175:175">
      <c r="FS116" s="400" t="str">
        <f t="shared" si="4"/>
        <v/>
      </c>
    </row>
    <row r="117" spans="175:175">
      <c r="FS117" s="400" t="str">
        <f t="shared" si="4"/>
        <v/>
      </c>
    </row>
    <row r="118" spans="175:175">
      <c r="FS118" s="400" t="str">
        <f t="shared" si="4"/>
        <v/>
      </c>
    </row>
    <row r="119" spans="175:175">
      <c r="FS119" s="400" t="str">
        <f t="shared" si="4"/>
        <v/>
      </c>
    </row>
    <row r="120" spans="175:175">
      <c r="FS120" s="400" t="str">
        <f t="shared" si="4"/>
        <v/>
      </c>
    </row>
    <row r="121" spans="175:175">
      <c r="FS121" s="400" t="str">
        <f t="shared" si="4"/>
        <v/>
      </c>
    </row>
    <row r="122" spans="175:175">
      <c r="FS122" s="400" t="str">
        <f t="shared" si="4"/>
        <v/>
      </c>
    </row>
    <row r="123" spans="175:175">
      <c r="FS123" s="400" t="str">
        <f t="shared" si="4"/>
        <v/>
      </c>
    </row>
    <row r="124" spans="175:175">
      <c r="FS124" s="400" t="str">
        <f t="shared" si="4"/>
        <v/>
      </c>
    </row>
    <row r="125" spans="175:175">
      <c r="FS125" s="400" t="str">
        <f t="shared" si="4"/>
        <v/>
      </c>
    </row>
    <row r="126" spans="175:175">
      <c r="FS126" s="400" t="str">
        <f t="shared" si="4"/>
        <v/>
      </c>
    </row>
    <row r="127" spans="175:175">
      <c r="FS127" s="400" t="str">
        <f t="shared" si="4"/>
        <v/>
      </c>
    </row>
    <row r="128" spans="175:175">
      <c r="FS128" s="400" t="str">
        <f t="shared" si="4"/>
        <v/>
      </c>
    </row>
    <row r="129" spans="175:175">
      <c r="FS129" s="400" t="str">
        <f t="shared" si="4"/>
        <v/>
      </c>
    </row>
    <row r="130" spans="175:175">
      <c r="FS130" s="400" t="str">
        <f t="shared" si="4"/>
        <v/>
      </c>
    </row>
    <row r="131" spans="175:175">
      <c r="FS131" s="400" t="str">
        <f t="shared" si="4"/>
        <v/>
      </c>
    </row>
    <row r="132" spans="175:175">
      <c r="FS132" s="400" t="str">
        <f t="shared" ref="FS132:FS195" si="5">IF(C132="","","Active")</f>
        <v/>
      </c>
    </row>
    <row r="133" spans="175:175">
      <c r="FS133" s="400" t="str">
        <f t="shared" si="5"/>
        <v/>
      </c>
    </row>
    <row r="134" spans="175:175">
      <c r="FS134" s="400" t="str">
        <f t="shared" si="5"/>
        <v/>
      </c>
    </row>
    <row r="135" spans="175:175">
      <c r="FS135" s="400" t="str">
        <f t="shared" si="5"/>
        <v/>
      </c>
    </row>
    <row r="136" spans="175:175">
      <c r="FS136" s="400" t="str">
        <f t="shared" si="5"/>
        <v/>
      </c>
    </row>
    <row r="137" spans="175:175">
      <c r="FS137" s="400" t="str">
        <f t="shared" si="5"/>
        <v/>
      </c>
    </row>
    <row r="138" spans="175:175">
      <c r="FS138" s="400" t="str">
        <f t="shared" si="5"/>
        <v/>
      </c>
    </row>
    <row r="139" spans="175:175">
      <c r="FS139" s="400" t="str">
        <f t="shared" si="5"/>
        <v/>
      </c>
    </row>
    <row r="140" spans="175:175">
      <c r="FS140" s="400" t="str">
        <f t="shared" si="5"/>
        <v/>
      </c>
    </row>
    <row r="141" spans="175:175">
      <c r="FS141" s="400" t="str">
        <f t="shared" si="5"/>
        <v/>
      </c>
    </row>
    <row r="142" spans="175:175">
      <c r="FS142" s="400" t="str">
        <f t="shared" si="5"/>
        <v/>
      </c>
    </row>
    <row r="143" spans="175:175">
      <c r="FS143" s="400" t="str">
        <f t="shared" si="5"/>
        <v/>
      </c>
    </row>
    <row r="144" spans="175:175">
      <c r="FS144" s="400" t="str">
        <f t="shared" si="5"/>
        <v/>
      </c>
    </row>
    <row r="145" spans="175:175">
      <c r="FS145" s="400" t="str">
        <f t="shared" si="5"/>
        <v/>
      </c>
    </row>
    <row r="146" spans="175:175">
      <c r="FS146" s="400" t="str">
        <f t="shared" si="5"/>
        <v/>
      </c>
    </row>
    <row r="147" spans="175:175">
      <c r="FS147" s="400" t="str">
        <f t="shared" si="5"/>
        <v/>
      </c>
    </row>
    <row r="148" spans="175:175">
      <c r="FS148" s="400" t="str">
        <f t="shared" si="5"/>
        <v/>
      </c>
    </row>
    <row r="149" spans="175:175">
      <c r="FS149" s="400" t="str">
        <f t="shared" si="5"/>
        <v/>
      </c>
    </row>
    <row r="150" spans="175:175">
      <c r="FS150" s="400" t="str">
        <f t="shared" si="5"/>
        <v/>
      </c>
    </row>
    <row r="151" spans="175:175">
      <c r="FS151" s="400" t="str">
        <f t="shared" si="5"/>
        <v/>
      </c>
    </row>
    <row r="152" spans="175:175">
      <c r="FS152" s="400" t="str">
        <f t="shared" si="5"/>
        <v/>
      </c>
    </row>
    <row r="153" spans="175:175">
      <c r="FS153" s="400" t="str">
        <f t="shared" si="5"/>
        <v/>
      </c>
    </row>
    <row r="154" spans="175:175">
      <c r="FS154" s="400" t="str">
        <f t="shared" si="5"/>
        <v/>
      </c>
    </row>
    <row r="155" spans="175:175">
      <c r="FS155" s="400" t="str">
        <f t="shared" si="5"/>
        <v/>
      </c>
    </row>
    <row r="156" spans="175:175">
      <c r="FS156" s="400" t="str">
        <f t="shared" si="5"/>
        <v/>
      </c>
    </row>
    <row r="157" spans="175:175">
      <c r="FS157" s="400" t="str">
        <f t="shared" si="5"/>
        <v/>
      </c>
    </row>
    <row r="158" spans="175:175">
      <c r="FS158" s="400" t="str">
        <f t="shared" si="5"/>
        <v/>
      </c>
    </row>
    <row r="159" spans="175:175">
      <c r="FS159" s="400" t="str">
        <f t="shared" si="5"/>
        <v/>
      </c>
    </row>
    <row r="160" spans="175:175">
      <c r="FS160" s="400" t="str">
        <f t="shared" si="5"/>
        <v/>
      </c>
    </row>
    <row r="161" spans="175:175">
      <c r="FS161" s="400" t="str">
        <f t="shared" si="5"/>
        <v/>
      </c>
    </row>
    <row r="162" spans="175:175">
      <c r="FS162" s="400" t="str">
        <f t="shared" si="5"/>
        <v/>
      </c>
    </row>
    <row r="163" spans="175:175">
      <c r="FS163" s="400" t="str">
        <f t="shared" si="5"/>
        <v/>
      </c>
    </row>
    <row r="164" spans="175:175">
      <c r="FS164" s="400" t="str">
        <f t="shared" si="5"/>
        <v/>
      </c>
    </row>
    <row r="165" spans="175:175">
      <c r="FS165" s="400" t="str">
        <f t="shared" si="5"/>
        <v/>
      </c>
    </row>
    <row r="166" spans="175:175">
      <c r="FS166" s="400" t="str">
        <f t="shared" si="5"/>
        <v/>
      </c>
    </row>
    <row r="167" spans="175:175">
      <c r="FS167" s="400" t="str">
        <f t="shared" si="5"/>
        <v/>
      </c>
    </row>
    <row r="168" spans="175:175">
      <c r="FS168" s="400" t="str">
        <f t="shared" si="5"/>
        <v/>
      </c>
    </row>
    <row r="169" spans="175:175">
      <c r="FS169" s="400" t="str">
        <f t="shared" si="5"/>
        <v/>
      </c>
    </row>
    <row r="170" spans="175:175">
      <c r="FS170" s="400" t="str">
        <f t="shared" si="5"/>
        <v/>
      </c>
    </row>
    <row r="171" spans="175:175">
      <c r="FS171" s="400" t="str">
        <f t="shared" si="5"/>
        <v/>
      </c>
    </row>
    <row r="172" spans="175:175">
      <c r="FS172" s="400" t="str">
        <f t="shared" si="5"/>
        <v/>
      </c>
    </row>
    <row r="173" spans="175:175">
      <c r="FS173" s="400" t="str">
        <f t="shared" si="5"/>
        <v/>
      </c>
    </row>
    <row r="174" spans="175:175">
      <c r="FS174" s="400" t="str">
        <f t="shared" si="5"/>
        <v/>
      </c>
    </row>
    <row r="175" spans="175:175">
      <c r="FS175" s="400" t="str">
        <f t="shared" si="5"/>
        <v/>
      </c>
    </row>
    <row r="176" spans="175:175">
      <c r="FS176" s="400" t="str">
        <f t="shared" si="5"/>
        <v/>
      </c>
    </row>
    <row r="177" spans="175:175">
      <c r="FS177" s="400" t="str">
        <f t="shared" si="5"/>
        <v/>
      </c>
    </row>
    <row r="178" spans="175:175">
      <c r="FS178" s="400" t="str">
        <f t="shared" si="5"/>
        <v/>
      </c>
    </row>
    <row r="179" spans="175:175">
      <c r="FS179" s="400" t="str">
        <f t="shared" si="5"/>
        <v/>
      </c>
    </row>
    <row r="180" spans="175:175">
      <c r="FS180" s="400" t="str">
        <f t="shared" si="5"/>
        <v/>
      </c>
    </row>
    <row r="181" spans="175:175">
      <c r="FS181" s="400" t="str">
        <f t="shared" si="5"/>
        <v/>
      </c>
    </row>
    <row r="182" spans="175:175">
      <c r="FS182" s="400" t="str">
        <f t="shared" si="5"/>
        <v/>
      </c>
    </row>
    <row r="183" spans="175:175">
      <c r="FS183" s="400" t="str">
        <f t="shared" si="5"/>
        <v/>
      </c>
    </row>
    <row r="184" spans="175:175">
      <c r="FS184" s="400" t="str">
        <f t="shared" si="5"/>
        <v/>
      </c>
    </row>
    <row r="185" spans="175:175">
      <c r="FS185" s="400" t="str">
        <f t="shared" si="5"/>
        <v/>
      </c>
    </row>
    <row r="186" spans="175:175">
      <c r="FS186" s="400" t="str">
        <f t="shared" si="5"/>
        <v/>
      </c>
    </row>
    <row r="187" spans="175:175">
      <c r="FS187" s="400" t="str">
        <f t="shared" si="5"/>
        <v/>
      </c>
    </row>
    <row r="188" spans="175:175">
      <c r="FS188" s="400" t="str">
        <f t="shared" si="5"/>
        <v/>
      </c>
    </row>
    <row r="189" spans="175:175">
      <c r="FS189" s="400" t="str">
        <f t="shared" si="5"/>
        <v/>
      </c>
    </row>
    <row r="190" spans="175:175">
      <c r="FS190" s="400" t="str">
        <f t="shared" si="5"/>
        <v/>
      </c>
    </row>
    <row r="191" spans="175:175">
      <c r="FS191" s="400" t="str">
        <f t="shared" si="5"/>
        <v/>
      </c>
    </row>
    <row r="192" spans="175:175">
      <c r="FS192" s="400" t="str">
        <f t="shared" si="5"/>
        <v/>
      </c>
    </row>
    <row r="193" spans="175:175">
      <c r="FS193" s="400" t="str">
        <f t="shared" si="5"/>
        <v/>
      </c>
    </row>
    <row r="194" spans="175:175">
      <c r="FS194" s="400" t="str">
        <f t="shared" si="5"/>
        <v/>
      </c>
    </row>
    <row r="195" spans="175:175">
      <c r="FS195" s="400" t="str">
        <f t="shared" si="5"/>
        <v/>
      </c>
    </row>
    <row r="196" spans="175:175">
      <c r="FS196" s="400" t="str">
        <f t="shared" ref="FS196:FS259" si="6">IF(C196="","","Active")</f>
        <v/>
      </c>
    </row>
    <row r="197" spans="175:175">
      <c r="FS197" s="400" t="str">
        <f t="shared" si="6"/>
        <v/>
      </c>
    </row>
    <row r="198" spans="175:175">
      <c r="FS198" s="400" t="str">
        <f t="shared" si="6"/>
        <v/>
      </c>
    </row>
    <row r="199" spans="175:175">
      <c r="FS199" s="400" t="str">
        <f t="shared" si="6"/>
        <v/>
      </c>
    </row>
    <row r="200" spans="175:175">
      <c r="FS200" s="400" t="str">
        <f t="shared" si="6"/>
        <v/>
      </c>
    </row>
    <row r="201" spans="175:175">
      <c r="FS201" s="400" t="str">
        <f t="shared" si="6"/>
        <v/>
      </c>
    </row>
    <row r="202" spans="175:175">
      <c r="FS202" s="400" t="str">
        <f t="shared" si="6"/>
        <v/>
      </c>
    </row>
    <row r="203" spans="175:175">
      <c r="FS203" s="400" t="str">
        <f t="shared" si="6"/>
        <v/>
      </c>
    </row>
    <row r="204" spans="175:175">
      <c r="FS204" s="400" t="str">
        <f t="shared" si="6"/>
        <v/>
      </c>
    </row>
    <row r="205" spans="175:175">
      <c r="FS205" s="400" t="str">
        <f t="shared" si="6"/>
        <v/>
      </c>
    </row>
    <row r="206" spans="175:175">
      <c r="FS206" s="400" t="str">
        <f t="shared" si="6"/>
        <v/>
      </c>
    </row>
    <row r="207" spans="175:175">
      <c r="FS207" s="400" t="str">
        <f t="shared" si="6"/>
        <v/>
      </c>
    </row>
    <row r="208" spans="175:175">
      <c r="FS208" s="400" t="str">
        <f t="shared" si="6"/>
        <v/>
      </c>
    </row>
    <row r="209" spans="175:175">
      <c r="FS209" s="400" t="str">
        <f t="shared" si="6"/>
        <v/>
      </c>
    </row>
    <row r="210" spans="175:175">
      <c r="FS210" s="400" t="str">
        <f t="shared" si="6"/>
        <v/>
      </c>
    </row>
    <row r="211" spans="175:175">
      <c r="FS211" s="400" t="str">
        <f t="shared" si="6"/>
        <v/>
      </c>
    </row>
    <row r="212" spans="175:175">
      <c r="FS212" s="400" t="str">
        <f t="shared" si="6"/>
        <v/>
      </c>
    </row>
    <row r="213" spans="175:175">
      <c r="FS213" s="400" t="str">
        <f t="shared" si="6"/>
        <v/>
      </c>
    </row>
    <row r="214" spans="175:175">
      <c r="FS214" s="400" t="str">
        <f t="shared" si="6"/>
        <v/>
      </c>
    </row>
    <row r="215" spans="175:175">
      <c r="FS215" s="400" t="str">
        <f t="shared" si="6"/>
        <v/>
      </c>
    </row>
    <row r="216" spans="175:175">
      <c r="FS216" s="400" t="str">
        <f t="shared" si="6"/>
        <v/>
      </c>
    </row>
    <row r="217" spans="175:175">
      <c r="FS217" s="400" t="str">
        <f t="shared" si="6"/>
        <v/>
      </c>
    </row>
    <row r="218" spans="175:175">
      <c r="FS218" s="400" t="str">
        <f t="shared" si="6"/>
        <v/>
      </c>
    </row>
    <row r="219" spans="175:175">
      <c r="FS219" s="400" t="str">
        <f t="shared" si="6"/>
        <v/>
      </c>
    </row>
    <row r="220" spans="175:175">
      <c r="FS220" s="400" t="str">
        <f t="shared" si="6"/>
        <v/>
      </c>
    </row>
    <row r="221" spans="175:175">
      <c r="FS221" s="400" t="str">
        <f t="shared" si="6"/>
        <v/>
      </c>
    </row>
    <row r="222" spans="175:175">
      <c r="FS222" s="400" t="str">
        <f t="shared" si="6"/>
        <v/>
      </c>
    </row>
    <row r="223" spans="175:175">
      <c r="FS223" s="400" t="str">
        <f t="shared" si="6"/>
        <v/>
      </c>
    </row>
    <row r="224" spans="175:175">
      <c r="FS224" s="400" t="str">
        <f t="shared" si="6"/>
        <v/>
      </c>
    </row>
    <row r="225" spans="175:175">
      <c r="FS225" s="400" t="str">
        <f t="shared" si="6"/>
        <v/>
      </c>
    </row>
    <row r="226" spans="175:175">
      <c r="FS226" s="400" t="str">
        <f t="shared" si="6"/>
        <v/>
      </c>
    </row>
    <row r="227" spans="175:175">
      <c r="FS227" s="400" t="str">
        <f t="shared" si="6"/>
        <v/>
      </c>
    </row>
    <row r="228" spans="175:175">
      <c r="FS228" s="400" t="str">
        <f t="shared" si="6"/>
        <v/>
      </c>
    </row>
    <row r="229" spans="175:175">
      <c r="FS229" s="400" t="str">
        <f t="shared" si="6"/>
        <v/>
      </c>
    </row>
    <row r="230" spans="175:175">
      <c r="FS230" s="400" t="str">
        <f t="shared" si="6"/>
        <v/>
      </c>
    </row>
    <row r="231" spans="175:175">
      <c r="FS231" s="400" t="str">
        <f t="shared" si="6"/>
        <v/>
      </c>
    </row>
    <row r="232" spans="175:175">
      <c r="FS232" s="400" t="str">
        <f t="shared" si="6"/>
        <v/>
      </c>
    </row>
    <row r="233" spans="175:175">
      <c r="FS233" s="400" t="str">
        <f t="shared" si="6"/>
        <v/>
      </c>
    </row>
    <row r="234" spans="175:175">
      <c r="FS234" s="400" t="str">
        <f t="shared" si="6"/>
        <v/>
      </c>
    </row>
    <row r="235" spans="175:175">
      <c r="FS235" s="400" t="str">
        <f t="shared" si="6"/>
        <v/>
      </c>
    </row>
    <row r="236" spans="175:175">
      <c r="FS236" s="400" t="str">
        <f t="shared" si="6"/>
        <v/>
      </c>
    </row>
    <row r="237" spans="175:175">
      <c r="FS237" s="400" t="str">
        <f t="shared" si="6"/>
        <v/>
      </c>
    </row>
    <row r="238" spans="175:175">
      <c r="FS238" s="400" t="str">
        <f t="shared" si="6"/>
        <v/>
      </c>
    </row>
    <row r="239" spans="175:175">
      <c r="FS239" s="400" t="str">
        <f t="shared" si="6"/>
        <v/>
      </c>
    </row>
    <row r="240" spans="175:175">
      <c r="FS240" s="400" t="str">
        <f t="shared" si="6"/>
        <v/>
      </c>
    </row>
    <row r="241" spans="175:175">
      <c r="FS241" s="400" t="str">
        <f t="shared" si="6"/>
        <v/>
      </c>
    </row>
    <row r="242" spans="175:175">
      <c r="FS242" s="400" t="str">
        <f t="shared" si="6"/>
        <v/>
      </c>
    </row>
    <row r="243" spans="175:175">
      <c r="FS243" s="400" t="str">
        <f t="shared" si="6"/>
        <v/>
      </c>
    </row>
    <row r="244" spans="175:175">
      <c r="FS244" s="400" t="str">
        <f t="shared" si="6"/>
        <v/>
      </c>
    </row>
    <row r="245" spans="175:175">
      <c r="FS245" s="400" t="str">
        <f t="shared" si="6"/>
        <v/>
      </c>
    </row>
    <row r="246" spans="175:175">
      <c r="FS246" s="400" t="str">
        <f t="shared" si="6"/>
        <v/>
      </c>
    </row>
    <row r="247" spans="175:175">
      <c r="FS247" s="400" t="str">
        <f t="shared" si="6"/>
        <v/>
      </c>
    </row>
    <row r="248" spans="175:175">
      <c r="FS248" s="400" t="str">
        <f t="shared" si="6"/>
        <v/>
      </c>
    </row>
    <row r="249" spans="175:175">
      <c r="FS249" s="400" t="str">
        <f t="shared" si="6"/>
        <v/>
      </c>
    </row>
    <row r="250" spans="175:175">
      <c r="FS250" s="400" t="str">
        <f t="shared" si="6"/>
        <v/>
      </c>
    </row>
    <row r="251" spans="175:175">
      <c r="FS251" s="400" t="str">
        <f t="shared" si="6"/>
        <v/>
      </c>
    </row>
    <row r="252" spans="175:175">
      <c r="FS252" s="400" t="str">
        <f t="shared" si="6"/>
        <v/>
      </c>
    </row>
    <row r="253" spans="175:175">
      <c r="FS253" s="400" t="str">
        <f t="shared" si="6"/>
        <v/>
      </c>
    </row>
    <row r="254" spans="175:175">
      <c r="FS254" s="400" t="str">
        <f t="shared" si="6"/>
        <v/>
      </c>
    </row>
    <row r="255" spans="175:175">
      <c r="FS255" s="400" t="str">
        <f t="shared" si="6"/>
        <v/>
      </c>
    </row>
    <row r="256" spans="175:175">
      <c r="FS256" s="400" t="str">
        <f t="shared" si="6"/>
        <v/>
      </c>
    </row>
    <row r="257" spans="175:175">
      <c r="FS257" s="400" t="str">
        <f t="shared" si="6"/>
        <v/>
      </c>
    </row>
    <row r="258" spans="175:175">
      <c r="FS258" s="400" t="str">
        <f t="shared" si="6"/>
        <v/>
      </c>
    </row>
    <row r="259" spans="175:175">
      <c r="FS259" s="400" t="str">
        <f t="shared" si="6"/>
        <v/>
      </c>
    </row>
    <row r="260" spans="175:175">
      <c r="FS260" s="400" t="str">
        <f t="shared" ref="FS260:FS323" si="7">IF(C260="","","Active")</f>
        <v/>
      </c>
    </row>
    <row r="261" spans="175:175">
      <c r="FS261" s="400" t="str">
        <f t="shared" si="7"/>
        <v/>
      </c>
    </row>
    <row r="262" spans="175:175">
      <c r="FS262" s="400" t="str">
        <f t="shared" si="7"/>
        <v/>
      </c>
    </row>
    <row r="263" spans="175:175">
      <c r="FS263" s="400" t="str">
        <f t="shared" si="7"/>
        <v/>
      </c>
    </row>
    <row r="264" spans="175:175">
      <c r="FS264" s="400" t="str">
        <f t="shared" si="7"/>
        <v/>
      </c>
    </row>
    <row r="265" spans="175:175">
      <c r="FS265" s="400" t="str">
        <f t="shared" si="7"/>
        <v/>
      </c>
    </row>
    <row r="266" spans="175:175">
      <c r="FS266" s="400" t="str">
        <f t="shared" si="7"/>
        <v/>
      </c>
    </row>
    <row r="267" spans="175:175">
      <c r="FS267" s="400" t="str">
        <f t="shared" si="7"/>
        <v/>
      </c>
    </row>
    <row r="268" spans="175:175">
      <c r="FS268" s="400" t="str">
        <f t="shared" si="7"/>
        <v/>
      </c>
    </row>
    <row r="269" spans="175:175">
      <c r="FS269" s="400" t="str">
        <f t="shared" si="7"/>
        <v/>
      </c>
    </row>
    <row r="270" spans="175:175">
      <c r="FS270" s="400" t="str">
        <f t="shared" si="7"/>
        <v/>
      </c>
    </row>
    <row r="271" spans="175:175">
      <c r="FS271" s="400" t="str">
        <f t="shared" si="7"/>
        <v/>
      </c>
    </row>
    <row r="272" spans="175:175">
      <c r="FS272" s="400" t="str">
        <f t="shared" si="7"/>
        <v/>
      </c>
    </row>
    <row r="273" spans="175:175">
      <c r="FS273" s="400" t="str">
        <f t="shared" si="7"/>
        <v/>
      </c>
    </row>
    <row r="274" spans="175:175">
      <c r="FS274" s="400" t="str">
        <f t="shared" si="7"/>
        <v/>
      </c>
    </row>
    <row r="275" spans="175:175">
      <c r="FS275" s="400" t="str">
        <f t="shared" si="7"/>
        <v/>
      </c>
    </row>
    <row r="276" spans="175:175">
      <c r="FS276" s="400" t="str">
        <f t="shared" si="7"/>
        <v/>
      </c>
    </row>
    <row r="277" spans="175:175">
      <c r="FS277" s="400" t="str">
        <f t="shared" si="7"/>
        <v/>
      </c>
    </row>
    <row r="278" spans="175:175">
      <c r="FS278" s="400" t="str">
        <f t="shared" si="7"/>
        <v/>
      </c>
    </row>
    <row r="279" spans="175:175">
      <c r="FS279" s="400" t="str">
        <f t="shared" si="7"/>
        <v/>
      </c>
    </row>
    <row r="280" spans="175:175">
      <c r="FS280" s="400" t="str">
        <f t="shared" si="7"/>
        <v/>
      </c>
    </row>
    <row r="281" spans="175:175">
      <c r="FS281" s="400" t="str">
        <f t="shared" si="7"/>
        <v/>
      </c>
    </row>
    <row r="282" spans="175:175">
      <c r="FS282" s="400" t="str">
        <f t="shared" si="7"/>
        <v/>
      </c>
    </row>
    <row r="283" spans="175:175">
      <c r="FS283" s="400" t="str">
        <f t="shared" si="7"/>
        <v/>
      </c>
    </row>
    <row r="284" spans="175:175">
      <c r="FS284" s="400" t="str">
        <f t="shared" si="7"/>
        <v/>
      </c>
    </row>
    <row r="285" spans="175:175">
      <c r="FS285" s="400" t="str">
        <f t="shared" si="7"/>
        <v/>
      </c>
    </row>
    <row r="286" spans="175:175">
      <c r="FS286" s="400" t="str">
        <f t="shared" si="7"/>
        <v/>
      </c>
    </row>
    <row r="287" spans="175:175">
      <c r="FS287" s="400" t="str">
        <f t="shared" si="7"/>
        <v/>
      </c>
    </row>
    <row r="288" spans="175:175">
      <c r="FS288" s="400" t="str">
        <f t="shared" si="7"/>
        <v/>
      </c>
    </row>
    <row r="289" spans="175:175">
      <c r="FS289" s="400" t="str">
        <f t="shared" si="7"/>
        <v/>
      </c>
    </row>
    <row r="290" spans="175:175">
      <c r="FS290" s="400" t="str">
        <f t="shared" si="7"/>
        <v/>
      </c>
    </row>
    <row r="291" spans="175:175">
      <c r="FS291" s="400" t="str">
        <f t="shared" si="7"/>
        <v/>
      </c>
    </row>
    <row r="292" spans="175:175">
      <c r="FS292" s="400" t="str">
        <f t="shared" si="7"/>
        <v/>
      </c>
    </row>
    <row r="293" spans="175:175">
      <c r="FS293" s="400" t="str">
        <f t="shared" si="7"/>
        <v/>
      </c>
    </row>
    <row r="294" spans="175:175">
      <c r="FS294" s="400" t="str">
        <f t="shared" si="7"/>
        <v/>
      </c>
    </row>
    <row r="295" spans="175:175">
      <c r="FS295" s="400" t="str">
        <f t="shared" si="7"/>
        <v/>
      </c>
    </row>
    <row r="296" spans="175:175">
      <c r="FS296" s="400" t="str">
        <f t="shared" si="7"/>
        <v/>
      </c>
    </row>
    <row r="297" spans="175:175">
      <c r="FS297" s="400" t="str">
        <f t="shared" si="7"/>
        <v/>
      </c>
    </row>
    <row r="298" spans="175:175">
      <c r="FS298" s="400" t="str">
        <f t="shared" si="7"/>
        <v/>
      </c>
    </row>
    <row r="299" spans="175:175">
      <c r="FS299" s="400" t="str">
        <f t="shared" si="7"/>
        <v/>
      </c>
    </row>
    <row r="300" spans="175:175">
      <c r="FS300" s="400" t="str">
        <f t="shared" si="7"/>
        <v/>
      </c>
    </row>
    <row r="301" spans="175:175">
      <c r="FS301" s="400" t="str">
        <f t="shared" si="7"/>
        <v/>
      </c>
    </row>
    <row r="302" spans="175:175">
      <c r="FS302" s="400" t="str">
        <f t="shared" si="7"/>
        <v/>
      </c>
    </row>
    <row r="303" spans="175:175">
      <c r="FS303" s="400" t="str">
        <f t="shared" si="7"/>
        <v/>
      </c>
    </row>
    <row r="304" spans="175:175">
      <c r="FS304" s="400" t="str">
        <f t="shared" si="7"/>
        <v/>
      </c>
    </row>
    <row r="305" spans="175:175">
      <c r="FS305" s="400" t="str">
        <f t="shared" si="7"/>
        <v/>
      </c>
    </row>
    <row r="306" spans="175:175">
      <c r="FS306" s="400" t="str">
        <f t="shared" si="7"/>
        <v/>
      </c>
    </row>
    <row r="307" spans="175:175">
      <c r="FS307" s="400" t="str">
        <f t="shared" si="7"/>
        <v/>
      </c>
    </row>
    <row r="308" spans="175:175">
      <c r="FS308" s="400" t="str">
        <f t="shared" si="7"/>
        <v/>
      </c>
    </row>
    <row r="309" spans="175:175">
      <c r="FS309" s="400" t="str">
        <f t="shared" si="7"/>
        <v/>
      </c>
    </row>
    <row r="310" spans="175:175">
      <c r="FS310" s="400" t="str">
        <f t="shared" si="7"/>
        <v/>
      </c>
    </row>
    <row r="311" spans="175:175">
      <c r="FS311" s="400" t="str">
        <f t="shared" si="7"/>
        <v/>
      </c>
    </row>
    <row r="312" spans="175:175">
      <c r="FS312" s="400" t="str">
        <f t="shared" si="7"/>
        <v/>
      </c>
    </row>
    <row r="313" spans="175:175">
      <c r="FS313" s="400" t="str">
        <f t="shared" si="7"/>
        <v/>
      </c>
    </row>
    <row r="314" spans="175:175">
      <c r="FS314" s="400" t="str">
        <f t="shared" si="7"/>
        <v/>
      </c>
    </row>
    <row r="315" spans="175:175">
      <c r="FS315" s="400" t="str">
        <f t="shared" si="7"/>
        <v/>
      </c>
    </row>
    <row r="316" spans="175:175">
      <c r="FS316" s="400" t="str">
        <f t="shared" si="7"/>
        <v/>
      </c>
    </row>
    <row r="317" spans="175:175">
      <c r="FS317" s="400" t="str">
        <f t="shared" si="7"/>
        <v/>
      </c>
    </row>
    <row r="318" spans="175:175">
      <c r="FS318" s="400" t="str">
        <f t="shared" si="7"/>
        <v/>
      </c>
    </row>
    <row r="319" spans="175:175">
      <c r="FS319" s="400" t="str">
        <f t="shared" si="7"/>
        <v/>
      </c>
    </row>
    <row r="320" spans="175:175">
      <c r="FS320" s="400" t="str">
        <f t="shared" si="7"/>
        <v/>
      </c>
    </row>
    <row r="321" spans="175:175">
      <c r="FS321" s="400" t="str">
        <f t="shared" si="7"/>
        <v/>
      </c>
    </row>
    <row r="322" spans="175:175">
      <c r="FS322" s="400" t="str">
        <f t="shared" si="7"/>
        <v/>
      </c>
    </row>
    <row r="323" spans="175:175">
      <c r="FS323" s="400" t="str">
        <f t="shared" si="7"/>
        <v/>
      </c>
    </row>
    <row r="324" spans="175:175">
      <c r="FS324" s="400" t="str">
        <f t="shared" ref="FS324:FS387" si="8">IF(C324="","","Active")</f>
        <v/>
      </c>
    </row>
    <row r="325" spans="175:175">
      <c r="FS325" s="400" t="str">
        <f t="shared" si="8"/>
        <v/>
      </c>
    </row>
    <row r="326" spans="175:175">
      <c r="FS326" s="400" t="str">
        <f t="shared" si="8"/>
        <v/>
      </c>
    </row>
    <row r="327" spans="175:175">
      <c r="FS327" s="400" t="str">
        <f t="shared" si="8"/>
        <v/>
      </c>
    </row>
    <row r="328" spans="175:175">
      <c r="FS328" s="400" t="str">
        <f t="shared" si="8"/>
        <v/>
      </c>
    </row>
    <row r="329" spans="175:175">
      <c r="FS329" s="400" t="str">
        <f t="shared" si="8"/>
        <v/>
      </c>
    </row>
    <row r="330" spans="175:175">
      <c r="FS330" s="400" t="str">
        <f t="shared" si="8"/>
        <v/>
      </c>
    </row>
    <row r="331" spans="175:175">
      <c r="FS331" s="400" t="str">
        <f t="shared" si="8"/>
        <v/>
      </c>
    </row>
    <row r="332" spans="175:175">
      <c r="FS332" s="400" t="str">
        <f t="shared" si="8"/>
        <v/>
      </c>
    </row>
    <row r="333" spans="175:175">
      <c r="FS333" s="400" t="str">
        <f t="shared" si="8"/>
        <v/>
      </c>
    </row>
    <row r="334" spans="175:175">
      <c r="FS334" s="400" t="str">
        <f t="shared" si="8"/>
        <v/>
      </c>
    </row>
    <row r="335" spans="175:175">
      <c r="FS335" s="400" t="str">
        <f t="shared" si="8"/>
        <v/>
      </c>
    </row>
    <row r="336" spans="175:175">
      <c r="FS336" s="400" t="str">
        <f t="shared" si="8"/>
        <v/>
      </c>
    </row>
    <row r="337" spans="175:175">
      <c r="FS337" s="400" t="str">
        <f t="shared" si="8"/>
        <v/>
      </c>
    </row>
    <row r="338" spans="175:175">
      <c r="FS338" s="400" t="str">
        <f t="shared" si="8"/>
        <v/>
      </c>
    </row>
    <row r="339" spans="175:175">
      <c r="FS339" s="400" t="str">
        <f t="shared" si="8"/>
        <v/>
      </c>
    </row>
    <row r="340" spans="175:175">
      <c r="FS340" s="400" t="str">
        <f t="shared" si="8"/>
        <v/>
      </c>
    </row>
    <row r="341" spans="175:175">
      <c r="FS341" s="400" t="str">
        <f t="shared" si="8"/>
        <v/>
      </c>
    </row>
    <row r="342" spans="175:175">
      <c r="FS342" s="400" t="str">
        <f t="shared" si="8"/>
        <v/>
      </c>
    </row>
    <row r="343" spans="175:175">
      <c r="FS343" s="400" t="str">
        <f t="shared" si="8"/>
        <v/>
      </c>
    </row>
    <row r="344" spans="175:175">
      <c r="FS344" s="400" t="str">
        <f t="shared" si="8"/>
        <v/>
      </c>
    </row>
    <row r="345" spans="175:175">
      <c r="FS345" s="400" t="str">
        <f t="shared" si="8"/>
        <v/>
      </c>
    </row>
    <row r="346" spans="175:175">
      <c r="FS346" s="400" t="str">
        <f t="shared" si="8"/>
        <v/>
      </c>
    </row>
    <row r="347" spans="175:175">
      <c r="FS347" s="400" t="str">
        <f t="shared" si="8"/>
        <v/>
      </c>
    </row>
    <row r="348" spans="175:175">
      <c r="FS348" s="400" t="str">
        <f t="shared" si="8"/>
        <v/>
      </c>
    </row>
    <row r="349" spans="175:175">
      <c r="FS349" s="400" t="str">
        <f t="shared" si="8"/>
        <v/>
      </c>
    </row>
    <row r="350" spans="175:175">
      <c r="FS350" s="400" t="str">
        <f t="shared" si="8"/>
        <v/>
      </c>
    </row>
    <row r="351" spans="175:175">
      <c r="FS351" s="400" t="str">
        <f t="shared" si="8"/>
        <v/>
      </c>
    </row>
    <row r="352" spans="175:175">
      <c r="FS352" s="400" t="str">
        <f t="shared" si="8"/>
        <v/>
      </c>
    </row>
    <row r="353" spans="175:175">
      <c r="FS353" s="400" t="str">
        <f t="shared" si="8"/>
        <v/>
      </c>
    </row>
    <row r="354" spans="175:175">
      <c r="FS354" s="400" t="str">
        <f t="shared" si="8"/>
        <v/>
      </c>
    </row>
    <row r="355" spans="175:175">
      <c r="FS355" s="400" t="str">
        <f t="shared" si="8"/>
        <v/>
      </c>
    </row>
    <row r="356" spans="175:175">
      <c r="FS356" s="400" t="str">
        <f t="shared" si="8"/>
        <v/>
      </c>
    </row>
    <row r="357" spans="175:175">
      <c r="FS357" s="400" t="str">
        <f t="shared" si="8"/>
        <v/>
      </c>
    </row>
    <row r="358" spans="175:175">
      <c r="FS358" s="400" t="str">
        <f t="shared" si="8"/>
        <v/>
      </c>
    </row>
    <row r="359" spans="175:175">
      <c r="FS359" s="400" t="str">
        <f t="shared" si="8"/>
        <v/>
      </c>
    </row>
    <row r="360" spans="175:175">
      <c r="FS360" s="400" t="str">
        <f t="shared" si="8"/>
        <v/>
      </c>
    </row>
    <row r="361" spans="175:175">
      <c r="FS361" s="400" t="str">
        <f t="shared" si="8"/>
        <v/>
      </c>
    </row>
    <row r="362" spans="175:175">
      <c r="FS362" s="400" t="str">
        <f t="shared" si="8"/>
        <v/>
      </c>
    </row>
    <row r="363" spans="175:175">
      <c r="FS363" s="400" t="str">
        <f t="shared" si="8"/>
        <v/>
      </c>
    </row>
    <row r="364" spans="175:175">
      <c r="FS364" s="400" t="str">
        <f t="shared" si="8"/>
        <v/>
      </c>
    </row>
    <row r="365" spans="175:175">
      <c r="FS365" s="400" t="str">
        <f t="shared" si="8"/>
        <v/>
      </c>
    </row>
    <row r="366" spans="175:175">
      <c r="FS366" s="400" t="str">
        <f t="shared" si="8"/>
        <v/>
      </c>
    </row>
    <row r="367" spans="175:175">
      <c r="FS367" s="400" t="str">
        <f t="shared" si="8"/>
        <v/>
      </c>
    </row>
    <row r="368" spans="175:175">
      <c r="FS368" s="400" t="str">
        <f t="shared" si="8"/>
        <v/>
      </c>
    </row>
    <row r="369" spans="175:175">
      <c r="FS369" s="400" t="str">
        <f t="shared" si="8"/>
        <v/>
      </c>
    </row>
    <row r="370" spans="175:175">
      <c r="FS370" s="400" t="str">
        <f t="shared" si="8"/>
        <v/>
      </c>
    </row>
    <row r="371" spans="175:175">
      <c r="FS371" s="400" t="str">
        <f t="shared" si="8"/>
        <v/>
      </c>
    </row>
    <row r="372" spans="175:175">
      <c r="FS372" s="400" t="str">
        <f t="shared" si="8"/>
        <v/>
      </c>
    </row>
    <row r="373" spans="175:175">
      <c r="FS373" s="400" t="str">
        <f t="shared" si="8"/>
        <v/>
      </c>
    </row>
    <row r="374" spans="175:175">
      <c r="FS374" s="400" t="str">
        <f t="shared" si="8"/>
        <v/>
      </c>
    </row>
    <row r="375" spans="175:175">
      <c r="FS375" s="400" t="str">
        <f t="shared" si="8"/>
        <v/>
      </c>
    </row>
    <row r="376" spans="175:175">
      <c r="FS376" s="400" t="str">
        <f t="shared" si="8"/>
        <v/>
      </c>
    </row>
    <row r="377" spans="175:175">
      <c r="FS377" s="400" t="str">
        <f t="shared" si="8"/>
        <v/>
      </c>
    </row>
    <row r="378" spans="175:175">
      <c r="FS378" s="400" t="str">
        <f t="shared" si="8"/>
        <v/>
      </c>
    </row>
    <row r="379" spans="175:175">
      <c r="FS379" s="400" t="str">
        <f t="shared" si="8"/>
        <v/>
      </c>
    </row>
    <row r="380" spans="175:175">
      <c r="FS380" s="400" t="str">
        <f t="shared" si="8"/>
        <v/>
      </c>
    </row>
    <row r="381" spans="175:175">
      <c r="FS381" s="400" t="str">
        <f t="shared" si="8"/>
        <v/>
      </c>
    </row>
    <row r="382" spans="175:175">
      <c r="FS382" s="400" t="str">
        <f t="shared" si="8"/>
        <v/>
      </c>
    </row>
    <row r="383" spans="175:175">
      <c r="FS383" s="400" t="str">
        <f t="shared" si="8"/>
        <v/>
      </c>
    </row>
    <row r="384" spans="175:175">
      <c r="FS384" s="400" t="str">
        <f t="shared" si="8"/>
        <v/>
      </c>
    </row>
    <row r="385" spans="175:175">
      <c r="FS385" s="400" t="str">
        <f t="shared" si="8"/>
        <v/>
      </c>
    </row>
    <row r="386" spans="175:175">
      <c r="FS386" s="400" t="str">
        <f t="shared" si="8"/>
        <v/>
      </c>
    </row>
    <row r="387" spans="175:175">
      <c r="FS387" s="400" t="str">
        <f t="shared" si="8"/>
        <v/>
      </c>
    </row>
    <row r="388" spans="175:175">
      <c r="FS388" s="400" t="str">
        <f t="shared" ref="FS388:FS451" si="9">IF(C388="","","Active")</f>
        <v/>
      </c>
    </row>
    <row r="389" spans="175:175">
      <c r="FS389" s="400" t="str">
        <f t="shared" si="9"/>
        <v/>
      </c>
    </row>
    <row r="390" spans="175:175">
      <c r="FS390" s="400" t="str">
        <f t="shared" si="9"/>
        <v/>
      </c>
    </row>
    <row r="391" spans="175:175">
      <c r="FS391" s="400" t="str">
        <f t="shared" si="9"/>
        <v/>
      </c>
    </row>
    <row r="392" spans="175:175">
      <c r="FS392" s="400" t="str">
        <f t="shared" si="9"/>
        <v/>
      </c>
    </row>
    <row r="393" spans="175:175">
      <c r="FS393" s="400" t="str">
        <f t="shared" si="9"/>
        <v/>
      </c>
    </row>
    <row r="394" spans="175:175">
      <c r="FS394" s="400" t="str">
        <f t="shared" si="9"/>
        <v/>
      </c>
    </row>
    <row r="395" spans="175:175">
      <c r="FS395" s="400" t="str">
        <f t="shared" si="9"/>
        <v/>
      </c>
    </row>
    <row r="396" spans="175:175">
      <c r="FS396" s="400" t="str">
        <f t="shared" si="9"/>
        <v/>
      </c>
    </row>
    <row r="397" spans="175:175">
      <c r="FS397" s="400" t="str">
        <f t="shared" si="9"/>
        <v/>
      </c>
    </row>
    <row r="398" spans="175:175">
      <c r="FS398" s="400" t="str">
        <f t="shared" si="9"/>
        <v/>
      </c>
    </row>
    <row r="399" spans="175:175">
      <c r="FS399" s="400" t="str">
        <f t="shared" si="9"/>
        <v/>
      </c>
    </row>
    <row r="400" spans="175:175">
      <c r="FS400" s="400" t="str">
        <f t="shared" si="9"/>
        <v/>
      </c>
    </row>
    <row r="401" spans="175:175">
      <c r="FS401" s="400" t="str">
        <f t="shared" si="9"/>
        <v/>
      </c>
    </row>
    <row r="402" spans="175:175">
      <c r="FS402" s="400" t="str">
        <f t="shared" si="9"/>
        <v/>
      </c>
    </row>
    <row r="403" spans="175:175">
      <c r="FS403" s="400" t="str">
        <f t="shared" si="9"/>
        <v/>
      </c>
    </row>
    <row r="404" spans="175:175">
      <c r="FS404" s="400" t="str">
        <f t="shared" si="9"/>
        <v/>
      </c>
    </row>
    <row r="405" spans="175:175">
      <c r="FS405" s="400" t="str">
        <f t="shared" si="9"/>
        <v/>
      </c>
    </row>
    <row r="406" spans="175:175">
      <c r="FS406" s="400" t="str">
        <f t="shared" si="9"/>
        <v/>
      </c>
    </row>
    <row r="407" spans="175:175">
      <c r="FS407" s="400" t="str">
        <f t="shared" si="9"/>
        <v/>
      </c>
    </row>
    <row r="408" spans="175:175">
      <c r="FS408" s="400" t="str">
        <f t="shared" si="9"/>
        <v/>
      </c>
    </row>
    <row r="409" spans="175:175">
      <c r="FS409" s="400" t="str">
        <f t="shared" si="9"/>
        <v/>
      </c>
    </row>
    <row r="410" spans="175:175">
      <c r="FS410" s="400" t="str">
        <f t="shared" si="9"/>
        <v/>
      </c>
    </row>
    <row r="411" spans="175:175">
      <c r="FS411" s="400" t="str">
        <f t="shared" si="9"/>
        <v/>
      </c>
    </row>
    <row r="412" spans="175:175">
      <c r="FS412" s="400" t="str">
        <f t="shared" si="9"/>
        <v/>
      </c>
    </row>
    <row r="413" spans="175:175">
      <c r="FS413" s="400" t="str">
        <f t="shared" si="9"/>
        <v/>
      </c>
    </row>
    <row r="414" spans="175:175">
      <c r="FS414" s="400" t="str">
        <f t="shared" si="9"/>
        <v/>
      </c>
    </row>
    <row r="415" spans="175:175">
      <c r="FS415" s="400" t="str">
        <f t="shared" si="9"/>
        <v/>
      </c>
    </row>
    <row r="416" spans="175:175">
      <c r="FS416" s="400" t="str">
        <f t="shared" si="9"/>
        <v/>
      </c>
    </row>
    <row r="417" spans="175:175">
      <c r="FS417" s="400" t="str">
        <f t="shared" si="9"/>
        <v/>
      </c>
    </row>
    <row r="418" spans="175:175">
      <c r="FS418" s="400" t="str">
        <f t="shared" si="9"/>
        <v/>
      </c>
    </row>
    <row r="419" spans="175:175">
      <c r="FS419" s="400" t="str">
        <f t="shared" si="9"/>
        <v/>
      </c>
    </row>
    <row r="420" spans="175:175">
      <c r="FS420" s="400" t="str">
        <f t="shared" si="9"/>
        <v/>
      </c>
    </row>
    <row r="421" spans="175:175">
      <c r="FS421" s="400" t="str">
        <f t="shared" si="9"/>
        <v/>
      </c>
    </row>
    <row r="422" spans="175:175">
      <c r="FS422" s="400" t="str">
        <f t="shared" si="9"/>
        <v/>
      </c>
    </row>
    <row r="423" spans="175:175">
      <c r="FS423" s="400" t="str">
        <f t="shared" si="9"/>
        <v/>
      </c>
    </row>
    <row r="424" spans="175:175">
      <c r="FS424" s="400" t="str">
        <f t="shared" si="9"/>
        <v/>
      </c>
    </row>
    <row r="425" spans="175:175">
      <c r="FS425" s="400" t="str">
        <f t="shared" si="9"/>
        <v/>
      </c>
    </row>
    <row r="426" spans="175:175">
      <c r="FS426" s="400" t="str">
        <f t="shared" si="9"/>
        <v/>
      </c>
    </row>
    <row r="427" spans="175:175">
      <c r="FS427" s="400" t="str">
        <f t="shared" si="9"/>
        <v/>
      </c>
    </row>
    <row r="428" spans="175:175">
      <c r="FS428" s="400" t="str">
        <f t="shared" si="9"/>
        <v/>
      </c>
    </row>
    <row r="429" spans="175:175">
      <c r="FS429" s="400" t="str">
        <f t="shared" si="9"/>
        <v/>
      </c>
    </row>
    <row r="430" spans="175:175">
      <c r="FS430" s="400" t="str">
        <f t="shared" si="9"/>
        <v/>
      </c>
    </row>
    <row r="431" spans="175:175">
      <c r="FS431" s="400" t="str">
        <f t="shared" si="9"/>
        <v/>
      </c>
    </row>
    <row r="432" spans="175:175">
      <c r="FS432" s="400" t="str">
        <f t="shared" si="9"/>
        <v/>
      </c>
    </row>
    <row r="433" spans="175:175">
      <c r="FS433" s="400" t="str">
        <f t="shared" si="9"/>
        <v/>
      </c>
    </row>
    <row r="434" spans="175:175">
      <c r="FS434" s="400" t="str">
        <f t="shared" si="9"/>
        <v/>
      </c>
    </row>
    <row r="435" spans="175:175">
      <c r="FS435" s="400" t="str">
        <f t="shared" si="9"/>
        <v/>
      </c>
    </row>
    <row r="436" spans="175:175">
      <c r="FS436" s="400" t="str">
        <f t="shared" si="9"/>
        <v/>
      </c>
    </row>
    <row r="437" spans="175:175">
      <c r="FS437" s="400" t="str">
        <f t="shared" si="9"/>
        <v/>
      </c>
    </row>
    <row r="438" spans="175:175">
      <c r="FS438" s="400" t="str">
        <f t="shared" si="9"/>
        <v/>
      </c>
    </row>
    <row r="439" spans="175:175">
      <c r="FS439" s="400" t="str">
        <f t="shared" si="9"/>
        <v/>
      </c>
    </row>
    <row r="440" spans="175:175">
      <c r="FS440" s="400" t="str">
        <f t="shared" si="9"/>
        <v/>
      </c>
    </row>
    <row r="441" spans="175:175">
      <c r="FS441" s="400" t="str">
        <f t="shared" si="9"/>
        <v/>
      </c>
    </row>
    <row r="442" spans="175:175">
      <c r="FS442" s="400" t="str">
        <f t="shared" si="9"/>
        <v/>
      </c>
    </row>
    <row r="443" spans="175:175">
      <c r="FS443" s="400" t="str">
        <f t="shared" si="9"/>
        <v/>
      </c>
    </row>
    <row r="444" spans="175:175">
      <c r="FS444" s="400" t="str">
        <f t="shared" si="9"/>
        <v/>
      </c>
    </row>
    <row r="445" spans="175:175">
      <c r="FS445" s="400" t="str">
        <f t="shared" si="9"/>
        <v/>
      </c>
    </row>
    <row r="446" spans="175:175">
      <c r="FS446" s="400" t="str">
        <f t="shared" si="9"/>
        <v/>
      </c>
    </row>
    <row r="447" spans="175:175">
      <c r="FS447" s="400" t="str">
        <f t="shared" si="9"/>
        <v/>
      </c>
    </row>
    <row r="448" spans="175:175">
      <c r="FS448" s="400" t="str">
        <f t="shared" si="9"/>
        <v/>
      </c>
    </row>
    <row r="449" spans="175:175">
      <c r="FS449" s="400" t="str">
        <f t="shared" si="9"/>
        <v/>
      </c>
    </row>
    <row r="450" spans="175:175">
      <c r="FS450" s="400" t="str">
        <f t="shared" si="9"/>
        <v/>
      </c>
    </row>
    <row r="451" spans="175:175">
      <c r="FS451" s="400" t="str">
        <f t="shared" si="9"/>
        <v/>
      </c>
    </row>
    <row r="452" spans="175:175">
      <c r="FS452" s="400" t="str">
        <f t="shared" ref="FS452:FS515" si="10">IF(C452="","","Active")</f>
        <v/>
      </c>
    </row>
    <row r="453" spans="175:175">
      <c r="FS453" s="400" t="str">
        <f t="shared" si="10"/>
        <v/>
      </c>
    </row>
    <row r="454" spans="175:175">
      <c r="FS454" s="400" t="str">
        <f t="shared" si="10"/>
        <v/>
      </c>
    </row>
    <row r="455" spans="175:175">
      <c r="FS455" s="400" t="str">
        <f t="shared" si="10"/>
        <v/>
      </c>
    </row>
    <row r="456" spans="175:175">
      <c r="FS456" s="400" t="str">
        <f t="shared" si="10"/>
        <v/>
      </c>
    </row>
    <row r="457" spans="175:175">
      <c r="FS457" s="400" t="str">
        <f t="shared" si="10"/>
        <v/>
      </c>
    </row>
    <row r="458" spans="175:175">
      <c r="FS458" s="400" t="str">
        <f t="shared" si="10"/>
        <v/>
      </c>
    </row>
    <row r="459" spans="175:175">
      <c r="FS459" s="400" t="str">
        <f t="shared" si="10"/>
        <v/>
      </c>
    </row>
    <row r="460" spans="175:175">
      <c r="FS460" s="400" t="str">
        <f t="shared" si="10"/>
        <v/>
      </c>
    </row>
    <row r="461" spans="175:175">
      <c r="FS461" s="400" t="str">
        <f t="shared" si="10"/>
        <v/>
      </c>
    </row>
    <row r="462" spans="175:175">
      <c r="FS462" s="400" t="str">
        <f t="shared" si="10"/>
        <v/>
      </c>
    </row>
    <row r="463" spans="175:175">
      <c r="FS463" s="400" t="str">
        <f t="shared" si="10"/>
        <v/>
      </c>
    </row>
    <row r="464" spans="175:175">
      <c r="FS464" s="400" t="str">
        <f t="shared" si="10"/>
        <v/>
      </c>
    </row>
    <row r="465" spans="175:175">
      <c r="FS465" s="400" t="str">
        <f t="shared" si="10"/>
        <v/>
      </c>
    </row>
    <row r="466" spans="175:175">
      <c r="FS466" s="400" t="str">
        <f t="shared" si="10"/>
        <v/>
      </c>
    </row>
    <row r="467" spans="175:175">
      <c r="FS467" s="400" t="str">
        <f t="shared" si="10"/>
        <v/>
      </c>
    </row>
    <row r="468" spans="175:175">
      <c r="FS468" s="400" t="str">
        <f t="shared" si="10"/>
        <v/>
      </c>
    </row>
    <row r="469" spans="175:175">
      <c r="FS469" s="400" t="str">
        <f t="shared" si="10"/>
        <v/>
      </c>
    </row>
    <row r="470" spans="175:175">
      <c r="FS470" s="400" t="str">
        <f t="shared" si="10"/>
        <v/>
      </c>
    </row>
    <row r="471" spans="175:175">
      <c r="FS471" s="400" t="str">
        <f t="shared" si="10"/>
        <v/>
      </c>
    </row>
    <row r="472" spans="175:175">
      <c r="FS472" s="400" t="str">
        <f t="shared" si="10"/>
        <v/>
      </c>
    </row>
    <row r="473" spans="175:175">
      <c r="FS473" s="400" t="str">
        <f t="shared" si="10"/>
        <v/>
      </c>
    </row>
    <row r="474" spans="175:175">
      <c r="FS474" s="400" t="str">
        <f t="shared" si="10"/>
        <v/>
      </c>
    </row>
    <row r="475" spans="175:175">
      <c r="FS475" s="400" t="str">
        <f t="shared" si="10"/>
        <v/>
      </c>
    </row>
    <row r="476" spans="175:175">
      <c r="FS476" s="400" t="str">
        <f t="shared" si="10"/>
        <v/>
      </c>
    </row>
    <row r="477" spans="175:175">
      <c r="FS477" s="400" t="str">
        <f t="shared" si="10"/>
        <v/>
      </c>
    </row>
    <row r="478" spans="175:175">
      <c r="FS478" s="400" t="str">
        <f t="shared" si="10"/>
        <v/>
      </c>
    </row>
    <row r="479" spans="175:175">
      <c r="FS479" s="400" t="str">
        <f t="shared" si="10"/>
        <v/>
      </c>
    </row>
    <row r="480" spans="175:175">
      <c r="FS480" s="400" t="str">
        <f t="shared" si="10"/>
        <v/>
      </c>
    </row>
    <row r="481" spans="175:175">
      <c r="FS481" s="400" t="str">
        <f t="shared" si="10"/>
        <v/>
      </c>
    </row>
    <row r="482" spans="175:175">
      <c r="FS482" s="400" t="str">
        <f t="shared" si="10"/>
        <v/>
      </c>
    </row>
    <row r="483" spans="175:175">
      <c r="FS483" s="400" t="str">
        <f t="shared" si="10"/>
        <v/>
      </c>
    </row>
    <row r="484" spans="175:175">
      <c r="FS484" s="400" t="str">
        <f t="shared" si="10"/>
        <v/>
      </c>
    </row>
    <row r="485" spans="175:175">
      <c r="FS485" s="400" t="str">
        <f t="shared" si="10"/>
        <v/>
      </c>
    </row>
    <row r="486" spans="175:175">
      <c r="FS486" s="400" t="str">
        <f t="shared" si="10"/>
        <v/>
      </c>
    </row>
    <row r="487" spans="175:175">
      <c r="FS487" s="400" t="str">
        <f t="shared" si="10"/>
        <v/>
      </c>
    </row>
    <row r="488" spans="175:175">
      <c r="FS488" s="400" t="str">
        <f t="shared" si="10"/>
        <v/>
      </c>
    </row>
    <row r="489" spans="175:175">
      <c r="FS489" s="400" t="str">
        <f t="shared" si="10"/>
        <v/>
      </c>
    </row>
    <row r="490" spans="175:175">
      <c r="FS490" s="400" t="str">
        <f t="shared" si="10"/>
        <v/>
      </c>
    </row>
    <row r="491" spans="175:175">
      <c r="FS491" s="400" t="str">
        <f t="shared" si="10"/>
        <v/>
      </c>
    </row>
    <row r="492" spans="175:175">
      <c r="FS492" s="400" t="str">
        <f t="shared" si="10"/>
        <v/>
      </c>
    </row>
    <row r="493" spans="175:175">
      <c r="FS493" s="400" t="str">
        <f t="shared" si="10"/>
        <v/>
      </c>
    </row>
    <row r="494" spans="175:175">
      <c r="FS494" s="400" t="str">
        <f t="shared" si="10"/>
        <v/>
      </c>
    </row>
    <row r="495" spans="175:175">
      <c r="FS495" s="400" t="str">
        <f t="shared" si="10"/>
        <v/>
      </c>
    </row>
    <row r="496" spans="175:175">
      <c r="FS496" s="400" t="str">
        <f t="shared" si="10"/>
        <v/>
      </c>
    </row>
    <row r="497" spans="175:175">
      <c r="FS497" s="400" t="str">
        <f t="shared" si="10"/>
        <v/>
      </c>
    </row>
    <row r="498" spans="175:175">
      <c r="FS498" s="400" t="str">
        <f t="shared" si="10"/>
        <v/>
      </c>
    </row>
    <row r="499" spans="175:175">
      <c r="FS499" s="400" t="str">
        <f t="shared" si="10"/>
        <v/>
      </c>
    </row>
    <row r="500" spans="175:175">
      <c r="FS500" s="400" t="str">
        <f t="shared" si="10"/>
        <v/>
      </c>
    </row>
    <row r="501" spans="175:175">
      <c r="FS501" s="400" t="str">
        <f t="shared" si="10"/>
        <v/>
      </c>
    </row>
    <row r="502" spans="175:175">
      <c r="FS502" s="400" t="str">
        <f t="shared" si="10"/>
        <v/>
      </c>
    </row>
    <row r="503" spans="175:175">
      <c r="FS503" s="400" t="str">
        <f t="shared" si="10"/>
        <v/>
      </c>
    </row>
    <row r="504" spans="175:175">
      <c r="FS504" s="400" t="str">
        <f t="shared" si="10"/>
        <v/>
      </c>
    </row>
    <row r="505" spans="175:175">
      <c r="FS505" s="400" t="str">
        <f t="shared" si="10"/>
        <v/>
      </c>
    </row>
    <row r="506" spans="175:175">
      <c r="FS506" s="400" t="str">
        <f t="shared" si="10"/>
        <v/>
      </c>
    </row>
    <row r="507" spans="175:175">
      <c r="FS507" s="400" t="str">
        <f t="shared" si="10"/>
        <v/>
      </c>
    </row>
    <row r="508" spans="175:175">
      <c r="FS508" s="400" t="str">
        <f t="shared" si="10"/>
        <v/>
      </c>
    </row>
    <row r="509" spans="175:175">
      <c r="FS509" s="400" t="str">
        <f t="shared" si="10"/>
        <v/>
      </c>
    </row>
    <row r="510" spans="175:175">
      <c r="FS510" s="400" t="str">
        <f t="shared" si="10"/>
        <v/>
      </c>
    </row>
    <row r="511" spans="175:175">
      <c r="FS511" s="400" t="str">
        <f t="shared" si="10"/>
        <v/>
      </c>
    </row>
    <row r="512" spans="175:175">
      <c r="FS512" s="400" t="str">
        <f t="shared" si="10"/>
        <v/>
      </c>
    </row>
    <row r="513" spans="175:175">
      <c r="FS513" s="400" t="str">
        <f t="shared" si="10"/>
        <v/>
      </c>
    </row>
    <row r="514" spans="175:175">
      <c r="FS514" s="400" t="str">
        <f t="shared" si="10"/>
        <v/>
      </c>
    </row>
    <row r="515" spans="175:175">
      <c r="FS515" s="400" t="str">
        <f t="shared" si="10"/>
        <v/>
      </c>
    </row>
    <row r="516" spans="175:175">
      <c r="FS516" s="400" t="str">
        <f t="shared" ref="FS516:FS579" si="11">IF(C516="","","Active")</f>
        <v/>
      </c>
    </row>
    <row r="517" spans="175:175">
      <c r="FS517" s="400" t="str">
        <f t="shared" si="11"/>
        <v/>
      </c>
    </row>
    <row r="518" spans="175:175">
      <c r="FS518" s="400" t="str">
        <f t="shared" si="11"/>
        <v/>
      </c>
    </row>
    <row r="519" spans="175:175">
      <c r="FS519" s="400" t="str">
        <f t="shared" si="11"/>
        <v/>
      </c>
    </row>
    <row r="520" spans="175:175">
      <c r="FS520" s="400" t="str">
        <f t="shared" si="11"/>
        <v/>
      </c>
    </row>
    <row r="521" spans="175:175">
      <c r="FS521" s="400" t="str">
        <f t="shared" si="11"/>
        <v/>
      </c>
    </row>
    <row r="522" spans="175:175">
      <c r="FS522" s="400" t="str">
        <f t="shared" si="11"/>
        <v/>
      </c>
    </row>
    <row r="523" spans="175:175">
      <c r="FS523" s="400" t="str">
        <f t="shared" si="11"/>
        <v/>
      </c>
    </row>
    <row r="524" spans="175:175">
      <c r="FS524" s="400" t="str">
        <f t="shared" si="11"/>
        <v/>
      </c>
    </row>
    <row r="525" spans="175:175">
      <c r="FS525" s="400" t="str">
        <f t="shared" si="11"/>
        <v/>
      </c>
    </row>
    <row r="526" spans="175:175">
      <c r="FS526" s="400" t="str">
        <f t="shared" si="11"/>
        <v/>
      </c>
    </row>
    <row r="527" spans="175:175">
      <c r="FS527" s="400" t="str">
        <f t="shared" si="11"/>
        <v/>
      </c>
    </row>
    <row r="528" spans="175:175">
      <c r="FS528" s="400" t="str">
        <f t="shared" si="11"/>
        <v/>
      </c>
    </row>
    <row r="529" spans="175:175">
      <c r="FS529" s="400" t="str">
        <f t="shared" si="11"/>
        <v/>
      </c>
    </row>
    <row r="530" spans="175:175">
      <c r="FS530" s="400" t="str">
        <f t="shared" si="11"/>
        <v/>
      </c>
    </row>
    <row r="531" spans="175:175">
      <c r="FS531" s="400" t="str">
        <f t="shared" si="11"/>
        <v/>
      </c>
    </row>
    <row r="532" spans="175:175">
      <c r="FS532" s="400" t="str">
        <f t="shared" si="11"/>
        <v/>
      </c>
    </row>
    <row r="533" spans="175:175">
      <c r="FS533" s="400" t="str">
        <f t="shared" si="11"/>
        <v/>
      </c>
    </row>
    <row r="534" spans="175:175">
      <c r="FS534" s="400" t="str">
        <f t="shared" si="11"/>
        <v/>
      </c>
    </row>
    <row r="535" spans="175:175">
      <c r="FS535" s="400" t="str">
        <f t="shared" si="11"/>
        <v/>
      </c>
    </row>
    <row r="536" spans="175:175">
      <c r="FS536" s="400" t="str">
        <f t="shared" si="11"/>
        <v/>
      </c>
    </row>
    <row r="537" spans="175:175">
      <c r="FS537" s="400" t="str">
        <f t="shared" si="11"/>
        <v/>
      </c>
    </row>
    <row r="538" spans="175:175">
      <c r="FS538" s="400" t="str">
        <f t="shared" si="11"/>
        <v/>
      </c>
    </row>
    <row r="539" spans="175:175">
      <c r="FS539" s="400" t="str">
        <f t="shared" si="11"/>
        <v/>
      </c>
    </row>
    <row r="540" spans="175:175">
      <c r="FS540" s="400" t="str">
        <f t="shared" si="11"/>
        <v/>
      </c>
    </row>
    <row r="541" spans="175:175">
      <c r="FS541" s="400" t="str">
        <f t="shared" si="11"/>
        <v/>
      </c>
    </row>
    <row r="542" spans="175:175">
      <c r="FS542" s="400" t="str">
        <f t="shared" si="11"/>
        <v/>
      </c>
    </row>
    <row r="543" spans="175:175">
      <c r="FS543" s="400" t="str">
        <f t="shared" si="11"/>
        <v/>
      </c>
    </row>
    <row r="544" spans="175:175">
      <c r="FS544" s="400" t="str">
        <f t="shared" si="11"/>
        <v/>
      </c>
    </row>
    <row r="545" spans="175:175">
      <c r="FS545" s="400" t="str">
        <f t="shared" si="11"/>
        <v/>
      </c>
    </row>
    <row r="546" spans="175:175">
      <c r="FS546" s="400" t="str">
        <f t="shared" si="11"/>
        <v/>
      </c>
    </row>
    <row r="547" spans="175:175">
      <c r="FS547" s="400" t="str">
        <f t="shared" si="11"/>
        <v/>
      </c>
    </row>
    <row r="548" spans="175:175">
      <c r="FS548" s="400" t="str">
        <f t="shared" si="11"/>
        <v/>
      </c>
    </row>
    <row r="549" spans="175:175">
      <c r="FS549" s="400" t="str">
        <f t="shared" si="11"/>
        <v/>
      </c>
    </row>
    <row r="550" spans="175:175">
      <c r="FS550" s="400" t="str">
        <f t="shared" si="11"/>
        <v/>
      </c>
    </row>
    <row r="551" spans="175:175">
      <c r="FS551" s="400" t="str">
        <f t="shared" si="11"/>
        <v/>
      </c>
    </row>
    <row r="552" spans="175:175">
      <c r="FS552" s="400" t="str">
        <f t="shared" si="11"/>
        <v/>
      </c>
    </row>
    <row r="553" spans="175:175">
      <c r="FS553" s="400" t="str">
        <f t="shared" si="11"/>
        <v/>
      </c>
    </row>
    <row r="554" spans="175:175">
      <c r="FS554" s="400" t="str">
        <f t="shared" si="11"/>
        <v/>
      </c>
    </row>
    <row r="555" spans="175:175">
      <c r="FS555" s="400" t="str">
        <f t="shared" si="11"/>
        <v/>
      </c>
    </row>
    <row r="556" spans="175:175">
      <c r="FS556" s="400" t="str">
        <f t="shared" si="11"/>
        <v/>
      </c>
    </row>
    <row r="557" spans="175:175">
      <c r="FS557" s="400" t="str">
        <f t="shared" si="11"/>
        <v/>
      </c>
    </row>
    <row r="558" spans="175:175">
      <c r="FS558" s="400" t="str">
        <f t="shared" si="11"/>
        <v/>
      </c>
    </row>
    <row r="559" spans="175:175">
      <c r="FS559" s="400" t="str">
        <f t="shared" si="11"/>
        <v/>
      </c>
    </row>
    <row r="560" spans="175:175">
      <c r="FS560" s="400" t="str">
        <f t="shared" si="11"/>
        <v/>
      </c>
    </row>
    <row r="561" spans="175:175">
      <c r="FS561" s="400" t="str">
        <f t="shared" si="11"/>
        <v/>
      </c>
    </row>
    <row r="562" spans="175:175">
      <c r="FS562" s="400" t="str">
        <f t="shared" si="11"/>
        <v/>
      </c>
    </row>
    <row r="563" spans="175:175">
      <c r="FS563" s="400" t="str">
        <f t="shared" si="11"/>
        <v/>
      </c>
    </row>
    <row r="564" spans="175:175">
      <c r="FS564" s="400" t="str">
        <f t="shared" si="11"/>
        <v/>
      </c>
    </row>
    <row r="565" spans="175:175">
      <c r="FS565" s="400" t="str">
        <f t="shared" si="11"/>
        <v/>
      </c>
    </row>
    <row r="566" spans="175:175">
      <c r="FS566" s="400" t="str">
        <f t="shared" si="11"/>
        <v/>
      </c>
    </row>
    <row r="567" spans="175:175">
      <c r="FS567" s="400" t="str">
        <f t="shared" si="11"/>
        <v/>
      </c>
    </row>
    <row r="568" spans="175:175">
      <c r="FS568" s="400" t="str">
        <f t="shared" si="11"/>
        <v/>
      </c>
    </row>
    <row r="569" spans="175:175">
      <c r="FS569" s="400" t="str">
        <f t="shared" si="11"/>
        <v/>
      </c>
    </row>
    <row r="570" spans="175:175">
      <c r="FS570" s="400" t="str">
        <f t="shared" si="11"/>
        <v/>
      </c>
    </row>
    <row r="571" spans="175:175">
      <c r="FS571" s="400" t="str">
        <f t="shared" si="11"/>
        <v/>
      </c>
    </row>
    <row r="572" spans="175:175">
      <c r="FS572" s="400" t="str">
        <f t="shared" si="11"/>
        <v/>
      </c>
    </row>
    <row r="573" spans="175:175">
      <c r="FS573" s="400" t="str">
        <f t="shared" si="11"/>
        <v/>
      </c>
    </row>
    <row r="574" spans="175:175">
      <c r="FS574" s="400" t="str">
        <f t="shared" si="11"/>
        <v/>
      </c>
    </row>
    <row r="575" spans="175:175">
      <c r="FS575" s="400" t="str">
        <f t="shared" si="11"/>
        <v/>
      </c>
    </row>
    <row r="576" spans="175:175">
      <c r="FS576" s="400" t="str">
        <f t="shared" si="11"/>
        <v/>
      </c>
    </row>
    <row r="577" spans="175:175">
      <c r="FS577" s="400" t="str">
        <f t="shared" si="11"/>
        <v/>
      </c>
    </row>
    <row r="578" spans="175:175">
      <c r="FS578" s="400" t="str">
        <f t="shared" si="11"/>
        <v/>
      </c>
    </row>
    <row r="579" spans="175:175">
      <c r="FS579" s="400" t="str">
        <f t="shared" si="11"/>
        <v/>
      </c>
    </row>
    <row r="580" spans="175:175">
      <c r="FS580" s="400" t="str">
        <f t="shared" ref="FS580:FS643" si="12">IF(C580="","","Active")</f>
        <v/>
      </c>
    </row>
    <row r="581" spans="175:175">
      <c r="FS581" s="400" t="str">
        <f t="shared" si="12"/>
        <v/>
      </c>
    </row>
    <row r="582" spans="175:175">
      <c r="FS582" s="400" t="str">
        <f t="shared" si="12"/>
        <v/>
      </c>
    </row>
    <row r="583" spans="175:175">
      <c r="FS583" s="400" t="str">
        <f t="shared" si="12"/>
        <v/>
      </c>
    </row>
    <row r="584" spans="175:175">
      <c r="FS584" s="400" t="str">
        <f t="shared" si="12"/>
        <v/>
      </c>
    </row>
    <row r="585" spans="175:175">
      <c r="FS585" s="400" t="str">
        <f t="shared" si="12"/>
        <v/>
      </c>
    </row>
    <row r="586" spans="175:175">
      <c r="FS586" s="400" t="str">
        <f t="shared" si="12"/>
        <v/>
      </c>
    </row>
    <row r="587" spans="175:175">
      <c r="FS587" s="400" t="str">
        <f t="shared" si="12"/>
        <v/>
      </c>
    </row>
    <row r="588" spans="175:175">
      <c r="FS588" s="400" t="str">
        <f t="shared" si="12"/>
        <v/>
      </c>
    </row>
    <row r="589" spans="175:175">
      <c r="FS589" s="400" t="str">
        <f t="shared" si="12"/>
        <v/>
      </c>
    </row>
    <row r="590" spans="175:175">
      <c r="FS590" s="400" t="str">
        <f t="shared" si="12"/>
        <v/>
      </c>
    </row>
    <row r="591" spans="175:175">
      <c r="FS591" s="400" t="str">
        <f t="shared" si="12"/>
        <v/>
      </c>
    </row>
    <row r="592" spans="175:175">
      <c r="FS592" s="400" t="str">
        <f t="shared" si="12"/>
        <v/>
      </c>
    </row>
    <row r="593" spans="175:175">
      <c r="FS593" s="400" t="str">
        <f t="shared" si="12"/>
        <v/>
      </c>
    </row>
    <row r="594" spans="175:175">
      <c r="FS594" s="400" t="str">
        <f t="shared" si="12"/>
        <v/>
      </c>
    </row>
    <row r="595" spans="175:175">
      <c r="FS595" s="400" t="str">
        <f t="shared" si="12"/>
        <v/>
      </c>
    </row>
    <row r="596" spans="175:175">
      <c r="FS596" s="400" t="str">
        <f t="shared" si="12"/>
        <v/>
      </c>
    </row>
    <row r="597" spans="175:175">
      <c r="FS597" s="400" t="str">
        <f t="shared" si="12"/>
        <v/>
      </c>
    </row>
    <row r="598" spans="175:175">
      <c r="FS598" s="400" t="str">
        <f t="shared" si="12"/>
        <v/>
      </c>
    </row>
    <row r="599" spans="175:175">
      <c r="FS599" s="400" t="str">
        <f t="shared" si="12"/>
        <v/>
      </c>
    </row>
    <row r="600" spans="175:175">
      <c r="FS600" s="400" t="str">
        <f t="shared" si="12"/>
        <v/>
      </c>
    </row>
    <row r="601" spans="175:175">
      <c r="FS601" s="400" t="str">
        <f t="shared" si="12"/>
        <v/>
      </c>
    </row>
    <row r="602" spans="175:175">
      <c r="FS602" s="400" t="str">
        <f t="shared" si="12"/>
        <v/>
      </c>
    </row>
    <row r="603" spans="175:175">
      <c r="FS603" s="400" t="str">
        <f t="shared" si="12"/>
        <v/>
      </c>
    </row>
    <row r="604" spans="175:175">
      <c r="FS604" s="400" t="str">
        <f t="shared" si="12"/>
        <v/>
      </c>
    </row>
    <row r="605" spans="175:175">
      <c r="FS605" s="400" t="str">
        <f t="shared" si="12"/>
        <v/>
      </c>
    </row>
    <row r="606" spans="175:175">
      <c r="FS606" s="400" t="str">
        <f t="shared" si="12"/>
        <v/>
      </c>
    </row>
    <row r="607" spans="175:175">
      <c r="FS607" s="400" t="str">
        <f t="shared" si="12"/>
        <v/>
      </c>
    </row>
    <row r="608" spans="175:175">
      <c r="FS608" s="400" t="str">
        <f t="shared" si="12"/>
        <v/>
      </c>
    </row>
    <row r="609" spans="175:175">
      <c r="FS609" s="400" t="str">
        <f t="shared" si="12"/>
        <v/>
      </c>
    </row>
    <row r="610" spans="175:175">
      <c r="FS610" s="400" t="str">
        <f t="shared" si="12"/>
        <v/>
      </c>
    </row>
    <row r="611" spans="175:175">
      <c r="FS611" s="400" t="str">
        <f t="shared" si="12"/>
        <v/>
      </c>
    </row>
    <row r="612" spans="175:175">
      <c r="FS612" s="400" t="str">
        <f t="shared" si="12"/>
        <v/>
      </c>
    </row>
    <row r="613" spans="175:175">
      <c r="FS613" s="400" t="str">
        <f t="shared" si="12"/>
        <v/>
      </c>
    </row>
    <row r="614" spans="175:175">
      <c r="FS614" s="400" t="str">
        <f t="shared" si="12"/>
        <v/>
      </c>
    </row>
    <row r="615" spans="175:175">
      <c r="FS615" s="400" t="str">
        <f t="shared" si="12"/>
        <v/>
      </c>
    </row>
    <row r="616" spans="175:175">
      <c r="FS616" s="400" t="str">
        <f t="shared" si="12"/>
        <v/>
      </c>
    </row>
    <row r="617" spans="175:175">
      <c r="FS617" s="400" t="str">
        <f t="shared" si="12"/>
        <v/>
      </c>
    </row>
    <row r="618" spans="175:175">
      <c r="FS618" s="400" t="str">
        <f t="shared" si="12"/>
        <v/>
      </c>
    </row>
    <row r="619" spans="175:175">
      <c r="FS619" s="400" t="str">
        <f t="shared" si="12"/>
        <v/>
      </c>
    </row>
    <row r="620" spans="175:175">
      <c r="FS620" s="400" t="str">
        <f t="shared" si="12"/>
        <v/>
      </c>
    </row>
    <row r="621" spans="175:175">
      <c r="FS621" s="400" t="str">
        <f t="shared" si="12"/>
        <v/>
      </c>
    </row>
    <row r="622" spans="175:175">
      <c r="FS622" s="400" t="str">
        <f t="shared" si="12"/>
        <v/>
      </c>
    </row>
    <row r="623" spans="175:175">
      <c r="FS623" s="400" t="str">
        <f t="shared" si="12"/>
        <v/>
      </c>
    </row>
    <row r="624" spans="175:175">
      <c r="FS624" s="400" t="str">
        <f t="shared" si="12"/>
        <v/>
      </c>
    </row>
    <row r="625" spans="175:175">
      <c r="FS625" s="400" t="str">
        <f t="shared" si="12"/>
        <v/>
      </c>
    </row>
    <row r="626" spans="175:175">
      <c r="FS626" s="400" t="str">
        <f t="shared" si="12"/>
        <v/>
      </c>
    </row>
    <row r="627" spans="175:175">
      <c r="FS627" s="400" t="str">
        <f t="shared" si="12"/>
        <v/>
      </c>
    </row>
    <row r="628" spans="175:175">
      <c r="FS628" s="400" t="str">
        <f t="shared" si="12"/>
        <v/>
      </c>
    </row>
    <row r="629" spans="175:175">
      <c r="FS629" s="400" t="str">
        <f t="shared" si="12"/>
        <v/>
      </c>
    </row>
    <row r="630" spans="175:175">
      <c r="FS630" s="400" t="str">
        <f t="shared" si="12"/>
        <v/>
      </c>
    </row>
    <row r="631" spans="175:175">
      <c r="FS631" s="400" t="str">
        <f t="shared" si="12"/>
        <v/>
      </c>
    </row>
    <row r="632" spans="175:175">
      <c r="FS632" s="400" t="str">
        <f t="shared" si="12"/>
        <v/>
      </c>
    </row>
    <row r="633" spans="175:175">
      <c r="FS633" s="400" t="str">
        <f t="shared" si="12"/>
        <v/>
      </c>
    </row>
    <row r="634" spans="175:175">
      <c r="FS634" s="400" t="str">
        <f t="shared" si="12"/>
        <v/>
      </c>
    </row>
    <row r="635" spans="175:175">
      <c r="FS635" s="400" t="str">
        <f t="shared" si="12"/>
        <v/>
      </c>
    </row>
    <row r="636" spans="175:175">
      <c r="FS636" s="400" t="str">
        <f t="shared" si="12"/>
        <v/>
      </c>
    </row>
    <row r="637" spans="175:175">
      <c r="FS637" s="400" t="str">
        <f t="shared" si="12"/>
        <v/>
      </c>
    </row>
    <row r="638" spans="175:175">
      <c r="FS638" s="400" t="str">
        <f t="shared" si="12"/>
        <v/>
      </c>
    </row>
    <row r="639" spans="175:175">
      <c r="FS639" s="400" t="str">
        <f t="shared" si="12"/>
        <v/>
      </c>
    </row>
    <row r="640" spans="175:175">
      <c r="FS640" s="400" t="str">
        <f t="shared" si="12"/>
        <v/>
      </c>
    </row>
    <row r="641" spans="175:175">
      <c r="FS641" s="400" t="str">
        <f t="shared" si="12"/>
        <v/>
      </c>
    </row>
    <row r="642" spans="175:175">
      <c r="FS642" s="400" t="str">
        <f t="shared" si="12"/>
        <v/>
      </c>
    </row>
    <row r="643" spans="175:175">
      <c r="FS643" s="400" t="str">
        <f t="shared" si="12"/>
        <v/>
      </c>
    </row>
    <row r="644" spans="175:175">
      <c r="FS644" s="400" t="str">
        <f t="shared" ref="FS644:FS707" si="13">IF(C644="","","Active")</f>
        <v/>
      </c>
    </row>
    <row r="645" spans="175:175">
      <c r="FS645" s="400" t="str">
        <f t="shared" si="13"/>
        <v/>
      </c>
    </row>
    <row r="646" spans="175:175">
      <c r="FS646" s="400" t="str">
        <f t="shared" si="13"/>
        <v/>
      </c>
    </row>
    <row r="647" spans="175:175">
      <c r="FS647" s="400" t="str">
        <f t="shared" si="13"/>
        <v/>
      </c>
    </row>
    <row r="648" spans="175:175">
      <c r="FS648" s="400" t="str">
        <f t="shared" si="13"/>
        <v/>
      </c>
    </row>
    <row r="649" spans="175:175">
      <c r="FS649" s="400" t="str">
        <f t="shared" si="13"/>
        <v/>
      </c>
    </row>
    <row r="650" spans="175:175">
      <c r="FS650" s="400" t="str">
        <f t="shared" si="13"/>
        <v/>
      </c>
    </row>
    <row r="651" spans="175:175">
      <c r="FS651" s="400" t="str">
        <f t="shared" si="13"/>
        <v/>
      </c>
    </row>
    <row r="652" spans="175:175">
      <c r="FS652" s="400" t="str">
        <f t="shared" si="13"/>
        <v/>
      </c>
    </row>
    <row r="653" spans="175:175">
      <c r="FS653" s="400" t="str">
        <f t="shared" si="13"/>
        <v/>
      </c>
    </row>
    <row r="654" spans="175:175">
      <c r="FS654" s="400" t="str">
        <f t="shared" si="13"/>
        <v/>
      </c>
    </row>
    <row r="655" spans="175:175">
      <c r="FS655" s="400" t="str">
        <f t="shared" si="13"/>
        <v/>
      </c>
    </row>
    <row r="656" spans="175:175">
      <c r="FS656" s="400" t="str">
        <f t="shared" si="13"/>
        <v/>
      </c>
    </row>
    <row r="657" spans="175:175">
      <c r="FS657" s="400" t="str">
        <f t="shared" si="13"/>
        <v/>
      </c>
    </row>
    <row r="658" spans="175:175">
      <c r="FS658" s="400" t="str">
        <f t="shared" si="13"/>
        <v/>
      </c>
    </row>
    <row r="659" spans="175:175">
      <c r="FS659" s="400" t="str">
        <f t="shared" si="13"/>
        <v/>
      </c>
    </row>
    <row r="660" spans="175:175">
      <c r="FS660" s="400" t="str">
        <f t="shared" si="13"/>
        <v/>
      </c>
    </row>
    <row r="661" spans="175:175">
      <c r="FS661" s="400" t="str">
        <f t="shared" si="13"/>
        <v/>
      </c>
    </row>
    <row r="662" spans="175:175">
      <c r="FS662" s="400" t="str">
        <f t="shared" si="13"/>
        <v/>
      </c>
    </row>
    <row r="663" spans="175:175">
      <c r="FS663" s="400" t="str">
        <f t="shared" si="13"/>
        <v/>
      </c>
    </row>
    <row r="664" spans="175:175">
      <c r="FS664" s="400" t="str">
        <f t="shared" si="13"/>
        <v/>
      </c>
    </row>
    <row r="665" spans="175:175">
      <c r="FS665" s="400" t="str">
        <f t="shared" si="13"/>
        <v/>
      </c>
    </row>
    <row r="666" spans="175:175">
      <c r="FS666" s="400" t="str">
        <f t="shared" si="13"/>
        <v/>
      </c>
    </row>
    <row r="667" spans="175:175">
      <c r="FS667" s="400" t="str">
        <f t="shared" si="13"/>
        <v/>
      </c>
    </row>
    <row r="668" spans="175:175">
      <c r="FS668" s="400" t="str">
        <f t="shared" si="13"/>
        <v/>
      </c>
    </row>
    <row r="669" spans="175:175">
      <c r="FS669" s="400" t="str">
        <f t="shared" si="13"/>
        <v/>
      </c>
    </row>
    <row r="670" spans="175:175">
      <c r="FS670" s="400" t="str">
        <f t="shared" si="13"/>
        <v/>
      </c>
    </row>
    <row r="671" spans="175:175">
      <c r="FS671" s="400" t="str">
        <f t="shared" si="13"/>
        <v/>
      </c>
    </row>
    <row r="672" spans="175:175">
      <c r="FS672" s="400" t="str">
        <f t="shared" si="13"/>
        <v/>
      </c>
    </row>
    <row r="673" spans="175:175">
      <c r="FS673" s="400" t="str">
        <f t="shared" si="13"/>
        <v/>
      </c>
    </row>
    <row r="674" spans="175:175">
      <c r="FS674" s="400" t="str">
        <f t="shared" si="13"/>
        <v/>
      </c>
    </row>
    <row r="675" spans="175:175">
      <c r="FS675" s="400" t="str">
        <f t="shared" si="13"/>
        <v/>
      </c>
    </row>
    <row r="676" spans="175:175">
      <c r="FS676" s="400" t="str">
        <f t="shared" si="13"/>
        <v/>
      </c>
    </row>
    <row r="677" spans="175:175">
      <c r="FS677" s="400" t="str">
        <f t="shared" si="13"/>
        <v/>
      </c>
    </row>
    <row r="678" spans="175:175">
      <c r="FS678" s="400" t="str">
        <f t="shared" si="13"/>
        <v/>
      </c>
    </row>
    <row r="679" spans="175:175">
      <c r="FS679" s="400" t="str">
        <f t="shared" si="13"/>
        <v/>
      </c>
    </row>
    <row r="680" spans="175:175">
      <c r="FS680" s="400" t="str">
        <f t="shared" si="13"/>
        <v/>
      </c>
    </row>
    <row r="681" spans="175:175">
      <c r="FS681" s="400" t="str">
        <f t="shared" si="13"/>
        <v/>
      </c>
    </row>
    <row r="682" spans="175:175">
      <c r="FS682" s="400" t="str">
        <f t="shared" si="13"/>
        <v/>
      </c>
    </row>
    <row r="683" spans="175:175">
      <c r="FS683" s="400" t="str">
        <f t="shared" si="13"/>
        <v/>
      </c>
    </row>
    <row r="684" spans="175:175">
      <c r="FS684" s="400" t="str">
        <f t="shared" si="13"/>
        <v/>
      </c>
    </row>
    <row r="685" spans="175:175">
      <c r="FS685" s="400" t="str">
        <f t="shared" si="13"/>
        <v/>
      </c>
    </row>
    <row r="686" spans="175:175">
      <c r="FS686" s="400" t="str">
        <f t="shared" si="13"/>
        <v/>
      </c>
    </row>
    <row r="687" spans="175:175">
      <c r="FS687" s="400" t="str">
        <f t="shared" si="13"/>
        <v/>
      </c>
    </row>
    <row r="688" spans="175:175">
      <c r="FS688" s="400" t="str">
        <f t="shared" si="13"/>
        <v/>
      </c>
    </row>
    <row r="689" spans="175:175">
      <c r="FS689" s="400" t="str">
        <f t="shared" si="13"/>
        <v/>
      </c>
    </row>
    <row r="690" spans="175:175">
      <c r="FS690" s="400" t="str">
        <f t="shared" si="13"/>
        <v/>
      </c>
    </row>
    <row r="691" spans="175:175">
      <c r="FS691" s="400" t="str">
        <f t="shared" si="13"/>
        <v/>
      </c>
    </row>
    <row r="692" spans="175:175">
      <c r="FS692" s="400" t="str">
        <f t="shared" si="13"/>
        <v/>
      </c>
    </row>
    <row r="693" spans="175:175">
      <c r="FS693" s="400" t="str">
        <f t="shared" si="13"/>
        <v/>
      </c>
    </row>
    <row r="694" spans="175:175">
      <c r="FS694" s="400" t="str">
        <f t="shared" si="13"/>
        <v/>
      </c>
    </row>
    <row r="695" spans="175:175">
      <c r="FS695" s="400" t="str">
        <f t="shared" si="13"/>
        <v/>
      </c>
    </row>
    <row r="696" spans="175:175">
      <c r="FS696" s="400" t="str">
        <f t="shared" si="13"/>
        <v/>
      </c>
    </row>
    <row r="697" spans="175:175">
      <c r="FS697" s="400" t="str">
        <f t="shared" si="13"/>
        <v/>
      </c>
    </row>
    <row r="698" spans="175:175">
      <c r="FS698" s="400" t="str">
        <f t="shared" si="13"/>
        <v/>
      </c>
    </row>
    <row r="699" spans="175:175">
      <c r="FS699" s="400" t="str">
        <f t="shared" si="13"/>
        <v/>
      </c>
    </row>
    <row r="700" spans="175:175">
      <c r="FS700" s="400" t="str">
        <f t="shared" si="13"/>
        <v/>
      </c>
    </row>
    <row r="701" spans="175:175">
      <c r="FS701" s="400" t="str">
        <f t="shared" si="13"/>
        <v/>
      </c>
    </row>
    <row r="702" spans="175:175">
      <c r="FS702" s="400" t="str">
        <f t="shared" si="13"/>
        <v/>
      </c>
    </row>
    <row r="703" spans="175:175">
      <c r="FS703" s="400" t="str">
        <f t="shared" si="13"/>
        <v/>
      </c>
    </row>
    <row r="704" spans="175:175">
      <c r="FS704" s="400" t="str">
        <f t="shared" si="13"/>
        <v/>
      </c>
    </row>
    <row r="705" spans="175:175">
      <c r="FS705" s="400" t="str">
        <f t="shared" si="13"/>
        <v/>
      </c>
    </row>
    <row r="706" spans="175:175">
      <c r="FS706" s="400" t="str">
        <f t="shared" si="13"/>
        <v/>
      </c>
    </row>
    <row r="707" spans="175:175">
      <c r="FS707" s="400" t="str">
        <f t="shared" si="13"/>
        <v/>
      </c>
    </row>
    <row r="708" spans="175:175">
      <c r="FS708" s="400" t="str">
        <f t="shared" ref="FS708:FS771" si="14">IF(C708="","","Active")</f>
        <v/>
      </c>
    </row>
    <row r="709" spans="175:175">
      <c r="FS709" s="400" t="str">
        <f t="shared" si="14"/>
        <v/>
      </c>
    </row>
    <row r="710" spans="175:175">
      <c r="FS710" s="400" t="str">
        <f t="shared" si="14"/>
        <v/>
      </c>
    </row>
    <row r="711" spans="175:175">
      <c r="FS711" s="400" t="str">
        <f t="shared" si="14"/>
        <v/>
      </c>
    </row>
    <row r="712" spans="175:175">
      <c r="FS712" s="400" t="str">
        <f t="shared" si="14"/>
        <v/>
      </c>
    </row>
    <row r="713" spans="175:175">
      <c r="FS713" s="400" t="str">
        <f t="shared" si="14"/>
        <v/>
      </c>
    </row>
    <row r="714" spans="175:175">
      <c r="FS714" s="400" t="str">
        <f t="shared" si="14"/>
        <v/>
      </c>
    </row>
    <row r="715" spans="175:175">
      <c r="FS715" s="400" t="str">
        <f t="shared" si="14"/>
        <v/>
      </c>
    </row>
    <row r="716" spans="175:175">
      <c r="FS716" s="400" t="str">
        <f t="shared" si="14"/>
        <v/>
      </c>
    </row>
    <row r="717" spans="175:175">
      <c r="FS717" s="400" t="str">
        <f t="shared" si="14"/>
        <v/>
      </c>
    </row>
    <row r="718" spans="175:175">
      <c r="FS718" s="400" t="str">
        <f t="shared" si="14"/>
        <v/>
      </c>
    </row>
    <row r="719" spans="175:175">
      <c r="FS719" s="400" t="str">
        <f t="shared" si="14"/>
        <v/>
      </c>
    </row>
    <row r="720" spans="175:175">
      <c r="FS720" s="400" t="str">
        <f t="shared" si="14"/>
        <v/>
      </c>
    </row>
    <row r="721" spans="175:175">
      <c r="FS721" s="400" t="str">
        <f t="shared" si="14"/>
        <v/>
      </c>
    </row>
    <row r="722" spans="175:175">
      <c r="FS722" s="400" t="str">
        <f t="shared" si="14"/>
        <v/>
      </c>
    </row>
    <row r="723" spans="175:175">
      <c r="FS723" s="400" t="str">
        <f t="shared" si="14"/>
        <v/>
      </c>
    </row>
    <row r="724" spans="175:175">
      <c r="FS724" s="400" t="str">
        <f t="shared" si="14"/>
        <v/>
      </c>
    </row>
    <row r="725" spans="175:175">
      <c r="FS725" s="400" t="str">
        <f t="shared" si="14"/>
        <v/>
      </c>
    </row>
    <row r="726" spans="175:175">
      <c r="FS726" s="400" t="str">
        <f t="shared" si="14"/>
        <v/>
      </c>
    </row>
    <row r="727" spans="175:175">
      <c r="FS727" s="400" t="str">
        <f t="shared" si="14"/>
        <v/>
      </c>
    </row>
    <row r="728" spans="175:175">
      <c r="FS728" s="400" t="str">
        <f t="shared" si="14"/>
        <v/>
      </c>
    </row>
    <row r="729" spans="175:175">
      <c r="FS729" s="400" t="str">
        <f t="shared" si="14"/>
        <v/>
      </c>
    </row>
    <row r="730" spans="175:175">
      <c r="FS730" s="400" t="str">
        <f t="shared" si="14"/>
        <v/>
      </c>
    </row>
    <row r="731" spans="175:175">
      <c r="FS731" s="400" t="str">
        <f t="shared" si="14"/>
        <v/>
      </c>
    </row>
    <row r="732" spans="175:175">
      <c r="FS732" s="400" t="str">
        <f t="shared" si="14"/>
        <v/>
      </c>
    </row>
    <row r="733" spans="175:175">
      <c r="FS733" s="400" t="str">
        <f t="shared" si="14"/>
        <v/>
      </c>
    </row>
    <row r="734" spans="175:175">
      <c r="FS734" s="400" t="str">
        <f t="shared" si="14"/>
        <v/>
      </c>
    </row>
    <row r="735" spans="175:175">
      <c r="FS735" s="400" t="str">
        <f t="shared" si="14"/>
        <v/>
      </c>
    </row>
    <row r="736" spans="175:175">
      <c r="FS736" s="400" t="str">
        <f t="shared" si="14"/>
        <v/>
      </c>
    </row>
    <row r="737" spans="175:175">
      <c r="FS737" s="400" t="str">
        <f t="shared" si="14"/>
        <v/>
      </c>
    </row>
    <row r="738" spans="175:175">
      <c r="FS738" s="400" t="str">
        <f t="shared" si="14"/>
        <v/>
      </c>
    </row>
    <row r="739" spans="175:175">
      <c r="FS739" s="400" t="str">
        <f t="shared" si="14"/>
        <v/>
      </c>
    </row>
    <row r="740" spans="175:175">
      <c r="FS740" s="400" t="str">
        <f t="shared" si="14"/>
        <v/>
      </c>
    </row>
    <row r="741" spans="175:175">
      <c r="FS741" s="400" t="str">
        <f t="shared" si="14"/>
        <v/>
      </c>
    </row>
    <row r="742" spans="175:175">
      <c r="FS742" s="400" t="str">
        <f t="shared" si="14"/>
        <v/>
      </c>
    </row>
    <row r="743" spans="175:175">
      <c r="FS743" s="400" t="str">
        <f t="shared" si="14"/>
        <v/>
      </c>
    </row>
    <row r="744" spans="175:175">
      <c r="FS744" s="400" t="str">
        <f t="shared" si="14"/>
        <v/>
      </c>
    </row>
    <row r="745" spans="175:175">
      <c r="FS745" s="400" t="str">
        <f t="shared" si="14"/>
        <v/>
      </c>
    </row>
    <row r="746" spans="175:175">
      <c r="FS746" s="400" t="str">
        <f t="shared" si="14"/>
        <v/>
      </c>
    </row>
    <row r="747" spans="175:175">
      <c r="FS747" s="400" t="str">
        <f t="shared" si="14"/>
        <v/>
      </c>
    </row>
    <row r="748" spans="175:175">
      <c r="FS748" s="400" t="str">
        <f t="shared" si="14"/>
        <v/>
      </c>
    </row>
    <row r="749" spans="175:175">
      <c r="FS749" s="400" t="str">
        <f t="shared" si="14"/>
        <v/>
      </c>
    </row>
    <row r="750" spans="175:175">
      <c r="FS750" s="400" t="str">
        <f t="shared" si="14"/>
        <v/>
      </c>
    </row>
    <row r="751" spans="175:175">
      <c r="FS751" s="400" t="str">
        <f t="shared" si="14"/>
        <v/>
      </c>
    </row>
    <row r="752" spans="175:175">
      <c r="FS752" s="400" t="str">
        <f t="shared" si="14"/>
        <v/>
      </c>
    </row>
    <row r="753" spans="175:175">
      <c r="FS753" s="400" t="str">
        <f t="shared" si="14"/>
        <v/>
      </c>
    </row>
    <row r="754" spans="175:175">
      <c r="FS754" s="400" t="str">
        <f t="shared" si="14"/>
        <v/>
      </c>
    </row>
    <row r="755" spans="175:175">
      <c r="FS755" s="400" t="str">
        <f t="shared" si="14"/>
        <v/>
      </c>
    </row>
    <row r="756" spans="175:175">
      <c r="FS756" s="400" t="str">
        <f t="shared" si="14"/>
        <v/>
      </c>
    </row>
    <row r="757" spans="175:175">
      <c r="FS757" s="400" t="str">
        <f t="shared" si="14"/>
        <v/>
      </c>
    </row>
    <row r="758" spans="175:175">
      <c r="FS758" s="400" t="str">
        <f t="shared" si="14"/>
        <v/>
      </c>
    </row>
    <row r="759" spans="175:175">
      <c r="FS759" s="400" t="str">
        <f t="shared" si="14"/>
        <v/>
      </c>
    </row>
    <row r="760" spans="175:175">
      <c r="FS760" s="400" t="str">
        <f t="shared" si="14"/>
        <v/>
      </c>
    </row>
    <row r="761" spans="175:175">
      <c r="FS761" s="400" t="str">
        <f t="shared" si="14"/>
        <v/>
      </c>
    </row>
    <row r="762" spans="175:175">
      <c r="FS762" s="400" t="str">
        <f t="shared" si="14"/>
        <v/>
      </c>
    </row>
    <row r="763" spans="175:175">
      <c r="FS763" s="400" t="str">
        <f t="shared" si="14"/>
        <v/>
      </c>
    </row>
    <row r="764" spans="175:175">
      <c r="FS764" s="400" t="str">
        <f t="shared" si="14"/>
        <v/>
      </c>
    </row>
    <row r="765" spans="175:175">
      <c r="FS765" s="400" t="str">
        <f t="shared" si="14"/>
        <v/>
      </c>
    </row>
    <row r="766" spans="175:175">
      <c r="FS766" s="400" t="str">
        <f t="shared" si="14"/>
        <v/>
      </c>
    </row>
    <row r="767" spans="175:175">
      <c r="FS767" s="400" t="str">
        <f t="shared" si="14"/>
        <v/>
      </c>
    </row>
    <row r="768" spans="175:175">
      <c r="FS768" s="400" t="str">
        <f t="shared" si="14"/>
        <v/>
      </c>
    </row>
    <row r="769" spans="175:175">
      <c r="FS769" s="400" t="str">
        <f t="shared" si="14"/>
        <v/>
      </c>
    </row>
    <row r="770" spans="175:175">
      <c r="FS770" s="400" t="str">
        <f t="shared" si="14"/>
        <v/>
      </c>
    </row>
    <row r="771" spans="175:175">
      <c r="FS771" s="400" t="str">
        <f t="shared" si="14"/>
        <v/>
      </c>
    </row>
    <row r="772" spans="175:175">
      <c r="FS772" s="400" t="str">
        <f t="shared" ref="FS772:FS835" si="15">IF(C772="","","Active")</f>
        <v/>
      </c>
    </row>
    <row r="773" spans="175:175">
      <c r="FS773" s="400" t="str">
        <f t="shared" si="15"/>
        <v/>
      </c>
    </row>
    <row r="774" spans="175:175">
      <c r="FS774" s="400" t="str">
        <f t="shared" si="15"/>
        <v/>
      </c>
    </row>
    <row r="775" spans="175:175">
      <c r="FS775" s="400" t="str">
        <f t="shared" si="15"/>
        <v/>
      </c>
    </row>
    <row r="776" spans="175:175">
      <c r="FS776" s="400" t="str">
        <f t="shared" si="15"/>
        <v/>
      </c>
    </row>
    <row r="777" spans="175:175">
      <c r="FS777" s="400" t="str">
        <f t="shared" si="15"/>
        <v/>
      </c>
    </row>
    <row r="778" spans="175:175">
      <c r="FS778" s="400" t="str">
        <f t="shared" si="15"/>
        <v/>
      </c>
    </row>
    <row r="779" spans="175:175">
      <c r="FS779" s="400" t="str">
        <f t="shared" si="15"/>
        <v/>
      </c>
    </row>
    <row r="780" spans="175:175">
      <c r="FS780" s="400" t="str">
        <f t="shared" si="15"/>
        <v/>
      </c>
    </row>
    <row r="781" spans="175:175">
      <c r="FS781" s="400" t="str">
        <f t="shared" si="15"/>
        <v/>
      </c>
    </row>
    <row r="782" spans="175:175">
      <c r="FS782" s="400" t="str">
        <f t="shared" si="15"/>
        <v/>
      </c>
    </row>
    <row r="783" spans="175:175">
      <c r="FS783" s="400" t="str">
        <f t="shared" si="15"/>
        <v/>
      </c>
    </row>
    <row r="784" spans="175:175">
      <c r="FS784" s="400" t="str">
        <f t="shared" si="15"/>
        <v/>
      </c>
    </row>
    <row r="785" spans="175:175">
      <c r="FS785" s="400" t="str">
        <f t="shared" si="15"/>
        <v/>
      </c>
    </row>
    <row r="786" spans="175:175">
      <c r="FS786" s="400" t="str">
        <f t="shared" si="15"/>
        <v/>
      </c>
    </row>
    <row r="787" spans="175:175">
      <c r="FS787" s="400" t="str">
        <f t="shared" si="15"/>
        <v/>
      </c>
    </row>
    <row r="788" spans="175:175">
      <c r="FS788" s="400" t="str">
        <f t="shared" si="15"/>
        <v/>
      </c>
    </row>
    <row r="789" spans="175:175">
      <c r="FS789" s="400" t="str">
        <f t="shared" si="15"/>
        <v/>
      </c>
    </row>
    <row r="790" spans="175:175">
      <c r="FS790" s="400" t="str">
        <f t="shared" si="15"/>
        <v/>
      </c>
    </row>
    <row r="791" spans="175:175">
      <c r="FS791" s="400" t="str">
        <f t="shared" si="15"/>
        <v/>
      </c>
    </row>
    <row r="792" spans="175:175">
      <c r="FS792" s="400" t="str">
        <f t="shared" si="15"/>
        <v/>
      </c>
    </row>
    <row r="793" spans="175:175">
      <c r="FS793" s="400" t="str">
        <f t="shared" si="15"/>
        <v/>
      </c>
    </row>
    <row r="794" spans="175:175">
      <c r="FS794" s="400" t="str">
        <f t="shared" si="15"/>
        <v/>
      </c>
    </row>
    <row r="795" spans="175:175">
      <c r="FS795" s="400" t="str">
        <f t="shared" si="15"/>
        <v/>
      </c>
    </row>
    <row r="796" spans="175:175">
      <c r="FS796" s="400" t="str">
        <f t="shared" si="15"/>
        <v/>
      </c>
    </row>
    <row r="797" spans="175:175">
      <c r="FS797" s="400" t="str">
        <f t="shared" si="15"/>
        <v/>
      </c>
    </row>
    <row r="798" spans="175:175">
      <c r="FS798" s="400" t="str">
        <f t="shared" si="15"/>
        <v/>
      </c>
    </row>
    <row r="799" spans="175:175">
      <c r="FS799" s="400" t="str">
        <f t="shared" si="15"/>
        <v/>
      </c>
    </row>
    <row r="800" spans="175:175">
      <c r="FS800" s="400" t="str">
        <f t="shared" si="15"/>
        <v/>
      </c>
    </row>
    <row r="801" spans="175:175">
      <c r="FS801" s="400" t="str">
        <f t="shared" si="15"/>
        <v/>
      </c>
    </row>
    <row r="802" spans="175:175">
      <c r="FS802" s="400" t="str">
        <f t="shared" si="15"/>
        <v/>
      </c>
    </row>
    <row r="803" spans="175:175">
      <c r="FS803" s="400" t="str">
        <f t="shared" si="15"/>
        <v/>
      </c>
    </row>
    <row r="804" spans="175:175">
      <c r="FS804" s="400" t="str">
        <f t="shared" si="15"/>
        <v/>
      </c>
    </row>
    <row r="805" spans="175:175">
      <c r="FS805" s="400" t="str">
        <f t="shared" si="15"/>
        <v/>
      </c>
    </row>
    <row r="806" spans="175:175">
      <c r="FS806" s="400" t="str">
        <f t="shared" si="15"/>
        <v/>
      </c>
    </row>
    <row r="807" spans="175:175">
      <c r="FS807" s="400" t="str">
        <f t="shared" si="15"/>
        <v/>
      </c>
    </row>
    <row r="808" spans="175:175">
      <c r="FS808" s="400" t="str">
        <f t="shared" si="15"/>
        <v/>
      </c>
    </row>
    <row r="809" spans="175:175">
      <c r="FS809" s="400" t="str">
        <f t="shared" si="15"/>
        <v/>
      </c>
    </row>
    <row r="810" spans="175:175">
      <c r="FS810" s="400" t="str">
        <f t="shared" si="15"/>
        <v/>
      </c>
    </row>
    <row r="811" spans="175:175">
      <c r="FS811" s="400" t="str">
        <f t="shared" si="15"/>
        <v/>
      </c>
    </row>
    <row r="812" spans="175:175">
      <c r="FS812" s="400" t="str">
        <f t="shared" si="15"/>
        <v/>
      </c>
    </row>
    <row r="813" spans="175:175">
      <c r="FS813" s="400" t="str">
        <f t="shared" si="15"/>
        <v/>
      </c>
    </row>
    <row r="814" spans="175:175">
      <c r="FS814" s="400" t="str">
        <f t="shared" si="15"/>
        <v/>
      </c>
    </row>
    <row r="815" spans="175:175">
      <c r="FS815" s="400" t="str">
        <f t="shared" si="15"/>
        <v/>
      </c>
    </row>
    <row r="816" spans="175:175">
      <c r="FS816" s="400" t="str">
        <f t="shared" si="15"/>
        <v/>
      </c>
    </row>
    <row r="817" spans="175:175">
      <c r="FS817" s="400" t="str">
        <f t="shared" si="15"/>
        <v/>
      </c>
    </row>
    <row r="818" spans="175:175">
      <c r="FS818" s="400" t="str">
        <f t="shared" si="15"/>
        <v/>
      </c>
    </row>
    <row r="819" spans="175:175">
      <c r="FS819" s="400" t="str">
        <f t="shared" si="15"/>
        <v/>
      </c>
    </row>
    <row r="820" spans="175:175">
      <c r="FS820" s="400" t="str">
        <f t="shared" si="15"/>
        <v/>
      </c>
    </row>
    <row r="821" spans="175:175">
      <c r="FS821" s="400" t="str">
        <f t="shared" si="15"/>
        <v/>
      </c>
    </row>
    <row r="822" spans="175:175">
      <c r="FS822" s="400" t="str">
        <f t="shared" si="15"/>
        <v/>
      </c>
    </row>
    <row r="823" spans="175:175">
      <c r="FS823" s="400" t="str">
        <f t="shared" si="15"/>
        <v/>
      </c>
    </row>
    <row r="824" spans="175:175">
      <c r="FS824" s="400" t="str">
        <f t="shared" si="15"/>
        <v/>
      </c>
    </row>
    <row r="825" spans="175:175">
      <c r="FS825" s="400" t="str">
        <f t="shared" si="15"/>
        <v/>
      </c>
    </row>
    <row r="826" spans="175:175">
      <c r="FS826" s="400" t="str">
        <f t="shared" si="15"/>
        <v/>
      </c>
    </row>
    <row r="827" spans="175:175">
      <c r="FS827" s="400" t="str">
        <f t="shared" si="15"/>
        <v/>
      </c>
    </row>
    <row r="828" spans="175:175">
      <c r="FS828" s="400" t="str">
        <f t="shared" si="15"/>
        <v/>
      </c>
    </row>
    <row r="829" spans="175:175">
      <c r="FS829" s="400" t="str">
        <f t="shared" si="15"/>
        <v/>
      </c>
    </row>
    <row r="830" spans="175:175">
      <c r="FS830" s="400" t="str">
        <f t="shared" si="15"/>
        <v/>
      </c>
    </row>
    <row r="831" spans="175:175">
      <c r="FS831" s="400" t="str">
        <f t="shared" si="15"/>
        <v/>
      </c>
    </row>
    <row r="832" spans="175:175">
      <c r="FS832" s="400" t="str">
        <f t="shared" si="15"/>
        <v/>
      </c>
    </row>
    <row r="833" spans="175:175">
      <c r="FS833" s="400" t="str">
        <f t="shared" si="15"/>
        <v/>
      </c>
    </row>
    <row r="834" spans="175:175">
      <c r="FS834" s="400" t="str">
        <f t="shared" si="15"/>
        <v/>
      </c>
    </row>
    <row r="835" spans="175:175">
      <c r="FS835" s="400" t="str">
        <f t="shared" si="15"/>
        <v/>
      </c>
    </row>
    <row r="836" spans="175:175">
      <c r="FS836" s="400" t="str">
        <f t="shared" ref="FS836:FS899" si="16">IF(C836="","","Active")</f>
        <v/>
      </c>
    </row>
    <row r="837" spans="175:175">
      <c r="FS837" s="400" t="str">
        <f t="shared" si="16"/>
        <v/>
      </c>
    </row>
    <row r="838" spans="175:175">
      <c r="FS838" s="400" t="str">
        <f t="shared" si="16"/>
        <v/>
      </c>
    </row>
    <row r="839" spans="175:175">
      <c r="FS839" s="400" t="str">
        <f t="shared" si="16"/>
        <v/>
      </c>
    </row>
    <row r="840" spans="175:175">
      <c r="FS840" s="400" t="str">
        <f t="shared" si="16"/>
        <v/>
      </c>
    </row>
    <row r="841" spans="175:175">
      <c r="FS841" s="400" t="str">
        <f t="shared" si="16"/>
        <v/>
      </c>
    </row>
    <row r="842" spans="175:175">
      <c r="FS842" s="400" t="str">
        <f t="shared" si="16"/>
        <v/>
      </c>
    </row>
    <row r="843" spans="175:175">
      <c r="FS843" s="400" t="str">
        <f t="shared" si="16"/>
        <v/>
      </c>
    </row>
    <row r="844" spans="175:175">
      <c r="FS844" s="400" t="str">
        <f t="shared" si="16"/>
        <v/>
      </c>
    </row>
    <row r="845" spans="175:175">
      <c r="FS845" s="400" t="str">
        <f t="shared" si="16"/>
        <v/>
      </c>
    </row>
    <row r="846" spans="175:175">
      <c r="FS846" s="400" t="str">
        <f t="shared" si="16"/>
        <v/>
      </c>
    </row>
    <row r="847" spans="175:175">
      <c r="FS847" s="400" t="str">
        <f t="shared" si="16"/>
        <v/>
      </c>
    </row>
    <row r="848" spans="175:175">
      <c r="FS848" s="400" t="str">
        <f t="shared" si="16"/>
        <v/>
      </c>
    </row>
    <row r="849" spans="175:175">
      <c r="FS849" s="400" t="str">
        <f t="shared" si="16"/>
        <v/>
      </c>
    </row>
    <row r="850" spans="175:175">
      <c r="FS850" s="400" t="str">
        <f t="shared" si="16"/>
        <v/>
      </c>
    </row>
    <row r="851" spans="175:175">
      <c r="FS851" s="400" t="str">
        <f t="shared" si="16"/>
        <v/>
      </c>
    </row>
    <row r="852" spans="175:175">
      <c r="FS852" s="400" t="str">
        <f t="shared" si="16"/>
        <v/>
      </c>
    </row>
    <row r="853" spans="175:175">
      <c r="FS853" s="400" t="str">
        <f t="shared" si="16"/>
        <v/>
      </c>
    </row>
    <row r="854" spans="175:175">
      <c r="FS854" s="400" t="str">
        <f t="shared" si="16"/>
        <v/>
      </c>
    </row>
    <row r="855" spans="175:175">
      <c r="FS855" s="400" t="str">
        <f t="shared" si="16"/>
        <v/>
      </c>
    </row>
    <row r="856" spans="175:175">
      <c r="FS856" s="400" t="str">
        <f t="shared" si="16"/>
        <v/>
      </c>
    </row>
    <row r="857" spans="175:175">
      <c r="FS857" s="400" t="str">
        <f t="shared" si="16"/>
        <v/>
      </c>
    </row>
    <row r="858" spans="175:175">
      <c r="FS858" s="400" t="str">
        <f t="shared" si="16"/>
        <v/>
      </c>
    </row>
    <row r="859" spans="175:175">
      <c r="FS859" s="400" t="str">
        <f t="shared" si="16"/>
        <v/>
      </c>
    </row>
    <row r="860" spans="175:175">
      <c r="FS860" s="400" t="str">
        <f t="shared" si="16"/>
        <v/>
      </c>
    </row>
    <row r="861" spans="175:175">
      <c r="FS861" s="400" t="str">
        <f t="shared" si="16"/>
        <v/>
      </c>
    </row>
    <row r="862" spans="175:175">
      <c r="FS862" s="400" t="str">
        <f t="shared" si="16"/>
        <v/>
      </c>
    </row>
    <row r="863" spans="175:175">
      <c r="FS863" s="400" t="str">
        <f t="shared" si="16"/>
        <v/>
      </c>
    </row>
    <row r="864" spans="175:175">
      <c r="FS864" s="400" t="str">
        <f t="shared" si="16"/>
        <v/>
      </c>
    </row>
    <row r="865" spans="175:175">
      <c r="FS865" s="400" t="str">
        <f t="shared" si="16"/>
        <v/>
      </c>
    </row>
    <row r="866" spans="175:175">
      <c r="FS866" s="400" t="str">
        <f t="shared" si="16"/>
        <v/>
      </c>
    </row>
    <row r="867" spans="175:175">
      <c r="FS867" s="400" t="str">
        <f t="shared" si="16"/>
        <v/>
      </c>
    </row>
    <row r="868" spans="175:175">
      <c r="FS868" s="400" t="str">
        <f t="shared" si="16"/>
        <v/>
      </c>
    </row>
    <row r="869" spans="175:175">
      <c r="FS869" s="400" t="str">
        <f t="shared" si="16"/>
        <v/>
      </c>
    </row>
    <row r="870" spans="175:175">
      <c r="FS870" s="400" t="str">
        <f t="shared" si="16"/>
        <v/>
      </c>
    </row>
    <row r="871" spans="175:175">
      <c r="FS871" s="400" t="str">
        <f t="shared" si="16"/>
        <v/>
      </c>
    </row>
    <row r="872" spans="175:175">
      <c r="FS872" s="400" t="str">
        <f t="shared" si="16"/>
        <v/>
      </c>
    </row>
    <row r="873" spans="175:175">
      <c r="FS873" s="400" t="str">
        <f t="shared" si="16"/>
        <v/>
      </c>
    </row>
    <row r="874" spans="175:175">
      <c r="FS874" s="400" t="str">
        <f t="shared" si="16"/>
        <v/>
      </c>
    </row>
    <row r="875" spans="175:175">
      <c r="FS875" s="400" t="str">
        <f t="shared" si="16"/>
        <v/>
      </c>
    </row>
    <row r="876" spans="175:175">
      <c r="FS876" s="400" t="str">
        <f t="shared" si="16"/>
        <v/>
      </c>
    </row>
    <row r="877" spans="175:175">
      <c r="FS877" s="400" t="str">
        <f t="shared" si="16"/>
        <v/>
      </c>
    </row>
    <row r="878" spans="175:175">
      <c r="FS878" s="400" t="str">
        <f t="shared" si="16"/>
        <v/>
      </c>
    </row>
    <row r="879" spans="175:175">
      <c r="FS879" s="400" t="str">
        <f t="shared" si="16"/>
        <v/>
      </c>
    </row>
    <row r="880" spans="175:175">
      <c r="FS880" s="400" t="str">
        <f t="shared" si="16"/>
        <v/>
      </c>
    </row>
    <row r="881" spans="175:175">
      <c r="FS881" s="400" t="str">
        <f t="shared" si="16"/>
        <v/>
      </c>
    </row>
    <row r="882" spans="175:175">
      <c r="FS882" s="400" t="str">
        <f t="shared" si="16"/>
        <v/>
      </c>
    </row>
    <row r="883" spans="175:175">
      <c r="FS883" s="400" t="str">
        <f t="shared" si="16"/>
        <v/>
      </c>
    </row>
    <row r="884" spans="175:175">
      <c r="FS884" s="400" t="str">
        <f t="shared" si="16"/>
        <v/>
      </c>
    </row>
    <row r="885" spans="175:175">
      <c r="FS885" s="400" t="str">
        <f t="shared" si="16"/>
        <v/>
      </c>
    </row>
    <row r="886" spans="175:175">
      <c r="FS886" s="400" t="str">
        <f t="shared" si="16"/>
        <v/>
      </c>
    </row>
    <row r="887" spans="175:175">
      <c r="FS887" s="400" t="str">
        <f t="shared" si="16"/>
        <v/>
      </c>
    </row>
    <row r="888" spans="175:175">
      <c r="FS888" s="400" t="str">
        <f t="shared" si="16"/>
        <v/>
      </c>
    </row>
    <row r="889" spans="175:175">
      <c r="FS889" s="400" t="str">
        <f t="shared" si="16"/>
        <v/>
      </c>
    </row>
    <row r="890" spans="175:175">
      <c r="FS890" s="400" t="str">
        <f t="shared" si="16"/>
        <v/>
      </c>
    </row>
    <row r="891" spans="175:175">
      <c r="FS891" s="400" t="str">
        <f t="shared" si="16"/>
        <v/>
      </c>
    </row>
    <row r="892" spans="175:175">
      <c r="FS892" s="400" t="str">
        <f t="shared" si="16"/>
        <v/>
      </c>
    </row>
    <row r="893" spans="175:175">
      <c r="FS893" s="400" t="str">
        <f t="shared" si="16"/>
        <v/>
      </c>
    </row>
    <row r="894" spans="175:175">
      <c r="FS894" s="400" t="str">
        <f t="shared" si="16"/>
        <v/>
      </c>
    </row>
    <row r="895" spans="175:175">
      <c r="FS895" s="400" t="str">
        <f t="shared" si="16"/>
        <v/>
      </c>
    </row>
    <row r="896" spans="175:175">
      <c r="FS896" s="400" t="str">
        <f t="shared" si="16"/>
        <v/>
      </c>
    </row>
    <row r="897" spans="175:175">
      <c r="FS897" s="400" t="str">
        <f t="shared" si="16"/>
        <v/>
      </c>
    </row>
    <row r="898" spans="175:175">
      <c r="FS898" s="400" t="str">
        <f t="shared" si="16"/>
        <v/>
      </c>
    </row>
    <row r="899" spans="175:175">
      <c r="FS899" s="400" t="str">
        <f t="shared" si="16"/>
        <v/>
      </c>
    </row>
    <row r="900" spans="175:175">
      <c r="FS900" s="400" t="str">
        <f t="shared" ref="FS900:FS963" si="17">IF(C900="","","Active")</f>
        <v/>
      </c>
    </row>
    <row r="901" spans="175:175">
      <c r="FS901" s="400" t="str">
        <f t="shared" si="17"/>
        <v/>
      </c>
    </row>
    <row r="902" spans="175:175">
      <c r="FS902" s="400" t="str">
        <f t="shared" si="17"/>
        <v/>
      </c>
    </row>
    <row r="903" spans="175:175">
      <c r="FS903" s="400" t="str">
        <f t="shared" si="17"/>
        <v/>
      </c>
    </row>
    <row r="904" spans="175:175">
      <c r="FS904" s="400" t="str">
        <f t="shared" si="17"/>
        <v/>
      </c>
    </row>
    <row r="905" spans="175:175">
      <c r="FS905" s="400" t="str">
        <f t="shared" si="17"/>
        <v/>
      </c>
    </row>
    <row r="906" spans="175:175">
      <c r="FS906" s="400" t="str">
        <f t="shared" si="17"/>
        <v/>
      </c>
    </row>
    <row r="907" spans="175:175">
      <c r="FS907" s="400" t="str">
        <f t="shared" si="17"/>
        <v/>
      </c>
    </row>
    <row r="908" spans="175:175">
      <c r="FS908" s="400" t="str">
        <f t="shared" si="17"/>
        <v/>
      </c>
    </row>
    <row r="909" spans="175:175">
      <c r="FS909" s="400" t="str">
        <f t="shared" si="17"/>
        <v/>
      </c>
    </row>
    <row r="910" spans="175:175">
      <c r="FS910" s="400" t="str">
        <f t="shared" si="17"/>
        <v/>
      </c>
    </row>
    <row r="911" spans="175:175">
      <c r="FS911" s="400" t="str">
        <f t="shared" si="17"/>
        <v/>
      </c>
    </row>
    <row r="912" spans="175:175">
      <c r="FS912" s="400" t="str">
        <f t="shared" si="17"/>
        <v/>
      </c>
    </row>
    <row r="913" spans="175:175">
      <c r="FS913" s="400" t="str">
        <f t="shared" si="17"/>
        <v/>
      </c>
    </row>
    <row r="914" spans="175:175">
      <c r="FS914" s="400" t="str">
        <f t="shared" si="17"/>
        <v/>
      </c>
    </row>
    <row r="915" spans="175:175">
      <c r="FS915" s="400" t="str">
        <f t="shared" si="17"/>
        <v/>
      </c>
    </row>
    <row r="916" spans="175:175">
      <c r="FS916" s="400" t="str">
        <f t="shared" si="17"/>
        <v/>
      </c>
    </row>
    <row r="917" spans="175:175">
      <c r="FS917" s="400" t="str">
        <f t="shared" si="17"/>
        <v/>
      </c>
    </row>
    <row r="918" spans="175:175">
      <c r="FS918" s="400" t="str">
        <f t="shared" si="17"/>
        <v/>
      </c>
    </row>
    <row r="919" spans="175:175">
      <c r="FS919" s="400" t="str">
        <f t="shared" si="17"/>
        <v/>
      </c>
    </row>
    <row r="920" spans="175:175">
      <c r="FS920" s="400" t="str">
        <f t="shared" si="17"/>
        <v/>
      </c>
    </row>
    <row r="921" spans="175:175">
      <c r="FS921" s="400" t="str">
        <f t="shared" si="17"/>
        <v/>
      </c>
    </row>
    <row r="922" spans="175:175">
      <c r="FS922" s="400" t="str">
        <f t="shared" si="17"/>
        <v/>
      </c>
    </row>
    <row r="923" spans="175:175">
      <c r="FS923" s="400" t="str">
        <f t="shared" si="17"/>
        <v/>
      </c>
    </row>
    <row r="924" spans="175:175">
      <c r="FS924" s="400" t="str">
        <f t="shared" si="17"/>
        <v/>
      </c>
    </row>
    <row r="925" spans="175:175">
      <c r="FS925" s="400" t="str">
        <f t="shared" si="17"/>
        <v/>
      </c>
    </row>
    <row r="926" spans="175:175">
      <c r="FS926" s="400" t="str">
        <f t="shared" si="17"/>
        <v/>
      </c>
    </row>
    <row r="927" spans="175:175">
      <c r="FS927" s="400" t="str">
        <f t="shared" si="17"/>
        <v/>
      </c>
    </row>
    <row r="928" spans="175:175">
      <c r="FS928" s="400" t="str">
        <f t="shared" si="17"/>
        <v/>
      </c>
    </row>
    <row r="929" spans="175:175">
      <c r="FS929" s="400" t="str">
        <f t="shared" si="17"/>
        <v/>
      </c>
    </row>
    <row r="930" spans="175:175">
      <c r="FS930" s="400" t="str">
        <f t="shared" si="17"/>
        <v/>
      </c>
    </row>
    <row r="931" spans="175:175">
      <c r="FS931" s="400" t="str">
        <f t="shared" si="17"/>
        <v/>
      </c>
    </row>
    <row r="932" spans="175:175">
      <c r="FS932" s="400" t="str">
        <f t="shared" si="17"/>
        <v/>
      </c>
    </row>
    <row r="933" spans="175:175">
      <c r="FS933" s="400" t="str">
        <f t="shared" si="17"/>
        <v/>
      </c>
    </row>
    <row r="934" spans="175:175">
      <c r="FS934" s="400" t="str">
        <f t="shared" si="17"/>
        <v/>
      </c>
    </row>
    <row r="935" spans="175:175">
      <c r="FS935" s="400" t="str">
        <f t="shared" si="17"/>
        <v/>
      </c>
    </row>
    <row r="936" spans="175:175">
      <c r="FS936" s="400" t="str">
        <f t="shared" si="17"/>
        <v/>
      </c>
    </row>
    <row r="937" spans="175:175">
      <c r="FS937" s="400" t="str">
        <f t="shared" si="17"/>
        <v/>
      </c>
    </row>
    <row r="938" spans="175:175">
      <c r="FS938" s="400" t="str">
        <f t="shared" si="17"/>
        <v/>
      </c>
    </row>
    <row r="939" spans="175:175">
      <c r="FS939" s="400" t="str">
        <f t="shared" si="17"/>
        <v/>
      </c>
    </row>
    <row r="940" spans="175:175">
      <c r="FS940" s="400" t="str">
        <f t="shared" si="17"/>
        <v/>
      </c>
    </row>
    <row r="941" spans="175:175">
      <c r="FS941" s="400" t="str">
        <f t="shared" si="17"/>
        <v/>
      </c>
    </row>
    <row r="942" spans="175:175">
      <c r="FS942" s="400" t="str">
        <f t="shared" si="17"/>
        <v/>
      </c>
    </row>
    <row r="943" spans="175:175">
      <c r="FS943" s="400" t="str">
        <f t="shared" si="17"/>
        <v/>
      </c>
    </row>
    <row r="944" spans="175:175">
      <c r="FS944" s="400" t="str">
        <f t="shared" si="17"/>
        <v/>
      </c>
    </row>
    <row r="945" spans="175:175">
      <c r="FS945" s="400" t="str">
        <f t="shared" si="17"/>
        <v/>
      </c>
    </row>
    <row r="946" spans="175:175">
      <c r="FS946" s="400" t="str">
        <f t="shared" si="17"/>
        <v/>
      </c>
    </row>
    <row r="947" spans="175:175">
      <c r="FS947" s="400" t="str">
        <f t="shared" si="17"/>
        <v/>
      </c>
    </row>
    <row r="948" spans="175:175">
      <c r="FS948" s="400" t="str">
        <f t="shared" si="17"/>
        <v/>
      </c>
    </row>
    <row r="949" spans="175:175">
      <c r="FS949" s="400" t="str">
        <f t="shared" si="17"/>
        <v/>
      </c>
    </row>
    <row r="950" spans="175:175">
      <c r="FS950" s="400" t="str">
        <f t="shared" si="17"/>
        <v/>
      </c>
    </row>
    <row r="951" spans="175:175">
      <c r="FS951" s="400" t="str">
        <f t="shared" si="17"/>
        <v/>
      </c>
    </row>
    <row r="952" spans="175:175">
      <c r="FS952" s="400" t="str">
        <f t="shared" si="17"/>
        <v/>
      </c>
    </row>
    <row r="953" spans="175:175">
      <c r="FS953" s="400" t="str">
        <f t="shared" si="17"/>
        <v/>
      </c>
    </row>
    <row r="954" spans="175:175">
      <c r="FS954" s="400" t="str">
        <f t="shared" si="17"/>
        <v/>
      </c>
    </row>
    <row r="955" spans="175:175">
      <c r="FS955" s="400" t="str">
        <f t="shared" si="17"/>
        <v/>
      </c>
    </row>
    <row r="956" spans="175:175">
      <c r="FS956" s="400" t="str">
        <f t="shared" si="17"/>
        <v/>
      </c>
    </row>
    <row r="957" spans="175:175">
      <c r="FS957" s="400" t="str">
        <f t="shared" si="17"/>
        <v/>
      </c>
    </row>
    <row r="958" spans="175:175">
      <c r="FS958" s="400" t="str">
        <f t="shared" si="17"/>
        <v/>
      </c>
    </row>
    <row r="959" spans="175:175">
      <c r="FS959" s="400" t="str">
        <f t="shared" si="17"/>
        <v/>
      </c>
    </row>
    <row r="960" spans="175:175">
      <c r="FS960" s="400" t="str">
        <f t="shared" si="17"/>
        <v/>
      </c>
    </row>
    <row r="961" spans="175:175">
      <c r="FS961" s="400" t="str">
        <f t="shared" si="17"/>
        <v/>
      </c>
    </row>
    <row r="962" spans="175:175">
      <c r="FS962" s="400" t="str">
        <f t="shared" si="17"/>
        <v/>
      </c>
    </row>
    <row r="963" spans="175:175">
      <c r="FS963" s="400" t="str">
        <f t="shared" si="17"/>
        <v/>
      </c>
    </row>
    <row r="964" spans="175:175">
      <c r="FS964" s="400" t="str">
        <f t="shared" ref="FS964:FS1000" si="18">IF(C964="","","Active")</f>
        <v/>
      </c>
    </row>
    <row r="965" spans="175:175">
      <c r="FS965" s="400" t="str">
        <f t="shared" si="18"/>
        <v/>
      </c>
    </row>
    <row r="966" spans="175:175">
      <c r="FS966" s="400" t="str">
        <f t="shared" si="18"/>
        <v/>
      </c>
    </row>
    <row r="967" spans="175:175">
      <c r="FS967" s="400" t="str">
        <f t="shared" si="18"/>
        <v/>
      </c>
    </row>
    <row r="968" spans="175:175">
      <c r="FS968" s="400" t="str">
        <f t="shared" si="18"/>
        <v/>
      </c>
    </row>
    <row r="969" spans="175:175">
      <c r="FS969" s="400" t="str">
        <f t="shared" si="18"/>
        <v/>
      </c>
    </row>
    <row r="970" spans="175:175">
      <c r="FS970" s="400" t="str">
        <f t="shared" si="18"/>
        <v/>
      </c>
    </row>
    <row r="971" spans="175:175">
      <c r="FS971" s="400" t="str">
        <f t="shared" si="18"/>
        <v/>
      </c>
    </row>
    <row r="972" spans="175:175">
      <c r="FS972" s="400" t="str">
        <f t="shared" si="18"/>
        <v/>
      </c>
    </row>
    <row r="973" spans="175:175">
      <c r="FS973" s="400" t="str">
        <f t="shared" si="18"/>
        <v/>
      </c>
    </row>
    <row r="974" spans="175:175">
      <c r="FS974" s="400" t="str">
        <f t="shared" si="18"/>
        <v/>
      </c>
    </row>
    <row r="975" spans="175:175">
      <c r="FS975" s="400" t="str">
        <f t="shared" si="18"/>
        <v/>
      </c>
    </row>
    <row r="976" spans="175:175">
      <c r="FS976" s="400" t="str">
        <f t="shared" si="18"/>
        <v/>
      </c>
    </row>
    <row r="977" spans="175:175">
      <c r="FS977" s="400" t="str">
        <f t="shared" si="18"/>
        <v/>
      </c>
    </row>
    <row r="978" spans="175:175">
      <c r="FS978" s="400" t="str">
        <f t="shared" si="18"/>
        <v/>
      </c>
    </row>
    <row r="979" spans="175:175">
      <c r="FS979" s="400" t="str">
        <f t="shared" si="18"/>
        <v/>
      </c>
    </row>
    <row r="980" spans="175:175">
      <c r="FS980" s="400" t="str">
        <f t="shared" si="18"/>
        <v/>
      </c>
    </row>
    <row r="981" spans="175:175">
      <c r="FS981" s="400" t="str">
        <f t="shared" si="18"/>
        <v/>
      </c>
    </row>
    <row r="982" spans="175:175">
      <c r="FS982" s="400" t="str">
        <f t="shared" si="18"/>
        <v/>
      </c>
    </row>
    <row r="983" spans="175:175">
      <c r="FS983" s="400" t="str">
        <f t="shared" si="18"/>
        <v/>
      </c>
    </row>
    <row r="984" spans="175:175">
      <c r="FS984" s="400" t="str">
        <f t="shared" si="18"/>
        <v/>
      </c>
    </row>
    <row r="985" spans="175:175">
      <c r="FS985" s="400" t="str">
        <f t="shared" si="18"/>
        <v/>
      </c>
    </row>
    <row r="986" spans="175:175">
      <c r="FS986" s="400" t="str">
        <f t="shared" si="18"/>
        <v/>
      </c>
    </row>
    <row r="987" spans="175:175">
      <c r="FS987" s="400" t="str">
        <f t="shared" si="18"/>
        <v/>
      </c>
    </row>
    <row r="988" spans="175:175">
      <c r="FS988" s="400" t="str">
        <f t="shared" si="18"/>
        <v/>
      </c>
    </row>
    <row r="989" spans="175:175">
      <c r="FS989" s="400" t="str">
        <f t="shared" si="18"/>
        <v/>
      </c>
    </row>
    <row r="990" spans="175:175">
      <c r="FS990" s="400" t="str">
        <f t="shared" si="18"/>
        <v/>
      </c>
    </row>
    <row r="991" spans="175:175">
      <c r="FS991" s="400" t="str">
        <f t="shared" si="18"/>
        <v/>
      </c>
    </row>
    <row r="992" spans="175:175">
      <c r="FS992" s="400" t="str">
        <f t="shared" si="18"/>
        <v/>
      </c>
    </row>
    <row r="993" spans="175:175">
      <c r="FS993" s="400" t="str">
        <f t="shared" si="18"/>
        <v/>
      </c>
    </row>
    <row r="994" spans="175:175">
      <c r="FS994" s="400" t="str">
        <f t="shared" si="18"/>
        <v/>
      </c>
    </row>
    <row r="995" spans="175:175">
      <c r="FS995" s="400" t="str">
        <f t="shared" si="18"/>
        <v/>
      </c>
    </row>
    <row r="996" spans="175:175">
      <c r="FS996" s="400" t="str">
        <f t="shared" si="18"/>
        <v/>
      </c>
    </row>
    <row r="997" spans="175:175">
      <c r="FS997" s="400" t="str">
        <f t="shared" si="18"/>
        <v/>
      </c>
    </row>
    <row r="998" spans="175:175">
      <c r="FS998" s="400" t="str">
        <f t="shared" si="18"/>
        <v/>
      </c>
    </row>
    <row r="999" spans="175:175">
      <c r="FS999" s="400" t="str">
        <f t="shared" si="18"/>
        <v/>
      </c>
    </row>
    <row r="1000" spans="175:175">
      <c r="FS1000" s="400" t="str">
        <f t="shared" si="18"/>
        <v/>
      </c>
    </row>
  </sheetData>
  <conditionalFormatting sqref="A3:A1000">
    <cfRule type="expression" dxfId="66" priority="2">
      <formula>FS3="Cancelled"</formula>
    </cfRule>
  </conditionalFormatting>
  <conditionalFormatting sqref="FX12:FY16">
    <cfRule type="expression" dxfId="65" priority="1">
      <formula>COUNTIF($A$3:$A$18,FX13)&gt;1</formula>
    </cfRule>
  </conditionalFormatting>
  <dataValidations count="1">
    <dataValidation type="list" allowBlank="1" showInputMessage="1" showErrorMessage="1" sqref="FS3:FS1000">
      <formula1>$GA$3:$GA$5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I45"/>
  <sheetViews>
    <sheetView showGridLines="0" workbookViewId="0">
      <selection activeCell="N32" sqref="N32"/>
    </sheetView>
  </sheetViews>
  <sheetFormatPr defaultRowHeight="15"/>
  <cols>
    <col min="1" max="1" width="10.28515625" customWidth="1"/>
    <col min="2" max="2" width="42.140625" customWidth="1"/>
    <col min="3" max="3" width="14" customWidth="1"/>
    <col min="4" max="4" width="18.7109375" customWidth="1"/>
    <col min="5" max="5" width="14.5703125" customWidth="1"/>
    <col min="6" max="6" width="11.42578125" customWidth="1"/>
    <col min="7" max="7" width="10.5703125" customWidth="1"/>
    <col min="8" max="8" width="12.5703125" customWidth="1"/>
    <col min="9" max="9" width="11.42578125" customWidth="1"/>
    <col min="10" max="10" width="12.42578125" customWidth="1"/>
    <col min="11" max="11" width="11.28515625" customWidth="1"/>
    <col min="12" max="12" width="11" customWidth="1"/>
    <col min="13" max="13" width="11.5703125" customWidth="1"/>
    <col min="14" max="14" width="13.42578125" customWidth="1"/>
    <col min="15" max="15" width="11.140625" bestFit="1" customWidth="1"/>
    <col min="16" max="16" width="11.140625" customWidth="1"/>
    <col min="18" max="18" width="10.28515625" customWidth="1"/>
    <col min="19" max="19" width="10.5703125" customWidth="1"/>
    <col min="21" max="21" width="15.42578125" customWidth="1"/>
    <col min="22" max="22" width="15.7109375" customWidth="1"/>
    <col min="23" max="25" width="10.7109375" style="11" customWidth="1"/>
    <col min="26" max="26" width="9.140625" style="117"/>
    <col min="30" max="31" width="12.42578125" customWidth="1"/>
    <col min="32" max="32" width="11.5703125" customWidth="1"/>
    <col min="33" max="33" width="12.140625" customWidth="1"/>
  </cols>
  <sheetData>
    <row r="1" spans="1:35" ht="15.75" thickBot="1">
      <c r="B1" s="488" t="s">
        <v>0</v>
      </c>
      <c r="C1" s="489"/>
      <c r="D1" s="489"/>
      <c r="E1" s="489"/>
      <c r="F1" s="489"/>
      <c r="G1" s="490"/>
      <c r="H1" s="491" t="s">
        <v>1</v>
      </c>
      <c r="I1" s="492"/>
      <c r="J1" s="493" t="s">
        <v>2</v>
      </c>
      <c r="K1" s="494"/>
      <c r="L1" s="494"/>
      <c r="M1" s="494"/>
      <c r="N1" s="494"/>
      <c r="O1" s="494"/>
      <c r="P1" s="494"/>
      <c r="Q1" s="495"/>
    </row>
    <row r="2" spans="1:35" ht="62.25" customHeight="1" thickBot="1">
      <c r="A2" s="20" t="s">
        <v>40</v>
      </c>
      <c r="B2" s="99" t="s">
        <v>3</v>
      </c>
      <c r="C2" s="100" t="s">
        <v>4</v>
      </c>
      <c r="D2" s="5" t="s">
        <v>5</v>
      </c>
      <c r="E2" s="100" t="s">
        <v>1845</v>
      </c>
      <c r="F2" s="100" t="s">
        <v>6</v>
      </c>
      <c r="G2" s="101" t="s">
        <v>7</v>
      </c>
      <c r="H2" s="3" t="s">
        <v>8</v>
      </c>
      <c r="I2" s="4" t="s">
        <v>9</v>
      </c>
      <c r="J2" s="92" t="s">
        <v>10</v>
      </c>
      <c r="K2" s="92" t="s">
        <v>11</v>
      </c>
      <c r="L2" s="92" t="s">
        <v>145</v>
      </c>
      <c r="M2" s="2" t="s">
        <v>146</v>
      </c>
      <c r="N2" s="1" t="s">
        <v>12</v>
      </c>
      <c r="O2" s="93" t="s">
        <v>13</v>
      </c>
      <c r="P2" s="2" t="s">
        <v>14</v>
      </c>
      <c r="Q2" s="46" t="s">
        <v>135</v>
      </c>
      <c r="R2" s="20" t="s">
        <v>15</v>
      </c>
      <c r="S2" s="46" t="s">
        <v>134</v>
      </c>
      <c r="T2" s="113" t="s">
        <v>16</v>
      </c>
      <c r="U2" s="6" t="s">
        <v>17</v>
      </c>
      <c r="V2" s="303" t="s">
        <v>1714</v>
      </c>
      <c r="W2" s="118" t="s">
        <v>18</v>
      </c>
      <c r="X2" s="119" t="s">
        <v>19</v>
      </c>
      <c r="Y2" s="119" t="s">
        <v>20</v>
      </c>
      <c r="AB2" s="344" t="s">
        <v>1827</v>
      </c>
      <c r="AC2" s="344" t="s">
        <v>1828</v>
      </c>
      <c r="AD2" s="344" t="s">
        <v>1824</v>
      </c>
      <c r="AE2" s="344" t="s">
        <v>1823</v>
      </c>
      <c r="AF2" s="344" t="s">
        <v>1826</v>
      </c>
      <c r="AG2" s="344" t="s">
        <v>1825</v>
      </c>
    </row>
    <row r="3" spans="1:35">
      <c r="A3" s="102" t="s">
        <v>1719</v>
      </c>
      <c r="B3" s="103" t="s">
        <v>147</v>
      </c>
      <c r="C3" s="65">
        <v>5000</v>
      </c>
      <c r="D3" s="65">
        <v>5000</v>
      </c>
      <c r="E3" s="65" t="s">
        <v>21</v>
      </c>
      <c r="F3" s="65">
        <v>99</v>
      </c>
      <c r="G3" s="8">
        <v>75</v>
      </c>
      <c r="H3" s="7">
        <v>62.5</v>
      </c>
      <c r="I3" s="8">
        <v>10</v>
      </c>
      <c r="J3" s="7">
        <f>G3-H3</f>
        <v>12.5</v>
      </c>
      <c r="K3" s="50">
        <v>6.5</v>
      </c>
      <c r="L3" s="50">
        <v>15</v>
      </c>
      <c r="M3" s="50">
        <v>40</v>
      </c>
      <c r="N3" s="50">
        <f>L3+M3</f>
        <v>55</v>
      </c>
      <c r="O3" s="50">
        <f>F3-I3-K3-N3-P3</f>
        <v>17.5</v>
      </c>
      <c r="P3" s="8">
        <v>10</v>
      </c>
      <c r="Q3" s="70">
        <f>K3+O3+P3</f>
        <v>34</v>
      </c>
      <c r="R3" s="74">
        <f>Q3+N3+I3</f>
        <v>99</v>
      </c>
      <c r="S3" s="174">
        <f>R3+G3</f>
        <v>174</v>
      </c>
      <c r="T3" s="80">
        <v>115</v>
      </c>
      <c r="U3" s="81" t="s">
        <v>22</v>
      </c>
      <c r="V3" s="220" t="s">
        <v>1736</v>
      </c>
      <c r="W3" s="114">
        <f>IF($Z3="S","N/A",$C3*50%)</f>
        <v>2500</v>
      </c>
      <c r="X3" s="114">
        <f>IF($Z3="S","N/A",$C3*25%)</f>
        <v>1250</v>
      </c>
      <c r="Y3" s="135">
        <f>IF($Z3="S","N/A",$C3*12.5%)</f>
        <v>625</v>
      </c>
      <c r="Z3" s="305"/>
      <c r="AA3" s="305"/>
      <c r="AB3" s="347">
        <v>32.75</v>
      </c>
      <c r="AC3" s="348">
        <f>M3</f>
        <v>40</v>
      </c>
      <c r="AD3" s="12">
        <v>43.75</v>
      </c>
      <c r="AE3" s="348">
        <f>Q3+J3</f>
        <v>46.5</v>
      </c>
      <c r="AF3" s="12">
        <v>31.25</v>
      </c>
      <c r="AG3" s="348">
        <f>Q3</f>
        <v>34</v>
      </c>
      <c r="AH3" s="11">
        <f>AF3-AG3</f>
        <v>-2.75</v>
      </c>
    </row>
    <row r="4" spans="1:35">
      <c r="A4" s="102" t="s">
        <v>1720</v>
      </c>
      <c r="B4" s="104" t="s">
        <v>138</v>
      </c>
      <c r="C4" s="63">
        <v>5000</v>
      </c>
      <c r="D4" s="63">
        <v>5000</v>
      </c>
      <c r="E4" s="63" t="s">
        <v>21</v>
      </c>
      <c r="F4" s="63">
        <v>99</v>
      </c>
      <c r="G4" s="105">
        <v>75</v>
      </c>
      <c r="H4" s="13">
        <v>62.5</v>
      </c>
      <c r="I4" s="105">
        <v>10</v>
      </c>
      <c r="J4" s="13">
        <f>G4-H4</f>
        <v>12.5</v>
      </c>
      <c r="K4" s="14">
        <v>6.5</v>
      </c>
      <c r="L4" s="14">
        <v>9</v>
      </c>
      <c r="M4" s="14">
        <v>40</v>
      </c>
      <c r="N4" s="14">
        <f t="shared" ref="N4:N37" si="0">L4+M4</f>
        <v>49</v>
      </c>
      <c r="O4" s="14">
        <f t="shared" ref="O4:O37" si="1">F4-I4-K4-N4-P4</f>
        <v>28.5</v>
      </c>
      <c r="P4" s="105">
        <v>5</v>
      </c>
      <c r="Q4" s="71">
        <f t="shared" ref="Q4:Q37" si="2">K4+O4+P4</f>
        <v>40</v>
      </c>
      <c r="R4" s="76">
        <f t="shared" ref="R4:R37" si="3">Q4+N4+I4</f>
        <v>99</v>
      </c>
      <c r="S4" s="175">
        <f t="shared" ref="S4:S37" si="4">R4+G4</f>
        <v>174</v>
      </c>
      <c r="T4" s="82">
        <v>115</v>
      </c>
      <c r="U4" s="83" t="s">
        <v>22</v>
      </c>
      <c r="V4" s="86" t="s">
        <v>1736</v>
      </c>
      <c r="W4" s="115" t="str">
        <f t="shared" ref="W4:W37" si="5">IF($Z4="S","N/A",$C4*50%)</f>
        <v>N/A</v>
      </c>
      <c r="X4" s="88" t="str">
        <f t="shared" ref="X4:X37" si="6">IF($Z4="S","N/A",$C4*25%)</f>
        <v>N/A</v>
      </c>
      <c r="Y4" s="116" t="str">
        <f t="shared" ref="Y4:Y37" si="7">IF($Z4="S","N/A",$C4*12.5%)</f>
        <v>N/A</v>
      </c>
      <c r="Z4" s="305" t="s">
        <v>176</v>
      </c>
      <c r="AA4" s="305"/>
      <c r="AB4" s="347">
        <v>32.75</v>
      </c>
      <c r="AC4" s="348">
        <f t="shared" ref="AC4:AC18" si="8">M4</f>
        <v>40</v>
      </c>
      <c r="AD4" s="12">
        <v>49.75</v>
      </c>
      <c r="AE4" s="348">
        <f t="shared" ref="AE4:AE37" si="9">Q4+J4</f>
        <v>52.5</v>
      </c>
      <c r="AF4" s="12">
        <v>37.25</v>
      </c>
      <c r="AG4" s="348">
        <f t="shared" ref="AG4:AG37" si="10">Q4</f>
        <v>40</v>
      </c>
      <c r="AH4" s="11">
        <f t="shared" ref="AH4" si="11">AF4-AG4</f>
        <v>-2.75</v>
      </c>
      <c r="AI4" s="11"/>
    </row>
    <row r="5" spans="1:35">
      <c r="A5" s="102" t="s">
        <v>1721</v>
      </c>
      <c r="B5" s="104" t="s">
        <v>139</v>
      </c>
      <c r="C5" s="63">
        <v>10000</v>
      </c>
      <c r="D5" s="63">
        <v>2000</v>
      </c>
      <c r="E5" s="63">
        <v>9000</v>
      </c>
      <c r="F5" s="63">
        <v>125</v>
      </c>
      <c r="G5" s="105">
        <v>75</v>
      </c>
      <c r="H5" s="13">
        <v>62.5</v>
      </c>
      <c r="I5" s="105">
        <v>17</v>
      </c>
      <c r="J5" s="13">
        <f t="shared" ref="J5:J37" si="12">G5-H5</f>
        <v>12.5</v>
      </c>
      <c r="K5" s="14">
        <v>6.5</v>
      </c>
      <c r="L5" s="14">
        <v>28</v>
      </c>
      <c r="M5" s="14">
        <v>50</v>
      </c>
      <c r="N5" s="14">
        <f t="shared" si="0"/>
        <v>78</v>
      </c>
      <c r="O5" s="14">
        <f t="shared" si="1"/>
        <v>13.5</v>
      </c>
      <c r="P5" s="105">
        <v>10</v>
      </c>
      <c r="Q5" s="71">
        <f t="shared" si="2"/>
        <v>30</v>
      </c>
      <c r="R5" s="76">
        <f t="shared" si="3"/>
        <v>125</v>
      </c>
      <c r="S5" s="175">
        <f t="shared" si="4"/>
        <v>200</v>
      </c>
      <c r="T5" s="82">
        <v>145</v>
      </c>
      <c r="U5" s="83" t="s">
        <v>22</v>
      </c>
      <c r="V5" s="86" t="s">
        <v>1737</v>
      </c>
      <c r="W5" s="115">
        <f t="shared" si="5"/>
        <v>5000</v>
      </c>
      <c r="X5" s="88">
        <f t="shared" si="6"/>
        <v>2500</v>
      </c>
      <c r="Y5" s="116">
        <f t="shared" si="7"/>
        <v>1250</v>
      </c>
      <c r="Z5" s="305"/>
      <c r="AA5" s="305"/>
      <c r="AB5" s="347">
        <v>32.75</v>
      </c>
      <c r="AC5" s="348">
        <f t="shared" si="8"/>
        <v>50</v>
      </c>
      <c r="AD5" s="12">
        <v>43.75</v>
      </c>
      <c r="AE5" s="348">
        <f t="shared" si="9"/>
        <v>42.5</v>
      </c>
      <c r="AF5" s="12">
        <v>31.25</v>
      </c>
      <c r="AG5" s="348">
        <f t="shared" si="10"/>
        <v>30</v>
      </c>
      <c r="AH5" s="11">
        <f t="shared" ref="AH5" si="13">AF5-AG5</f>
        <v>1.25</v>
      </c>
      <c r="AI5" s="11"/>
    </row>
    <row r="6" spans="1:35">
      <c r="A6" s="102" t="s">
        <v>1722</v>
      </c>
      <c r="B6" s="104" t="s">
        <v>148</v>
      </c>
      <c r="C6" s="63">
        <v>10000</v>
      </c>
      <c r="D6" s="63">
        <v>2000</v>
      </c>
      <c r="E6" s="63">
        <v>9000</v>
      </c>
      <c r="F6" s="63">
        <v>125</v>
      </c>
      <c r="G6" s="105">
        <v>75</v>
      </c>
      <c r="H6" s="13">
        <v>62.5</v>
      </c>
      <c r="I6" s="105">
        <v>17</v>
      </c>
      <c r="J6" s="13">
        <f t="shared" si="12"/>
        <v>12.5</v>
      </c>
      <c r="K6" s="14">
        <v>6.5</v>
      </c>
      <c r="L6" s="14">
        <v>22</v>
      </c>
      <c r="M6" s="14">
        <v>50</v>
      </c>
      <c r="N6" s="14">
        <f t="shared" si="0"/>
        <v>72</v>
      </c>
      <c r="O6" s="14">
        <f t="shared" si="1"/>
        <v>24.5</v>
      </c>
      <c r="P6" s="105">
        <v>5</v>
      </c>
      <c r="Q6" s="71">
        <f t="shared" si="2"/>
        <v>36</v>
      </c>
      <c r="R6" s="76">
        <f t="shared" si="3"/>
        <v>125</v>
      </c>
      <c r="S6" s="175">
        <f t="shared" si="4"/>
        <v>200</v>
      </c>
      <c r="T6" s="82">
        <v>145</v>
      </c>
      <c r="U6" s="83" t="s">
        <v>22</v>
      </c>
      <c r="V6" s="86" t="s">
        <v>1737</v>
      </c>
      <c r="W6" s="115" t="str">
        <f t="shared" si="5"/>
        <v>N/A</v>
      </c>
      <c r="X6" s="88" t="str">
        <f t="shared" si="6"/>
        <v>N/A</v>
      </c>
      <c r="Y6" s="116" t="str">
        <f t="shared" si="7"/>
        <v>N/A</v>
      </c>
      <c r="Z6" s="305" t="s">
        <v>176</v>
      </c>
      <c r="AB6" s="347">
        <v>32.75</v>
      </c>
      <c r="AC6" s="348">
        <f t="shared" si="8"/>
        <v>50</v>
      </c>
      <c r="AD6" s="12">
        <v>49.75</v>
      </c>
      <c r="AE6" s="348">
        <f t="shared" si="9"/>
        <v>48.5</v>
      </c>
      <c r="AF6" s="12">
        <v>37.25</v>
      </c>
      <c r="AG6" s="348">
        <f t="shared" si="10"/>
        <v>36</v>
      </c>
      <c r="AH6" s="11">
        <f t="shared" ref="AH6" si="14">AF6-AG6</f>
        <v>1.25</v>
      </c>
      <c r="AI6" s="11"/>
    </row>
    <row r="7" spans="1:35">
      <c r="A7" s="102" t="s">
        <v>1723</v>
      </c>
      <c r="B7" s="104" t="s">
        <v>140</v>
      </c>
      <c r="C7" s="63">
        <v>18000</v>
      </c>
      <c r="D7" s="63" t="s">
        <v>24</v>
      </c>
      <c r="E7" s="63">
        <v>16200</v>
      </c>
      <c r="F7" s="63">
        <v>229</v>
      </c>
      <c r="G7" s="105">
        <v>75</v>
      </c>
      <c r="H7" s="13">
        <v>62.5</v>
      </c>
      <c r="I7" s="105">
        <v>36</v>
      </c>
      <c r="J7" s="13">
        <f t="shared" si="12"/>
        <v>12.5</v>
      </c>
      <c r="K7" s="14">
        <v>6.5</v>
      </c>
      <c r="L7" s="14">
        <v>50</v>
      </c>
      <c r="M7" s="14">
        <v>100</v>
      </c>
      <c r="N7" s="14">
        <f t="shared" si="0"/>
        <v>150</v>
      </c>
      <c r="O7" s="14">
        <f t="shared" si="1"/>
        <v>26.5</v>
      </c>
      <c r="P7" s="105">
        <v>10</v>
      </c>
      <c r="Q7" s="71">
        <f t="shared" si="2"/>
        <v>43</v>
      </c>
      <c r="R7" s="76">
        <f t="shared" si="3"/>
        <v>229</v>
      </c>
      <c r="S7" s="175">
        <f t="shared" si="4"/>
        <v>304</v>
      </c>
      <c r="T7" s="82">
        <v>290</v>
      </c>
      <c r="U7" s="83" t="s">
        <v>25</v>
      </c>
      <c r="V7" s="86" t="s">
        <v>1737</v>
      </c>
      <c r="W7" s="115">
        <f t="shared" si="5"/>
        <v>9000</v>
      </c>
      <c r="X7" s="88">
        <f t="shared" si="6"/>
        <v>4500</v>
      </c>
      <c r="Y7" s="116">
        <f t="shared" si="7"/>
        <v>2250</v>
      </c>
      <c r="Z7" s="305"/>
      <c r="AA7" s="305" t="s">
        <v>1758</v>
      </c>
      <c r="AB7" s="347">
        <v>65.5</v>
      </c>
      <c r="AC7" s="348">
        <f t="shared" si="8"/>
        <v>100</v>
      </c>
      <c r="AD7" s="12">
        <v>56</v>
      </c>
      <c r="AE7" s="348">
        <f t="shared" si="9"/>
        <v>55.5</v>
      </c>
      <c r="AF7" s="12">
        <v>43.5</v>
      </c>
      <c r="AG7" s="348">
        <f t="shared" si="10"/>
        <v>43</v>
      </c>
      <c r="AH7" s="11">
        <f t="shared" ref="AH7" si="15">AF7-AG7</f>
        <v>0.5</v>
      </c>
      <c r="AI7" s="11"/>
    </row>
    <row r="8" spans="1:35">
      <c r="A8" s="102" t="s">
        <v>1724</v>
      </c>
      <c r="B8" s="104" t="s">
        <v>149</v>
      </c>
      <c r="C8" s="63">
        <v>18000</v>
      </c>
      <c r="D8" s="63" t="s">
        <v>24</v>
      </c>
      <c r="E8" s="63">
        <v>16200</v>
      </c>
      <c r="F8" s="63">
        <v>229</v>
      </c>
      <c r="G8" s="105">
        <v>75</v>
      </c>
      <c r="H8" s="13">
        <v>62.5</v>
      </c>
      <c r="I8" s="105">
        <v>36</v>
      </c>
      <c r="J8" s="13">
        <f t="shared" si="12"/>
        <v>12.5</v>
      </c>
      <c r="K8" s="14">
        <v>6.5</v>
      </c>
      <c r="L8" s="14">
        <v>40</v>
      </c>
      <c r="M8" s="14">
        <v>100</v>
      </c>
      <c r="N8" s="14">
        <f t="shared" si="0"/>
        <v>140</v>
      </c>
      <c r="O8" s="14">
        <f t="shared" si="1"/>
        <v>41.5</v>
      </c>
      <c r="P8" s="105">
        <v>5</v>
      </c>
      <c r="Q8" s="71">
        <f t="shared" si="2"/>
        <v>53</v>
      </c>
      <c r="R8" s="76">
        <f t="shared" si="3"/>
        <v>229</v>
      </c>
      <c r="S8" s="175">
        <f t="shared" si="4"/>
        <v>304</v>
      </c>
      <c r="T8" s="82">
        <v>290</v>
      </c>
      <c r="U8" s="83" t="s">
        <v>25</v>
      </c>
      <c r="V8" s="86" t="s">
        <v>1737</v>
      </c>
      <c r="W8" s="115" t="str">
        <f t="shared" si="5"/>
        <v>N/A</v>
      </c>
      <c r="X8" s="88" t="str">
        <f t="shared" si="6"/>
        <v>N/A</v>
      </c>
      <c r="Y8" s="116" t="str">
        <f t="shared" si="7"/>
        <v>N/A</v>
      </c>
      <c r="Z8" s="305" t="s">
        <v>176</v>
      </c>
      <c r="AA8" s="305" t="s">
        <v>1758</v>
      </c>
      <c r="AB8" s="347">
        <v>65.5</v>
      </c>
      <c r="AC8" s="348">
        <f t="shared" si="8"/>
        <v>100</v>
      </c>
      <c r="AD8" s="12">
        <v>66</v>
      </c>
      <c r="AE8" s="348">
        <f t="shared" si="9"/>
        <v>65.5</v>
      </c>
      <c r="AF8" s="12">
        <v>53.5</v>
      </c>
      <c r="AG8" s="348">
        <f t="shared" si="10"/>
        <v>53</v>
      </c>
      <c r="AH8" s="11">
        <f t="shared" ref="AH8" si="16">AF8-AG8</f>
        <v>0.5</v>
      </c>
      <c r="AI8" s="11"/>
    </row>
    <row r="9" spans="1:35">
      <c r="A9" s="102" t="s">
        <v>1725</v>
      </c>
      <c r="B9" s="104" t="s">
        <v>141</v>
      </c>
      <c r="C9" s="63">
        <v>18000</v>
      </c>
      <c r="D9" s="63">
        <v>4000</v>
      </c>
      <c r="E9" s="63">
        <v>16200</v>
      </c>
      <c r="F9" s="63">
        <v>209</v>
      </c>
      <c r="G9" s="105">
        <v>75</v>
      </c>
      <c r="H9" s="13">
        <v>62.5</v>
      </c>
      <c r="I9" s="105">
        <v>36</v>
      </c>
      <c r="J9" s="13">
        <f t="shared" si="12"/>
        <v>12.5</v>
      </c>
      <c r="K9" s="14">
        <v>6.5</v>
      </c>
      <c r="L9" s="14">
        <v>50</v>
      </c>
      <c r="M9" s="14">
        <v>71</v>
      </c>
      <c r="N9" s="14">
        <f t="shared" si="0"/>
        <v>121</v>
      </c>
      <c r="O9" s="14">
        <f t="shared" si="1"/>
        <v>35.5</v>
      </c>
      <c r="P9" s="105">
        <v>10</v>
      </c>
      <c r="Q9" s="71">
        <f t="shared" si="2"/>
        <v>52</v>
      </c>
      <c r="R9" s="76">
        <f t="shared" si="3"/>
        <v>209</v>
      </c>
      <c r="S9" s="175">
        <f t="shared" si="4"/>
        <v>284</v>
      </c>
      <c r="T9" s="82">
        <v>110</v>
      </c>
      <c r="U9" s="83" t="s">
        <v>26</v>
      </c>
      <c r="V9" s="86" t="s">
        <v>1760</v>
      </c>
      <c r="W9" s="115">
        <f t="shared" si="5"/>
        <v>9000</v>
      </c>
      <c r="X9" s="88">
        <f t="shared" si="6"/>
        <v>4500</v>
      </c>
      <c r="Y9" s="116">
        <f t="shared" si="7"/>
        <v>2250</v>
      </c>
      <c r="Z9" s="305"/>
      <c r="AA9" s="305" t="s">
        <v>1759</v>
      </c>
      <c r="AB9" s="347">
        <v>59</v>
      </c>
      <c r="AC9" s="348">
        <f t="shared" si="8"/>
        <v>71</v>
      </c>
      <c r="AD9" s="12">
        <v>62.5</v>
      </c>
      <c r="AE9" s="348">
        <f t="shared" si="9"/>
        <v>64.5</v>
      </c>
      <c r="AF9" s="12">
        <v>50</v>
      </c>
      <c r="AG9" s="348">
        <f t="shared" si="10"/>
        <v>52</v>
      </c>
      <c r="AH9" s="11">
        <f t="shared" ref="AH9" si="17">AF9-AG9</f>
        <v>-2</v>
      </c>
      <c r="AI9" s="11"/>
    </row>
    <row r="10" spans="1:35" ht="15.75" thickBot="1">
      <c r="A10" s="158" t="s">
        <v>1726</v>
      </c>
      <c r="B10" s="147" t="s">
        <v>150</v>
      </c>
      <c r="C10" s="148">
        <v>18000</v>
      </c>
      <c r="D10" s="148">
        <v>4000</v>
      </c>
      <c r="E10" s="148">
        <v>16200</v>
      </c>
      <c r="F10" s="148">
        <v>209</v>
      </c>
      <c r="G10" s="149">
        <v>75</v>
      </c>
      <c r="H10" s="150">
        <v>62.5</v>
      </c>
      <c r="I10" s="149">
        <v>36</v>
      </c>
      <c r="J10" s="150">
        <f t="shared" si="12"/>
        <v>12.5</v>
      </c>
      <c r="K10" s="151">
        <v>6.5</v>
      </c>
      <c r="L10" s="151">
        <v>40</v>
      </c>
      <c r="M10" s="151">
        <v>71</v>
      </c>
      <c r="N10" s="151">
        <f t="shared" si="0"/>
        <v>111</v>
      </c>
      <c r="O10" s="151">
        <f t="shared" si="1"/>
        <v>50.5</v>
      </c>
      <c r="P10" s="149">
        <v>5</v>
      </c>
      <c r="Q10" s="360">
        <f t="shared" si="2"/>
        <v>62</v>
      </c>
      <c r="R10" s="152">
        <f t="shared" si="3"/>
        <v>209</v>
      </c>
      <c r="S10" s="176">
        <f t="shared" si="4"/>
        <v>284</v>
      </c>
      <c r="T10" s="153">
        <v>110</v>
      </c>
      <c r="U10" s="154" t="s">
        <v>26</v>
      </c>
      <c r="V10" s="86" t="s">
        <v>1760</v>
      </c>
      <c r="W10" s="126" t="str">
        <f t="shared" si="5"/>
        <v>N/A</v>
      </c>
      <c r="X10" s="127" t="str">
        <f t="shared" si="6"/>
        <v>N/A</v>
      </c>
      <c r="Y10" s="128" t="str">
        <f t="shared" si="7"/>
        <v>N/A</v>
      </c>
      <c r="Z10" s="305" t="s">
        <v>176</v>
      </c>
      <c r="AA10" s="305" t="s">
        <v>1759</v>
      </c>
      <c r="AB10" s="347">
        <v>59</v>
      </c>
      <c r="AC10" s="348">
        <f t="shared" si="8"/>
        <v>71</v>
      </c>
      <c r="AD10" s="12">
        <v>72.5</v>
      </c>
      <c r="AE10" s="348">
        <f t="shared" si="9"/>
        <v>74.5</v>
      </c>
      <c r="AF10" s="12">
        <v>60</v>
      </c>
      <c r="AG10" s="348">
        <f t="shared" si="10"/>
        <v>62</v>
      </c>
      <c r="AH10" s="11">
        <f t="shared" ref="AH10" si="18">AF10-AG10</f>
        <v>-2</v>
      </c>
      <c r="AI10" s="11"/>
    </row>
    <row r="11" spans="1:35" ht="15.75" thickTop="1">
      <c r="A11" s="155" t="s">
        <v>1727</v>
      </c>
      <c r="B11" s="142" t="s">
        <v>151</v>
      </c>
      <c r="C11" s="143">
        <v>5000</v>
      </c>
      <c r="D11" s="143">
        <v>5000</v>
      </c>
      <c r="E11" s="143" t="s">
        <v>21</v>
      </c>
      <c r="F11" s="143">
        <v>99</v>
      </c>
      <c r="G11" s="141">
        <v>75</v>
      </c>
      <c r="H11" s="140">
        <v>62.5</v>
      </c>
      <c r="I11" s="141">
        <v>10</v>
      </c>
      <c r="J11" s="140">
        <f t="shared" si="12"/>
        <v>12.5</v>
      </c>
      <c r="K11" s="134">
        <v>6.5</v>
      </c>
      <c r="L11" s="134">
        <v>15</v>
      </c>
      <c r="M11" s="134">
        <v>40</v>
      </c>
      <c r="N11" s="134">
        <f t="shared" si="0"/>
        <v>55</v>
      </c>
      <c r="O11" s="134">
        <f t="shared" si="1"/>
        <v>17.5</v>
      </c>
      <c r="P11" s="141">
        <v>10</v>
      </c>
      <c r="Q11" s="361">
        <f t="shared" si="2"/>
        <v>34</v>
      </c>
      <c r="R11" s="144">
        <f t="shared" si="3"/>
        <v>99</v>
      </c>
      <c r="S11" s="177">
        <f t="shared" si="4"/>
        <v>174</v>
      </c>
      <c r="T11" s="145">
        <v>115</v>
      </c>
      <c r="U11" s="146" t="s">
        <v>22</v>
      </c>
      <c r="V11" s="304" t="s">
        <v>1736</v>
      </c>
      <c r="W11" s="123">
        <f t="shared" si="5"/>
        <v>2500</v>
      </c>
      <c r="X11" s="124">
        <f t="shared" si="6"/>
        <v>1250</v>
      </c>
      <c r="Y11" s="125">
        <f t="shared" si="7"/>
        <v>625</v>
      </c>
      <c r="Z11" s="305"/>
      <c r="AA11" s="305"/>
      <c r="AB11" s="347">
        <v>32.75</v>
      </c>
      <c r="AC11" s="348">
        <f t="shared" si="8"/>
        <v>40</v>
      </c>
      <c r="AD11" s="12">
        <v>43.75</v>
      </c>
      <c r="AE11" s="348">
        <f t="shared" si="9"/>
        <v>46.5</v>
      </c>
      <c r="AF11" s="12">
        <v>31.25</v>
      </c>
      <c r="AG11" s="348">
        <f t="shared" si="10"/>
        <v>34</v>
      </c>
      <c r="AH11" s="11">
        <f t="shared" ref="AH11" si="19">AF11-AG11</f>
        <v>-2.75</v>
      </c>
      <c r="AI11" s="11"/>
    </row>
    <row r="12" spans="1:35">
      <c r="A12" s="102" t="s">
        <v>1728</v>
      </c>
      <c r="B12" s="106" t="s">
        <v>142</v>
      </c>
      <c r="C12" s="96">
        <v>5000</v>
      </c>
      <c r="D12" s="96">
        <v>5000</v>
      </c>
      <c r="E12" s="96" t="s">
        <v>21</v>
      </c>
      <c r="F12" s="96">
        <v>99</v>
      </c>
      <c r="G12" s="107">
        <v>75</v>
      </c>
      <c r="H12" s="15">
        <v>62.5</v>
      </c>
      <c r="I12" s="107">
        <v>10</v>
      </c>
      <c r="J12" s="15">
        <f t="shared" si="12"/>
        <v>12.5</v>
      </c>
      <c r="K12" s="16">
        <v>6.5</v>
      </c>
      <c r="L12" s="16">
        <v>9</v>
      </c>
      <c r="M12" s="16">
        <v>40</v>
      </c>
      <c r="N12" s="16">
        <f t="shared" si="0"/>
        <v>49</v>
      </c>
      <c r="O12" s="16">
        <f t="shared" si="1"/>
        <v>28.5</v>
      </c>
      <c r="P12" s="107">
        <v>5</v>
      </c>
      <c r="Q12" s="362">
        <f t="shared" si="2"/>
        <v>40</v>
      </c>
      <c r="R12" s="77">
        <f t="shared" si="3"/>
        <v>99</v>
      </c>
      <c r="S12" s="172">
        <f t="shared" si="4"/>
        <v>174</v>
      </c>
      <c r="T12" s="84">
        <v>115</v>
      </c>
      <c r="U12" s="85" t="s">
        <v>22</v>
      </c>
      <c r="V12" s="304" t="s">
        <v>1736</v>
      </c>
      <c r="W12" s="120" t="str">
        <f t="shared" si="5"/>
        <v>N/A</v>
      </c>
      <c r="X12" s="121" t="str">
        <f t="shared" si="6"/>
        <v>N/A</v>
      </c>
      <c r="Y12" s="122" t="str">
        <f t="shared" si="7"/>
        <v>N/A</v>
      </c>
      <c r="Z12" s="305" t="s">
        <v>176</v>
      </c>
      <c r="AA12" s="305"/>
      <c r="AB12" s="347">
        <v>32.75</v>
      </c>
      <c r="AC12" s="348">
        <f t="shared" si="8"/>
        <v>40</v>
      </c>
      <c r="AD12" s="12">
        <v>49.75</v>
      </c>
      <c r="AE12" s="348">
        <f t="shared" si="9"/>
        <v>52.5</v>
      </c>
      <c r="AF12" s="12">
        <v>37.25</v>
      </c>
      <c r="AG12" s="348">
        <f t="shared" si="10"/>
        <v>40</v>
      </c>
      <c r="AH12" s="11">
        <f t="shared" ref="AH12" si="20">AF12-AG12</f>
        <v>-2.75</v>
      </c>
      <c r="AI12" s="11"/>
    </row>
    <row r="13" spans="1:35">
      <c r="A13" s="102" t="s">
        <v>1729</v>
      </c>
      <c r="B13" s="106" t="s">
        <v>142</v>
      </c>
      <c r="C13" s="96">
        <v>10000</v>
      </c>
      <c r="D13" s="96">
        <v>10000</v>
      </c>
      <c r="E13" s="96" t="s">
        <v>21</v>
      </c>
      <c r="F13" s="96">
        <v>125</v>
      </c>
      <c r="G13" s="107">
        <v>75</v>
      </c>
      <c r="H13" s="15">
        <v>62.5</v>
      </c>
      <c r="I13" s="107">
        <v>17</v>
      </c>
      <c r="J13" s="15">
        <v>12.5</v>
      </c>
      <c r="K13" s="16">
        <v>6.5</v>
      </c>
      <c r="L13" s="16">
        <v>28</v>
      </c>
      <c r="M13" s="16">
        <v>50</v>
      </c>
      <c r="N13" s="16">
        <f t="shared" si="0"/>
        <v>78</v>
      </c>
      <c r="O13" s="16">
        <f t="shared" si="1"/>
        <v>13.5</v>
      </c>
      <c r="P13" s="107">
        <v>10</v>
      </c>
      <c r="Q13" s="362">
        <f t="shared" si="2"/>
        <v>30</v>
      </c>
      <c r="R13" s="77">
        <f t="shared" si="3"/>
        <v>125</v>
      </c>
      <c r="S13" s="172">
        <f t="shared" si="4"/>
        <v>200</v>
      </c>
      <c r="T13" s="145">
        <v>145</v>
      </c>
      <c r="U13" s="146" t="s">
        <v>22</v>
      </c>
      <c r="V13" s="304" t="s">
        <v>1737</v>
      </c>
      <c r="W13" s="120">
        <v>5000</v>
      </c>
      <c r="X13" s="121">
        <v>2500</v>
      </c>
      <c r="Y13" s="122">
        <v>1250</v>
      </c>
      <c r="Z13" s="305"/>
      <c r="AA13" s="305"/>
      <c r="AB13" s="347">
        <v>32.75</v>
      </c>
      <c r="AC13" s="348">
        <f t="shared" si="8"/>
        <v>50</v>
      </c>
      <c r="AD13" s="12">
        <v>43.75</v>
      </c>
      <c r="AE13" s="348">
        <f t="shared" si="9"/>
        <v>42.5</v>
      </c>
      <c r="AF13" s="12">
        <v>31.25</v>
      </c>
      <c r="AG13" s="348">
        <f t="shared" si="10"/>
        <v>30</v>
      </c>
      <c r="AH13" s="11">
        <f t="shared" ref="AH13" si="21">AF13-AG13</f>
        <v>1.25</v>
      </c>
      <c r="AI13" s="11"/>
    </row>
    <row r="14" spans="1:35">
      <c r="A14" s="102" t="s">
        <v>1730</v>
      </c>
      <c r="B14" s="106" t="s">
        <v>142</v>
      </c>
      <c r="C14" s="96">
        <v>10000</v>
      </c>
      <c r="D14" s="96">
        <v>10000</v>
      </c>
      <c r="E14" s="96" t="s">
        <v>21</v>
      </c>
      <c r="F14" s="96">
        <v>125</v>
      </c>
      <c r="G14" s="107">
        <v>75</v>
      </c>
      <c r="H14" s="15">
        <v>62.5</v>
      </c>
      <c r="I14" s="107">
        <v>17</v>
      </c>
      <c r="J14" s="15">
        <v>12.5</v>
      </c>
      <c r="K14" s="16">
        <v>6.5</v>
      </c>
      <c r="L14" s="16">
        <v>22</v>
      </c>
      <c r="M14" s="16">
        <v>50</v>
      </c>
      <c r="N14" s="16">
        <f t="shared" si="0"/>
        <v>72</v>
      </c>
      <c r="O14" s="16">
        <f t="shared" si="1"/>
        <v>24.5</v>
      </c>
      <c r="P14" s="107">
        <v>5</v>
      </c>
      <c r="Q14" s="362">
        <f t="shared" si="2"/>
        <v>36</v>
      </c>
      <c r="R14" s="77">
        <f t="shared" si="3"/>
        <v>125</v>
      </c>
      <c r="S14" s="172">
        <f t="shared" si="4"/>
        <v>200</v>
      </c>
      <c r="T14" s="84">
        <v>145</v>
      </c>
      <c r="U14" s="85" t="s">
        <v>22</v>
      </c>
      <c r="V14" s="304" t="s">
        <v>1737</v>
      </c>
      <c r="W14" s="120" t="s">
        <v>23</v>
      </c>
      <c r="X14" s="121" t="s">
        <v>23</v>
      </c>
      <c r="Y14" s="122" t="s">
        <v>23</v>
      </c>
      <c r="Z14" s="305"/>
      <c r="AA14" s="305"/>
      <c r="AB14" s="347">
        <v>32.75</v>
      </c>
      <c r="AC14" s="348">
        <f t="shared" si="8"/>
        <v>50</v>
      </c>
      <c r="AD14" s="12">
        <v>49.75</v>
      </c>
      <c r="AE14" s="348">
        <f t="shared" si="9"/>
        <v>48.5</v>
      </c>
      <c r="AF14" s="12">
        <v>37.25</v>
      </c>
      <c r="AG14" s="348">
        <f t="shared" si="10"/>
        <v>36</v>
      </c>
      <c r="AH14" s="11">
        <f t="shared" ref="AH14" si="22">AF14-AG14</f>
        <v>1.25</v>
      </c>
      <c r="AI14" s="11"/>
    </row>
    <row r="15" spans="1:35">
      <c r="A15" s="102" t="s">
        <v>1729</v>
      </c>
      <c r="B15" s="106" t="s">
        <v>143</v>
      </c>
      <c r="C15" s="96">
        <v>10000</v>
      </c>
      <c r="D15" s="96">
        <v>10000</v>
      </c>
      <c r="E15" s="96" t="s">
        <v>21</v>
      </c>
      <c r="F15" s="96">
        <v>229</v>
      </c>
      <c r="G15" s="107">
        <v>75</v>
      </c>
      <c r="H15" s="15">
        <v>62.5</v>
      </c>
      <c r="I15" s="107">
        <v>36</v>
      </c>
      <c r="J15" s="15">
        <f t="shared" si="12"/>
        <v>12.5</v>
      </c>
      <c r="K15" s="16">
        <v>6.5</v>
      </c>
      <c r="L15" s="16">
        <v>28</v>
      </c>
      <c r="M15" s="16">
        <v>100</v>
      </c>
      <c r="N15" s="16">
        <f t="shared" si="0"/>
        <v>128</v>
      </c>
      <c r="O15" s="16">
        <f t="shared" si="1"/>
        <v>48.5</v>
      </c>
      <c r="P15" s="107">
        <v>10</v>
      </c>
      <c r="Q15" s="362">
        <f t="shared" si="2"/>
        <v>65</v>
      </c>
      <c r="R15" s="77">
        <f t="shared" si="3"/>
        <v>229</v>
      </c>
      <c r="S15" s="172">
        <f t="shared" si="4"/>
        <v>304</v>
      </c>
      <c r="T15" s="84">
        <v>290</v>
      </c>
      <c r="U15" s="85" t="s">
        <v>25</v>
      </c>
      <c r="V15" s="304" t="s">
        <v>1737</v>
      </c>
      <c r="W15" s="120">
        <f t="shared" si="5"/>
        <v>5000</v>
      </c>
      <c r="X15" s="121">
        <f t="shared" si="6"/>
        <v>2500</v>
      </c>
      <c r="Y15" s="122">
        <f t="shared" si="7"/>
        <v>1250</v>
      </c>
      <c r="Z15" s="305"/>
      <c r="AA15" s="305" t="s">
        <v>1758</v>
      </c>
      <c r="AB15" s="347">
        <v>65.5</v>
      </c>
      <c r="AC15" s="348">
        <f t="shared" si="8"/>
        <v>100</v>
      </c>
      <c r="AD15" s="12">
        <v>78</v>
      </c>
      <c r="AE15" s="348">
        <f t="shared" si="9"/>
        <v>77.5</v>
      </c>
      <c r="AF15" s="12">
        <v>65.5</v>
      </c>
      <c r="AG15" s="348">
        <f t="shared" si="10"/>
        <v>65</v>
      </c>
      <c r="AH15" s="11">
        <f t="shared" ref="AH15" si="23">AF15-AG15</f>
        <v>0.5</v>
      </c>
      <c r="AI15" s="11"/>
    </row>
    <row r="16" spans="1:35">
      <c r="A16" s="102" t="s">
        <v>1730</v>
      </c>
      <c r="B16" s="106" t="s">
        <v>152</v>
      </c>
      <c r="C16" s="96">
        <v>10000</v>
      </c>
      <c r="D16" s="96">
        <v>10000</v>
      </c>
      <c r="E16" s="96" t="s">
        <v>21</v>
      </c>
      <c r="F16" s="96">
        <v>229</v>
      </c>
      <c r="G16" s="107">
        <v>75</v>
      </c>
      <c r="H16" s="15">
        <v>62.5</v>
      </c>
      <c r="I16" s="107">
        <v>36</v>
      </c>
      <c r="J16" s="15">
        <f t="shared" si="12"/>
        <v>12.5</v>
      </c>
      <c r="K16" s="16">
        <v>6.5</v>
      </c>
      <c r="L16" s="16">
        <v>22</v>
      </c>
      <c r="M16" s="16">
        <v>100</v>
      </c>
      <c r="N16" s="16">
        <f t="shared" si="0"/>
        <v>122</v>
      </c>
      <c r="O16" s="16">
        <f t="shared" si="1"/>
        <v>59.5</v>
      </c>
      <c r="P16" s="107">
        <v>5</v>
      </c>
      <c r="Q16" s="362">
        <f t="shared" si="2"/>
        <v>71</v>
      </c>
      <c r="R16" s="77">
        <f t="shared" si="3"/>
        <v>229</v>
      </c>
      <c r="S16" s="172">
        <f t="shared" si="4"/>
        <v>304</v>
      </c>
      <c r="T16" s="84">
        <v>290</v>
      </c>
      <c r="U16" s="85" t="s">
        <v>25</v>
      </c>
      <c r="V16" s="304" t="s">
        <v>1737</v>
      </c>
      <c r="W16" s="120" t="str">
        <f t="shared" si="5"/>
        <v>N/A</v>
      </c>
      <c r="X16" s="121" t="str">
        <f t="shared" si="6"/>
        <v>N/A</v>
      </c>
      <c r="Y16" s="122" t="str">
        <f t="shared" si="7"/>
        <v>N/A</v>
      </c>
      <c r="Z16" s="305" t="s">
        <v>176</v>
      </c>
      <c r="AA16" s="305" t="s">
        <v>1758</v>
      </c>
      <c r="AB16" s="347">
        <v>65.5</v>
      </c>
      <c r="AC16" s="348">
        <f t="shared" si="8"/>
        <v>100</v>
      </c>
      <c r="AD16" s="12">
        <v>84</v>
      </c>
      <c r="AE16" s="348">
        <f t="shared" si="9"/>
        <v>83.5</v>
      </c>
      <c r="AF16" s="12">
        <v>71.5</v>
      </c>
      <c r="AG16" s="348">
        <f t="shared" si="10"/>
        <v>71</v>
      </c>
      <c r="AH16" s="11">
        <f t="shared" ref="AH16" si="24">AF16-AG16</f>
        <v>0.5</v>
      </c>
      <c r="AI16" s="11"/>
    </row>
    <row r="17" spans="1:35">
      <c r="A17" s="102" t="s">
        <v>1731</v>
      </c>
      <c r="B17" s="106" t="s">
        <v>144</v>
      </c>
      <c r="C17" s="96">
        <v>10000</v>
      </c>
      <c r="D17" s="96">
        <v>10000</v>
      </c>
      <c r="E17" s="96" t="s">
        <v>21</v>
      </c>
      <c r="F17" s="96">
        <v>209</v>
      </c>
      <c r="G17" s="107">
        <v>75</v>
      </c>
      <c r="H17" s="15">
        <v>62.5</v>
      </c>
      <c r="I17" s="107">
        <v>36</v>
      </c>
      <c r="J17" s="15">
        <f t="shared" si="12"/>
        <v>12.5</v>
      </c>
      <c r="K17" s="16">
        <v>6.5</v>
      </c>
      <c r="L17" s="16">
        <v>28</v>
      </c>
      <c r="M17" s="16">
        <v>71</v>
      </c>
      <c r="N17" s="16">
        <f t="shared" si="0"/>
        <v>99</v>
      </c>
      <c r="O17" s="16">
        <f t="shared" si="1"/>
        <v>57.5</v>
      </c>
      <c r="P17" s="107">
        <v>10</v>
      </c>
      <c r="Q17" s="362">
        <f t="shared" si="2"/>
        <v>74</v>
      </c>
      <c r="R17" s="77">
        <f t="shared" si="3"/>
        <v>209</v>
      </c>
      <c r="S17" s="172">
        <f t="shared" si="4"/>
        <v>284</v>
      </c>
      <c r="T17" s="84">
        <v>110</v>
      </c>
      <c r="U17" s="85" t="s">
        <v>26</v>
      </c>
      <c r="V17" s="304" t="s">
        <v>1760</v>
      </c>
      <c r="W17" s="120">
        <f t="shared" si="5"/>
        <v>5000</v>
      </c>
      <c r="X17" s="121">
        <f t="shared" si="6"/>
        <v>2500</v>
      </c>
      <c r="Y17" s="122">
        <f t="shared" si="7"/>
        <v>1250</v>
      </c>
      <c r="Z17" s="305"/>
      <c r="AA17" s="305" t="s">
        <v>1759</v>
      </c>
      <c r="AB17" s="347">
        <v>59</v>
      </c>
      <c r="AC17" s="348">
        <f t="shared" si="8"/>
        <v>71</v>
      </c>
      <c r="AD17" s="12">
        <v>84.5</v>
      </c>
      <c r="AE17" s="348">
        <f t="shared" si="9"/>
        <v>86.5</v>
      </c>
      <c r="AF17" s="12">
        <v>72</v>
      </c>
      <c r="AG17" s="348">
        <f t="shared" si="10"/>
        <v>74</v>
      </c>
      <c r="AH17" s="11">
        <f t="shared" ref="AH17" si="25">AF17-AG17</f>
        <v>-2</v>
      </c>
      <c r="AI17" s="11"/>
    </row>
    <row r="18" spans="1:35" ht="15.75" thickBot="1">
      <c r="A18" s="158" t="s">
        <v>1732</v>
      </c>
      <c r="B18" s="159" t="s">
        <v>153</v>
      </c>
      <c r="C18" s="160">
        <v>10000</v>
      </c>
      <c r="D18" s="160">
        <v>10000</v>
      </c>
      <c r="E18" s="160" t="s">
        <v>21</v>
      </c>
      <c r="F18" s="160">
        <v>209</v>
      </c>
      <c r="G18" s="161">
        <v>75</v>
      </c>
      <c r="H18" s="162">
        <v>62.5</v>
      </c>
      <c r="I18" s="161">
        <v>36</v>
      </c>
      <c r="J18" s="162">
        <f t="shared" si="12"/>
        <v>12.5</v>
      </c>
      <c r="K18" s="163">
        <v>6.5</v>
      </c>
      <c r="L18" s="163">
        <v>22</v>
      </c>
      <c r="M18" s="163">
        <v>71</v>
      </c>
      <c r="N18" s="163">
        <f t="shared" si="0"/>
        <v>93</v>
      </c>
      <c r="O18" s="163">
        <f t="shared" si="1"/>
        <v>68.5</v>
      </c>
      <c r="P18" s="161">
        <v>5</v>
      </c>
      <c r="Q18" s="363">
        <f t="shared" si="2"/>
        <v>80</v>
      </c>
      <c r="R18" s="164">
        <f t="shared" si="3"/>
        <v>209</v>
      </c>
      <c r="S18" s="178">
        <f t="shared" si="4"/>
        <v>284</v>
      </c>
      <c r="T18" s="165">
        <v>110</v>
      </c>
      <c r="U18" s="166" t="s">
        <v>26</v>
      </c>
      <c r="V18" s="304" t="s">
        <v>1760</v>
      </c>
      <c r="W18" s="184" t="str">
        <f t="shared" si="5"/>
        <v>N/A</v>
      </c>
      <c r="X18" s="185" t="str">
        <f t="shared" si="6"/>
        <v>N/A</v>
      </c>
      <c r="Y18" s="186" t="str">
        <f t="shared" si="7"/>
        <v>N/A</v>
      </c>
      <c r="Z18" s="305" t="s">
        <v>176</v>
      </c>
      <c r="AA18" s="305" t="s">
        <v>1759</v>
      </c>
      <c r="AB18" s="347">
        <v>59</v>
      </c>
      <c r="AC18" s="348">
        <f t="shared" si="8"/>
        <v>71</v>
      </c>
      <c r="AD18" s="12">
        <v>90.5</v>
      </c>
      <c r="AE18" s="348">
        <f t="shared" si="9"/>
        <v>92.5</v>
      </c>
      <c r="AF18" s="12">
        <v>78</v>
      </c>
      <c r="AG18" s="348">
        <f t="shared" si="10"/>
        <v>80</v>
      </c>
      <c r="AH18" s="11">
        <f t="shared" ref="AH18" si="26">AF18-AG18</f>
        <v>-2</v>
      </c>
      <c r="AI18" s="11"/>
    </row>
    <row r="19" spans="1:35" ht="15.75" thickTop="1">
      <c r="A19" s="155" t="s">
        <v>168</v>
      </c>
      <c r="B19" s="156" t="s">
        <v>154</v>
      </c>
      <c r="C19" s="98">
        <v>10000</v>
      </c>
      <c r="D19" s="98">
        <v>2000</v>
      </c>
      <c r="E19" s="98">
        <v>9000</v>
      </c>
      <c r="F19" s="98">
        <v>48</v>
      </c>
      <c r="G19" s="157">
        <v>50</v>
      </c>
      <c r="H19" s="9">
        <v>50</v>
      </c>
      <c r="I19" s="157">
        <v>7.5</v>
      </c>
      <c r="J19" s="9">
        <f t="shared" si="12"/>
        <v>0</v>
      </c>
      <c r="K19" s="10">
        <v>6.5</v>
      </c>
      <c r="L19" s="10">
        <v>28</v>
      </c>
      <c r="M19" s="10"/>
      <c r="N19" s="10">
        <f t="shared" si="0"/>
        <v>28</v>
      </c>
      <c r="O19" s="10">
        <f t="shared" si="1"/>
        <v>6</v>
      </c>
      <c r="P19" s="157"/>
      <c r="Q19" s="364">
        <f t="shared" si="2"/>
        <v>12.5</v>
      </c>
      <c r="R19" s="75">
        <f t="shared" si="3"/>
        <v>48</v>
      </c>
      <c r="S19" s="179">
        <f t="shared" si="4"/>
        <v>98</v>
      </c>
      <c r="T19" s="90"/>
      <c r="U19" s="91"/>
      <c r="V19" s="86"/>
      <c r="W19" s="129">
        <f t="shared" si="5"/>
        <v>5000</v>
      </c>
      <c r="X19" s="130">
        <f t="shared" si="6"/>
        <v>2500</v>
      </c>
      <c r="Y19" s="131">
        <f t="shared" si="7"/>
        <v>1250</v>
      </c>
      <c r="Z19" s="305"/>
      <c r="AA19" s="305"/>
      <c r="AB19" s="346"/>
      <c r="AC19" s="346"/>
      <c r="AD19" s="12">
        <v>12.5</v>
      </c>
      <c r="AE19" s="348">
        <f t="shared" si="9"/>
        <v>12.5</v>
      </c>
      <c r="AF19" s="12">
        <v>12.5</v>
      </c>
      <c r="AG19" s="348">
        <f t="shared" si="10"/>
        <v>12.5</v>
      </c>
    </row>
    <row r="20" spans="1:35">
      <c r="A20" s="102" t="s">
        <v>169</v>
      </c>
      <c r="B20" s="104" t="s">
        <v>155</v>
      </c>
      <c r="C20" s="63">
        <v>10000</v>
      </c>
      <c r="D20" s="63">
        <v>2000</v>
      </c>
      <c r="E20" s="63">
        <v>9000</v>
      </c>
      <c r="F20" s="63">
        <v>48</v>
      </c>
      <c r="G20" s="105">
        <v>50</v>
      </c>
      <c r="H20" s="13">
        <v>50</v>
      </c>
      <c r="I20" s="105">
        <v>7.5</v>
      </c>
      <c r="J20" s="13">
        <f t="shared" si="12"/>
        <v>0</v>
      </c>
      <c r="K20" s="14">
        <v>6.5</v>
      </c>
      <c r="L20" s="14">
        <v>22</v>
      </c>
      <c r="M20" s="14"/>
      <c r="N20" s="14">
        <f t="shared" si="0"/>
        <v>22</v>
      </c>
      <c r="O20" s="14">
        <f t="shared" si="1"/>
        <v>12</v>
      </c>
      <c r="P20" s="105"/>
      <c r="Q20" s="71">
        <f t="shared" si="2"/>
        <v>18.5</v>
      </c>
      <c r="R20" s="76">
        <f t="shared" si="3"/>
        <v>48</v>
      </c>
      <c r="S20" s="175">
        <f t="shared" si="4"/>
        <v>98</v>
      </c>
      <c r="T20" s="82"/>
      <c r="U20" s="83"/>
      <c r="V20" s="86"/>
      <c r="W20" s="115" t="str">
        <f t="shared" si="5"/>
        <v>N/A</v>
      </c>
      <c r="X20" s="88" t="str">
        <f t="shared" si="6"/>
        <v>N/A</v>
      </c>
      <c r="Y20" s="116" t="str">
        <f t="shared" si="7"/>
        <v>N/A</v>
      </c>
      <c r="Z20" s="305" t="s">
        <v>176</v>
      </c>
      <c r="AA20" s="305"/>
      <c r="AB20" s="346"/>
      <c r="AC20" s="346"/>
      <c r="AD20" s="12">
        <v>18.5</v>
      </c>
      <c r="AE20" s="348">
        <f t="shared" si="9"/>
        <v>18.5</v>
      </c>
      <c r="AF20" s="12">
        <v>18.5</v>
      </c>
      <c r="AG20" s="348">
        <f t="shared" si="10"/>
        <v>18.5</v>
      </c>
    </row>
    <row r="21" spans="1:35">
      <c r="A21" s="102" t="s">
        <v>171</v>
      </c>
      <c r="B21" s="104" t="s">
        <v>156</v>
      </c>
      <c r="C21" s="63">
        <v>14000</v>
      </c>
      <c r="D21" s="63">
        <v>3000</v>
      </c>
      <c r="E21" s="63">
        <v>12600</v>
      </c>
      <c r="F21" s="63">
        <v>78</v>
      </c>
      <c r="G21" s="105">
        <v>50</v>
      </c>
      <c r="H21" s="13">
        <v>50</v>
      </c>
      <c r="I21" s="105">
        <v>17</v>
      </c>
      <c r="J21" s="13">
        <f t="shared" si="12"/>
        <v>0</v>
      </c>
      <c r="K21" s="14">
        <v>6.5</v>
      </c>
      <c r="L21" s="14">
        <v>39</v>
      </c>
      <c r="M21" s="14"/>
      <c r="N21" s="14">
        <f t="shared" si="0"/>
        <v>39</v>
      </c>
      <c r="O21" s="14">
        <f t="shared" si="1"/>
        <v>15.5</v>
      </c>
      <c r="P21" s="105"/>
      <c r="Q21" s="71">
        <f t="shared" si="2"/>
        <v>22</v>
      </c>
      <c r="R21" s="76">
        <f t="shared" si="3"/>
        <v>78</v>
      </c>
      <c r="S21" s="175">
        <f t="shared" si="4"/>
        <v>128</v>
      </c>
      <c r="T21" s="82"/>
      <c r="U21" s="83"/>
      <c r="V21" s="86"/>
      <c r="W21" s="115">
        <f t="shared" si="5"/>
        <v>7000</v>
      </c>
      <c r="X21" s="88">
        <f t="shared" si="6"/>
        <v>3500</v>
      </c>
      <c r="Y21" s="116">
        <f t="shared" si="7"/>
        <v>1750</v>
      </c>
      <c r="Z21" s="305"/>
      <c r="AA21" s="305"/>
      <c r="AB21" s="346"/>
      <c r="AC21" s="346"/>
      <c r="AD21" s="12">
        <v>22</v>
      </c>
      <c r="AE21" s="348">
        <f t="shared" si="9"/>
        <v>22</v>
      </c>
      <c r="AF21" s="12">
        <v>22</v>
      </c>
      <c r="AG21" s="348">
        <f t="shared" si="10"/>
        <v>22</v>
      </c>
    </row>
    <row r="22" spans="1:35">
      <c r="A22" s="102" t="s">
        <v>170</v>
      </c>
      <c r="B22" s="104" t="s">
        <v>1350</v>
      </c>
      <c r="C22" s="63">
        <v>14000</v>
      </c>
      <c r="D22" s="63">
        <v>3000</v>
      </c>
      <c r="E22" s="63">
        <v>12600</v>
      </c>
      <c r="F22" s="63">
        <v>78</v>
      </c>
      <c r="G22" s="105">
        <v>50</v>
      </c>
      <c r="H22" s="13">
        <v>50</v>
      </c>
      <c r="I22" s="105">
        <v>17</v>
      </c>
      <c r="J22" s="13">
        <f t="shared" si="12"/>
        <v>0</v>
      </c>
      <c r="K22" s="14">
        <v>6.5</v>
      </c>
      <c r="L22" s="14">
        <v>30</v>
      </c>
      <c r="M22" s="14"/>
      <c r="N22" s="14">
        <f t="shared" si="0"/>
        <v>30</v>
      </c>
      <c r="O22" s="14">
        <f t="shared" si="1"/>
        <v>24.5</v>
      </c>
      <c r="P22" s="105"/>
      <c r="Q22" s="71">
        <f t="shared" si="2"/>
        <v>31</v>
      </c>
      <c r="R22" s="76">
        <f t="shared" si="3"/>
        <v>78</v>
      </c>
      <c r="S22" s="175">
        <f t="shared" si="4"/>
        <v>128</v>
      </c>
      <c r="T22" s="82"/>
      <c r="U22" s="83"/>
      <c r="V22" s="86"/>
      <c r="W22" s="115" t="str">
        <f t="shared" si="5"/>
        <v>N/A</v>
      </c>
      <c r="X22" s="88" t="str">
        <f t="shared" si="6"/>
        <v>N/A</v>
      </c>
      <c r="Y22" s="116" t="str">
        <f t="shared" si="7"/>
        <v>N/A</v>
      </c>
      <c r="Z22" s="305" t="s">
        <v>176</v>
      </c>
      <c r="AA22" s="305"/>
      <c r="AB22" s="346"/>
      <c r="AC22" s="346"/>
      <c r="AD22" s="12">
        <v>31</v>
      </c>
      <c r="AE22" s="348">
        <f t="shared" si="9"/>
        <v>31</v>
      </c>
      <c r="AF22" s="12">
        <v>31</v>
      </c>
      <c r="AG22" s="348">
        <f t="shared" si="10"/>
        <v>31</v>
      </c>
    </row>
    <row r="23" spans="1:35">
      <c r="A23" s="102" t="s">
        <v>1733</v>
      </c>
      <c r="B23" s="104" t="s">
        <v>157</v>
      </c>
      <c r="C23" s="63">
        <v>18000</v>
      </c>
      <c r="D23" s="63">
        <v>4000</v>
      </c>
      <c r="E23" s="63">
        <v>16200</v>
      </c>
      <c r="F23" s="63">
        <v>95</v>
      </c>
      <c r="G23" s="105">
        <v>50</v>
      </c>
      <c r="H23" s="13">
        <v>50</v>
      </c>
      <c r="I23" s="105">
        <v>21.5</v>
      </c>
      <c r="J23" s="13">
        <f t="shared" si="12"/>
        <v>0</v>
      </c>
      <c r="K23" s="14">
        <v>6.5</v>
      </c>
      <c r="L23" s="14">
        <v>50</v>
      </c>
      <c r="M23" s="14"/>
      <c r="N23" s="14">
        <f t="shared" si="0"/>
        <v>50</v>
      </c>
      <c r="O23" s="14">
        <f t="shared" si="1"/>
        <v>17</v>
      </c>
      <c r="P23" s="105"/>
      <c r="Q23" s="71">
        <f t="shared" si="2"/>
        <v>23.5</v>
      </c>
      <c r="R23" s="76">
        <f t="shared" si="3"/>
        <v>95</v>
      </c>
      <c r="S23" s="175">
        <f t="shared" si="4"/>
        <v>145</v>
      </c>
      <c r="T23" s="82"/>
      <c r="U23" s="83"/>
      <c r="V23" s="86"/>
      <c r="W23" s="115">
        <f t="shared" si="5"/>
        <v>9000</v>
      </c>
      <c r="X23" s="88">
        <f t="shared" si="6"/>
        <v>4500</v>
      </c>
      <c r="Y23" s="116">
        <f t="shared" si="7"/>
        <v>2250</v>
      </c>
      <c r="Z23" s="305"/>
      <c r="AA23" s="305"/>
      <c r="AB23" s="346"/>
      <c r="AC23" s="346"/>
      <c r="AD23" s="12">
        <v>23.5</v>
      </c>
      <c r="AE23" s="348">
        <f t="shared" si="9"/>
        <v>23.5</v>
      </c>
      <c r="AF23" s="12">
        <v>23.5</v>
      </c>
      <c r="AG23" s="348">
        <f t="shared" si="10"/>
        <v>23.5</v>
      </c>
    </row>
    <row r="24" spans="1:35" ht="15.75" thickBot="1">
      <c r="A24" s="158" t="s">
        <v>1734</v>
      </c>
      <c r="B24" s="147" t="s">
        <v>158</v>
      </c>
      <c r="C24" s="148">
        <v>18000</v>
      </c>
      <c r="D24" s="148">
        <v>4000</v>
      </c>
      <c r="E24" s="148">
        <v>16200</v>
      </c>
      <c r="F24" s="148">
        <v>95</v>
      </c>
      <c r="G24" s="149">
        <v>50</v>
      </c>
      <c r="H24" s="150">
        <v>50</v>
      </c>
      <c r="I24" s="149">
        <v>21.5</v>
      </c>
      <c r="J24" s="150">
        <f t="shared" si="12"/>
        <v>0</v>
      </c>
      <c r="K24" s="151">
        <v>6.5</v>
      </c>
      <c r="L24" s="151">
        <v>40</v>
      </c>
      <c r="M24" s="151"/>
      <c r="N24" s="151">
        <f t="shared" si="0"/>
        <v>40</v>
      </c>
      <c r="O24" s="151">
        <f t="shared" si="1"/>
        <v>27</v>
      </c>
      <c r="P24" s="149"/>
      <c r="Q24" s="360">
        <f t="shared" si="2"/>
        <v>33.5</v>
      </c>
      <c r="R24" s="152">
        <f t="shared" si="3"/>
        <v>95</v>
      </c>
      <c r="S24" s="176">
        <f t="shared" si="4"/>
        <v>145</v>
      </c>
      <c r="T24" s="153"/>
      <c r="U24" s="154"/>
      <c r="V24" s="86"/>
      <c r="W24" s="126" t="str">
        <f t="shared" si="5"/>
        <v>N/A</v>
      </c>
      <c r="X24" s="127" t="str">
        <f t="shared" si="6"/>
        <v>N/A</v>
      </c>
      <c r="Y24" s="128" t="str">
        <f t="shared" si="7"/>
        <v>N/A</v>
      </c>
      <c r="Z24" s="305" t="s">
        <v>176</v>
      </c>
      <c r="AA24" s="305"/>
      <c r="AB24" s="346"/>
      <c r="AC24" s="346"/>
      <c r="AD24" s="12">
        <v>33.5</v>
      </c>
      <c r="AE24" s="348">
        <f t="shared" si="9"/>
        <v>33.5</v>
      </c>
      <c r="AF24" s="12">
        <v>33.5</v>
      </c>
      <c r="AG24" s="348">
        <f t="shared" si="10"/>
        <v>33.5</v>
      </c>
    </row>
    <row r="25" spans="1:35" ht="15.75" thickTop="1">
      <c r="A25" s="155" t="s">
        <v>177</v>
      </c>
      <c r="B25" s="167" t="s">
        <v>159</v>
      </c>
      <c r="C25" s="168">
        <v>10000</v>
      </c>
      <c r="D25" s="168">
        <v>2000</v>
      </c>
      <c r="E25" s="168">
        <v>9000</v>
      </c>
      <c r="F25" s="168">
        <v>58</v>
      </c>
      <c r="G25" s="137">
        <v>50</v>
      </c>
      <c r="H25" s="136">
        <v>40</v>
      </c>
      <c r="I25" s="137">
        <v>16</v>
      </c>
      <c r="J25" s="136">
        <f t="shared" si="12"/>
        <v>10</v>
      </c>
      <c r="K25" s="132">
        <v>6.5</v>
      </c>
      <c r="L25" s="132">
        <v>28</v>
      </c>
      <c r="M25" s="132"/>
      <c r="N25" s="132">
        <f t="shared" si="0"/>
        <v>28</v>
      </c>
      <c r="O25" s="132">
        <f t="shared" si="1"/>
        <v>7.5</v>
      </c>
      <c r="P25" s="137"/>
      <c r="Q25" s="365">
        <f t="shared" si="2"/>
        <v>14</v>
      </c>
      <c r="R25" s="169">
        <f t="shared" si="3"/>
        <v>58</v>
      </c>
      <c r="S25" s="180">
        <f t="shared" si="4"/>
        <v>108</v>
      </c>
      <c r="T25" s="136"/>
      <c r="U25" s="137"/>
      <c r="V25" s="86"/>
      <c r="W25" s="187">
        <f t="shared" si="5"/>
        <v>5000</v>
      </c>
      <c r="X25" s="188">
        <f t="shared" si="6"/>
        <v>2500</v>
      </c>
      <c r="Y25" s="189">
        <f t="shared" si="7"/>
        <v>1250</v>
      </c>
      <c r="Z25" s="305"/>
      <c r="AA25" s="305"/>
      <c r="AB25" s="346"/>
      <c r="AC25" s="346"/>
      <c r="AD25" s="12">
        <v>24</v>
      </c>
      <c r="AE25" s="348">
        <f t="shared" si="9"/>
        <v>24</v>
      </c>
      <c r="AF25" s="12">
        <v>14</v>
      </c>
      <c r="AG25" s="348">
        <f t="shared" si="10"/>
        <v>14</v>
      </c>
    </row>
    <row r="26" spans="1:35">
      <c r="A26" s="102" t="s">
        <v>178</v>
      </c>
      <c r="B26" s="108" t="s">
        <v>160</v>
      </c>
      <c r="C26" s="97">
        <v>10000</v>
      </c>
      <c r="D26" s="97">
        <v>2000</v>
      </c>
      <c r="E26" s="97">
        <v>9000</v>
      </c>
      <c r="F26" s="97">
        <v>58</v>
      </c>
      <c r="G26" s="109">
        <v>50</v>
      </c>
      <c r="H26" s="48">
        <v>40</v>
      </c>
      <c r="I26" s="109">
        <v>16</v>
      </c>
      <c r="J26" s="48">
        <f t="shared" si="12"/>
        <v>10</v>
      </c>
      <c r="K26" s="49">
        <v>6.5</v>
      </c>
      <c r="L26" s="49">
        <v>22</v>
      </c>
      <c r="M26" s="49"/>
      <c r="N26" s="49">
        <f t="shared" si="0"/>
        <v>22</v>
      </c>
      <c r="O26" s="49">
        <f t="shared" si="1"/>
        <v>13.5</v>
      </c>
      <c r="P26" s="109"/>
      <c r="Q26" s="366">
        <f t="shared" si="2"/>
        <v>20</v>
      </c>
      <c r="R26" s="78">
        <f t="shared" si="3"/>
        <v>58</v>
      </c>
      <c r="S26" s="181">
        <f t="shared" si="4"/>
        <v>108</v>
      </c>
      <c r="T26" s="136"/>
      <c r="U26" s="137"/>
      <c r="V26" s="86"/>
      <c r="W26" s="190" t="str">
        <f t="shared" si="5"/>
        <v>N/A</v>
      </c>
      <c r="X26" s="191" t="str">
        <f t="shared" si="6"/>
        <v>N/A</v>
      </c>
      <c r="Y26" s="192" t="str">
        <f t="shared" si="7"/>
        <v>N/A</v>
      </c>
      <c r="Z26" s="305" t="s">
        <v>176</v>
      </c>
      <c r="AA26" s="305"/>
      <c r="AB26" s="346"/>
      <c r="AC26" s="346"/>
      <c r="AD26" s="12">
        <v>30</v>
      </c>
      <c r="AE26" s="348">
        <f t="shared" si="9"/>
        <v>30</v>
      </c>
      <c r="AF26" s="12">
        <v>20</v>
      </c>
      <c r="AG26" s="348">
        <f t="shared" si="10"/>
        <v>20</v>
      </c>
    </row>
    <row r="27" spans="1:35">
      <c r="A27" s="102" t="s">
        <v>179</v>
      </c>
      <c r="B27" s="108" t="s">
        <v>161</v>
      </c>
      <c r="C27" s="97">
        <v>14000</v>
      </c>
      <c r="D27" s="97">
        <v>14000</v>
      </c>
      <c r="E27" s="97">
        <v>12600</v>
      </c>
      <c r="F27" s="97">
        <v>88</v>
      </c>
      <c r="G27" s="109">
        <v>50</v>
      </c>
      <c r="H27" s="48">
        <v>40</v>
      </c>
      <c r="I27" s="109">
        <v>20</v>
      </c>
      <c r="J27" s="48">
        <f t="shared" si="12"/>
        <v>10</v>
      </c>
      <c r="K27" s="49">
        <v>6.5</v>
      </c>
      <c r="L27" s="49">
        <v>39</v>
      </c>
      <c r="M27" s="49"/>
      <c r="N27" s="49">
        <f t="shared" si="0"/>
        <v>39</v>
      </c>
      <c r="O27" s="49">
        <f t="shared" si="1"/>
        <v>22.5</v>
      </c>
      <c r="P27" s="109"/>
      <c r="Q27" s="366">
        <f t="shared" si="2"/>
        <v>29</v>
      </c>
      <c r="R27" s="78">
        <f t="shared" si="3"/>
        <v>88</v>
      </c>
      <c r="S27" s="181">
        <f t="shared" si="4"/>
        <v>138</v>
      </c>
      <c r="T27" s="136"/>
      <c r="U27" s="137"/>
      <c r="V27" s="86"/>
      <c r="W27" s="190">
        <f t="shared" si="5"/>
        <v>7000</v>
      </c>
      <c r="X27" s="191">
        <f t="shared" si="6"/>
        <v>3500</v>
      </c>
      <c r="Y27" s="192">
        <f t="shared" si="7"/>
        <v>1750</v>
      </c>
      <c r="Z27" s="305"/>
      <c r="AA27" s="305"/>
      <c r="AB27" s="346"/>
      <c r="AC27" s="346"/>
      <c r="AD27" s="12">
        <v>39</v>
      </c>
      <c r="AE27" s="348">
        <f t="shared" si="9"/>
        <v>39</v>
      </c>
      <c r="AF27" s="12">
        <v>29</v>
      </c>
      <c r="AG27" s="348">
        <f t="shared" si="10"/>
        <v>29</v>
      </c>
    </row>
    <row r="28" spans="1:35">
      <c r="A28" s="102" t="s">
        <v>180</v>
      </c>
      <c r="B28" s="108" t="s">
        <v>162</v>
      </c>
      <c r="C28" s="97">
        <v>14000</v>
      </c>
      <c r="D28" s="97">
        <v>14000</v>
      </c>
      <c r="E28" s="97">
        <v>12600</v>
      </c>
      <c r="F28" s="97">
        <v>88</v>
      </c>
      <c r="G28" s="109">
        <v>50</v>
      </c>
      <c r="H28" s="48">
        <v>40</v>
      </c>
      <c r="I28" s="109">
        <v>20</v>
      </c>
      <c r="J28" s="48">
        <f t="shared" si="12"/>
        <v>10</v>
      </c>
      <c r="K28" s="49">
        <v>6.5</v>
      </c>
      <c r="L28" s="49">
        <v>30</v>
      </c>
      <c r="M28" s="49"/>
      <c r="N28" s="49">
        <f t="shared" si="0"/>
        <v>30</v>
      </c>
      <c r="O28" s="49">
        <f t="shared" si="1"/>
        <v>31.5</v>
      </c>
      <c r="P28" s="109"/>
      <c r="Q28" s="366">
        <f t="shared" si="2"/>
        <v>38</v>
      </c>
      <c r="R28" s="78">
        <f t="shared" si="3"/>
        <v>88</v>
      </c>
      <c r="S28" s="181">
        <f t="shared" si="4"/>
        <v>138</v>
      </c>
      <c r="T28" s="136"/>
      <c r="U28" s="137"/>
      <c r="V28" s="86"/>
      <c r="W28" s="190" t="str">
        <f t="shared" si="5"/>
        <v>N/A</v>
      </c>
      <c r="X28" s="191" t="str">
        <f t="shared" si="6"/>
        <v>N/A</v>
      </c>
      <c r="Y28" s="192" t="str">
        <f t="shared" si="7"/>
        <v>N/A</v>
      </c>
      <c r="Z28" s="305" t="s">
        <v>176</v>
      </c>
      <c r="AA28" s="305"/>
      <c r="AB28" s="346"/>
      <c r="AC28" s="346"/>
      <c r="AD28" s="12">
        <v>48</v>
      </c>
      <c r="AE28" s="348">
        <f t="shared" si="9"/>
        <v>48</v>
      </c>
      <c r="AF28" s="12">
        <v>38</v>
      </c>
      <c r="AG28" s="348">
        <f t="shared" si="10"/>
        <v>38</v>
      </c>
    </row>
    <row r="29" spans="1:35">
      <c r="A29" s="102" t="s">
        <v>181</v>
      </c>
      <c r="B29" s="108" t="s">
        <v>163</v>
      </c>
      <c r="C29" s="97">
        <v>18000</v>
      </c>
      <c r="D29" s="97">
        <v>18000</v>
      </c>
      <c r="E29" s="97">
        <v>16200</v>
      </c>
      <c r="F29" s="97">
        <v>105</v>
      </c>
      <c r="G29" s="109">
        <v>50</v>
      </c>
      <c r="H29" s="48">
        <v>40</v>
      </c>
      <c r="I29" s="109">
        <v>22.5</v>
      </c>
      <c r="J29" s="48">
        <f t="shared" si="12"/>
        <v>10</v>
      </c>
      <c r="K29" s="49">
        <v>6.5</v>
      </c>
      <c r="L29" s="49">
        <v>50</v>
      </c>
      <c r="M29" s="49"/>
      <c r="N29" s="49">
        <f t="shared" si="0"/>
        <v>50</v>
      </c>
      <c r="O29" s="49">
        <f t="shared" si="1"/>
        <v>26</v>
      </c>
      <c r="P29" s="109"/>
      <c r="Q29" s="366">
        <f t="shared" si="2"/>
        <v>32.5</v>
      </c>
      <c r="R29" s="78">
        <f t="shared" si="3"/>
        <v>105</v>
      </c>
      <c r="S29" s="181">
        <f t="shared" si="4"/>
        <v>155</v>
      </c>
      <c r="T29" s="136"/>
      <c r="U29" s="137"/>
      <c r="V29" s="86"/>
      <c r="W29" s="190">
        <f t="shared" si="5"/>
        <v>9000</v>
      </c>
      <c r="X29" s="191">
        <f t="shared" si="6"/>
        <v>4500</v>
      </c>
      <c r="Y29" s="192">
        <f t="shared" si="7"/>
        <v>2250</v>
      </c>
      <c r="Z29" s="305"/>
      <c r="AA29" s="305"/>
      <c r="AB29" s="346"/>
      <c r="AC29" s="346"/>
      <c r="AD29" s="12">
        <v>42.5</v>
      </c>
      <c r="AE29" s="348">
        <f t="shared" si="9"/>
        <v>42.5</v>
      </c>
      <c r="AF29" s="12">
        <v>32.5</v>
      </c>
      <c r="AG29" s="348">
        <f t="shared" si="10"/>
        <v>32.5</v>
      </c>
    </row>
    <row r="30" spans="1:35">
      <c r="A30" s="102" t="s">
        <v>182</v>
      </c>
      <c r="B30" s="108" t="s">
        <v>164</v>
      </c>
      <c r="C30" s="97">
        <v>18000</v>
      </c>
      <c r="D30" s="97">
        <v>18000</v>
      </c>
      <c r="E30" s="97">
        <v>16200</v>
      </c>
      <c r="F30" s="97">
        <v>105</v>
      </c>
      <c r="G30" s="109">
        <v>50</v>
      </c>
      <c r="H30" s="48">
        <v>40</v>
      </c>
      <c r="I30" s="109">
        <v>22.5</v>
      </c>
      <c r="J30" s="48">
        <f t="shared" si="12"/>
        <v>10</v>
      </c>
      <c r="K30" s="49">
        <v>6.5</v>
      </c>
      <c r="L30" s="49">
        <v>40</v>
      </c>
      <c r="M30" s="49"/>
      <c r="N30" s="49">
        <f t="shared" si="0"/>
        <v>40</v>
      </c>
      <c r="O30" s="49">
        <f t="shared" si="1"/>
        <v>36</v>
      </c>
      <c r="P30" s="109"/>
      <c r="Q30" s="367">
        <f t="shared" si="2"/>
        <v>42.5</v>
      </c>
      <c r="R30" s="351">
        <f t="shared" si="3"/>
        <v>105</v>
      </c>
      <c r="S30" s="351">
        <f t="shared" si="4"/>
        <v>155</v>
      </c>
      <c r="T30" s="49"/>
      <c r="U30" s="49"/>
      <c r="V30" s="345"/>
      <c r="W30" s="191" t="str">
        <f t="shared" si="5"/>
        <v>N/A</v>
      </c>
      <c r="X30" s="191" t="str">
        <f t="shared" si="6"/>
        <v>N/A</v>
      </c>
      <c r="Y30" s="191" t="str">
        <f t="shared" si="7"/>
        <v>N/A</v>
      </c>
      <c r="Z30" s="305" t="s">
        <v>176</v>
      </c>
      <c r="AA30" s="305"/>
      <c r="AB30" s="346"/>
      <c r="AC30" s="346"/>
      <c r="AD30" s="12">
        <v>52.5</v>
      </c>
      <c r="AE30" s="348">
        <f t="shared" si="9"/>
        <v>52.5</v>
      </c>
      <c r="AF30" s="12">
        <v>42.5</v>
      </c>
      <c r="AG30" s="348">
        <f t="shared" si="10"/>
        <v>42.5</v>
      </c>
    </row>
    <row r="31" spans="1:35">
      <c r="A31" s="102" t="s">
        <v>1842</v>
      </c>
      <c r="B31" s="108" t="s">
        <v>1840</v>
      </c>
      <c r="C31" s="97">
        <v>6000</v>
      </c>
      <c r="D31" s="97">
        <v>6000</v>
      </c>
      <c r="E31" s="97">
        <v>5400</v>
      </c>
      <c r="F31" s="97">
        <v>50</v>
      </c>
      <c r="G31" s="109">
        <v>50</v>
      </c>
      <c r="H31" s="48">
        <v>40</v>
      </c>
      <c r="I31" s="109"/>
      <c r="J31" s="48">
        <f t="shared" si="12"/>
        <v>10</v>
      </c>
      <c r="K31" s="49">
        <v>6.5</v>
      </c>
      <c r="L31" s="49">
        <v>42</v>
      </c>
      <c r="M31" s="49"/>
      <c r="N31" s="49">
        <v>40</v>
      </c>
      <c r="O31" s="49">
        <f t="shared" si="1"/>
        <v>3.5</v>
      </c>
      <c r="P31" s="109"/>
      <c r="Q31" s="367">
        <f t="shared" ref="Q31:Q32" si="27">K31+O31+P31</f>
        <v>10</v>
      </c>
      <c r="R31" s="351">
        <f t="shared" ref="R31:R32" si="28">Q31+N31+I31</f>
        <v>50</v>
      </c>
      <c r="S31" s="351">
        <f t="shared" ref="S31:S32" si="29">R31+G31</f>
        <v>100</v>
      </c>
      <c r="T31" s="49"/>
      <c r="U31" s="49"/>
      <c r="V31" s="345"/>
      <c r="W31" s="191"/>
      <c r="X31" s="191"/>
      <c r="Y31" s="191"/>
      <c r="Z31" s="305"/>
      <c r="AA31" s="305"/>
      <c r="AB31" s="346"/>
      <c r="AC31" s="346"/>
      <c r="AD31" s="12"/>
      <c r="AE31" s="348"/>
      <c r="AF31" s="12"/>
      <c r="AG31" s="348"/>
    </row>
    <row r="32" spans="1:35" ht="15.75" thickBot="1">
      <c r="A32" s="158" t="s">
        <v>1843</v>
      </c>
      <c r="B32" s="170" t="s">
        <v>1841</v>
      </c>
      <c r="C32" s="171">
        <v>8000</v>
      </c>
      <c r="D32" s="171">
        <v>8000</v>
      </c>
      <c r="E32" s="171">
        <v>7200</v>
      </c>
      <c r="F32" s="171">
        <v>95</v>
      </c>
      <c r="G32" s="139">
        <v>50</v>
      </c>
      <c r="H32" s="138">
        <v>40</v>
      </c>
      <c r="I32" s="139"/>
      <c r="J32" s="138">
        <f t="shared" si="12"/>
        <v>10</v>
      </c>
      <c r="K32" s="133">
        <v>6.5</v>
      </c>
      <c r="L32" s="133">
        <v>50</v>
      </c>
      <c r="M32" s="133"/>
      <c r="N32" s="133">
        <f t="shared" si="0"/>
        <v>50</v>
      </c>
      <c r="O32" s="133">
        <f t="shared" si="1"/>
        <v>38.5</v>
      </c>
      <c r="P32" s="139"/>
      <c r="Q32" s="369">
        <f t="shared" si="27"/>
        <v>45</v>
      </c>
      <c r="R32" s="370">
        <f t="shared" si="28"/>
        <v>95</v>
      </c>
      <c r="S32" s="370">
        <f t="shared" si="29"/>
        <v>145</v>
      </c>
      <c r="T32" s="133"/>
      <c r="U32" s="133"/>
      <c r="V32" s="371"/>
      <c r="W32" s="193"/>
      <c r="X32" s="193"/>
      <c r="Y32" s="193"/>
      <c r="Z32" s="305"/>
      <c r="AA32" s="305"/>
      <c r="AB32" s="346"/>
      <c r="AC32" s="346"/>
      <c r="AD32" s="12"/>
      <c r="AE32" s="348"/>
      <c r="AF32" s="12"/>
      <c r="AG32" s="348"/>
    </row>
    <row r="33" spans="1:34" ht="15.75" thickTop="1">
      <c r="A33" s="155"/>
      <c r="B33" s="156" t="s">
        <v>27</v>
      </c>
      <c r="C33" s="98">
        <v>6000</v>
      </c>
      <c r="D33" s="98">
        <v>0</v>
      </c>
      <c r="E33" s="98">
        <v>5400</v>
      </c>
      <c r="F33" s="98">
        <v>50</v>
      </c>
      <c r="G33" s="157">
        <v>0</v>
      </c>
      <c r="H33" s="9">
        <v>0</v>
      </c>
      <c r="I33" s="157">
        <v>4</v>
      </c>
      <c r="J33" s="9">
        <f t="shared" si="12"/>
        <v>0</v>
      </c>
      <c r="K33" s="10">
        <v>0</v>
      </c>
      <c r="L33" s="10">
        <v>42</v>
      </c>
      <c r="M33" s="10"/>
      <c r="N33" s="10">
        <f t="shared" si="0"/>
        <v>42</v>
      </c>
      <c r="O33" s="10">
        <f t="shared" si="1"/>
        <v>4</v>
      </c>
      <c r="P33" s="157"/>
      <c r="Q33" s="364">
        <f t="shared" si="2"/>
        <v>4</v>
      </c>
      <c r="R33" s="75">
        <f t="shared" si="3"/>
        <v>50</v>
      </c>
      <c r="S33" s="179">
        <f t="shared" si="4"/>
        <v>50</v>
      </c>
      <c r="T33" s="372"/>
      <c r="U33" s="373"/>
      <c r="V33" s="374"/>
      <c r="W33" s="375" t="s">
        <v>23</v>
      </c>
      <c r="X33" s="376" t="s">
        <v>23</v>
      </c>
      <c r="Y33" s="377" t="s">
        <v>23</v>
      </c>
      <c r="Z33" s="305"/>
      <c r="AA33" s="305"/>
      <c r="AB33" s="346"/>
      <c r="AC33" s="346"/>
      <c r="AD33" s="12">
        <v>4</v>
      </c>
      <c r="AE33" s="348">
        <f t="shared" si="9"/>
        <v>4</v>
      </c>
      <c r="AF33" s="12">
        <v>4</v>
      </c>
      <c r="AG33" s="348">
        <f t="shared" si="10"/>
        <v>4</v>
      </c>
    </row>
    <row r="34" spans="1:34">
      <c r="A34" s="102" t="s">
        <v>172</v>
      </c>
      <c r="B34" s="106" t="s">
        <v>165</v>
      </c>
      <c r="C34" s="96">
        <v>5000</v>
      </c>
      <c r="D34" s="96">
        <v>5000</v>
      </c>
      <c r="E34" s="96" t="s">
        <v>21</v>
      </c>
      <c r="F34" s="96">
        <v>48</v>
      </c>
      <c r="G34" s="107">
        <v>50</v>
      </c>
      <c r="H34" s="15">
        <v>50</v>
      </c>
      <c r="I34" s="107">
        <v>7.5</v>
      </c>
      <c r="J34" s="15">
        <f t="shared" si="12"/>
        <v>0</v>
      </c>
      <c r="K34" s="16">
        <v>6.5</v>
      </c>
      <c r="L34" s="16">
        <v>15</v>
      </c>
      <c r="M34" s="16"/>
      <c r="N34" s="16">
        <f t="shared" si="0"/>
        <v>15</v>
      </c>
      <c r="O34" s="16">
        <f t="shared" si="1"/>
        <v>19</v>
      </c>
      <c r="P34" s="107"/>
      <c r="Q34" s="362">
        <f t="shared" si="2"/>
        <v>25.5</v>
      </c>
      <c r="R34" s="77">
        <f t="shared" si="3"/>
        <v>48</v>
      </c>
      <c r="S34" s="172">
        <f t="shared" si="4"/>
        <v>98</v>
      </c>
      <c r="T34" s="182"/>
      <c r="U34" s="183"/>
      <c r="V34" s="89"/>
      <c r="W34" s="123">
        <f t="shared" si="5"/>
        <v>2500</v>
      </c>
      <c r="X34" s="124">
        <f t="shared" si="6"/>
        <v>1250</v>
      </c>
      <c r="Y34" s="125">
        <f t="shared" si="7"/>
        <v>625</v>
      </c>
      <c r="Z34" s="305"/>
      <c r="AA34" s="305"/>
      <c r="AB34" s="346"/>
      <c r="AC34" s="346"/>
      <c r="AD34" s="12">
        <v>25.5</v>
      </c>
      <c r="AE34" s="348">
        <f t="shared" si="9"/>
        <v>25.5</v>
      </c>
      <c r="AF34" s="12">
        <v>25.5</v>
      </c>
      <c r="AG34" s="348">
        <f t="shared" si="10"/>
        <v>25.5</v>
      </c>
    </row>
    <row r="35" spans="1:34">
      <c r="A35" s="102" t="s">
        <v>173</v>
      </c>
      <c r="B35" s="106" t="s">
        <v>166</v>
      </c>
      <c r="C35" s="96">
        <v>5000</v>
      </c>
      <c r="D35" s="96">
        <v>5000</v>
      </c>
      <c r="E35" s="96" t="s">
        <v>21</v>
      </c>
      <c r="F35" s="96">
        <v>48</v>
      </c>
      <c r="G35" s="107">
        <v>50</v>
      </c>
      <c r="H35" s="15">
        <v>50</v>
      </c>
      <c r="I35" s="107">
        <v>7.5</v>
      </c>
      <c r="J35" s="15">
        <f t="shared" si="12"/>
        <v>0</v>
      </c>
      <c r="K35" s="16">
        <v>6.5</v>
      </c>
      <c r="L35" s="16">
        <v>9</v>
      </c>
      <c r="M35" s="16"/>
      <c r="N35" s="16">
        <f t="shared" si="0"/>
        <v>9</v>
      </c>
      <c r="O35" s="16">
        <f t="shared" si="1"/>
        <v>25</v>
      </c>
      <c r="P35" s="107"/>
      <c r="Q35" s="362">
        <f t="shared" si="2"/>
        <v>31.5</v>
      </c>
      <c r="R35" s="77">
        <f t="shared" si="3"/>
        <v>48</v>
      </c>
      <c r="S35" s="172">
        <f t="shared" si="4"/>
        <v>98</v>
      </c>
      <c r="T35" s="53"/>
      <c r="U35" s="17"/>
      <c r="V35" s="86"/>
      <c r="W35" s="120" t="str">
        <f t="shared" si="5"/>
        <v>N/A</v>
      </c>
      <c r="X35" s="121" t="str">
        <f t="shared" si="6"/>
        <v>N/A</v>
      </c>
      <c r="Y35" s="122" t="str">
        <f t="shared" si="7"/>
        <v>N/A</v>
      </c>
      <c r="Z35" s="305" t="s">
        <v>176</v>
      </c>
      <c r="AA35" s="305"/>
      <c r="AB35" s="346"/>
      <c r="AC35" s="346"/>
      <c r="AD35" s="12">
        <v>31.5</v>
      </c>
      <c r="AE35" s="348">
        <f t="shared" si="9"/>
        <v>31.5</v>
      </c>
      <c r="AF35" s="12">
        <v>31.5</v>
      </c>
      <c r="AG35" s="348">
        <f t="shared" si="10"/>
        <v>31.5</v>
      </c>
    </row>
    <row r="36" spans="1:34">
      <c r="A36" s="102" t="s">
        <v>174</v>
      </c>
      <c r="B36" s="106" t="s">
        <v>167</v>
      </c>
      <c r="C36" s="96">
        <v>10000</v>
      </c>
      <c r="D36" s="96">
        <v>10000</v>
      </c>
      <c r="E36" s="96" t="s">
        <v>21</v>
      </c>
      <c r="F36" s="96">
        <v>78</v>
      </c>
      <c r="G36" s="107">
        <v>50</v>
      </c>
      <c r="H36" s="15">
        <v>50</v>
      </c>
      <c r="I36" s="107">
        <v>17</v>
      </c>
      <c r="J36" s="15">
        <f t="shared" si="12"/>
        <v>0</v>
      </c>
      <c r="K36" s="16">
        <v>6.5</v>
      </c>
      <c r="L36" s="16">
        <v>28</v>
      </c>
      <c r="M36" s="16"/>
      <c r="N36" s="16">
        <f t="shared" si="0"/>
        <v>28</v>
      </c>
      <c r="O36" s="16">
        <f t="shared" si="1"/>
        <v>26.5</v>
      </c>
      <c r="P36" s="107"/>
      <c r="Q36" s="362">
        <f t="shared" si="2"/>
        <v>33</v>
      </c>
      <c r="R36" s="77">
        <f t="shared" si="3"/>
        <v>78</v>
      </c>
      <c r="S36" s="172">
        <f t="shared" si="4"/>
        <v>128</v>
      </c>
      <c r="T36" s="53"/>
      <c r="U36" s="17"/>
      <c r="V36" s="86"/>
      <c r="W36" s="120">
        <f t="shared" si="5"/>
        <v>5000</v>
      </c>
      <c r="X36" s="121">
        <f t="shared" si="6"/>
        <v>2500</v>
      </c>
      <c r="Y36" s="122">
        <f t="shared" si="7"/>
        <v>1250</v>
      </c>
      <c r="Z36" s="305"/>
      <c r="AA36" s="305"/>
      <c r="AB36" s="346"/>
      <c r="AC36" s="346"/>
      <c r="AD36" s="12">
        <v>33</v>
      </c>
      <c r="AE36" s="348">
        <f t="shared" si="9"/>
        <v>33</v>
      </c>
      <c r="AF36" s="12">
        <v>33</v>
      </c>
      <c r="AG36" s="348">
        <f t="shared" si="10"/>
        <v>33</v>
      </c>
    </row>
    <row r="37" spans="1:34" ht="15.75" thickBot="1">
      <c r="A37" s="102" t="s">
        <v>175</v>
      </c>
      <c r="B37" s="110" t="s">
        <v>28</v>
      </c>
      <c r="C37" s="111">
        <v>10000</v>
      </c>
      <c r="D37" s="111">
        <v>10000</v>
      </c>
      <c r="E37" s="111" t="s">
        <v>21</v>
      </c>
      <c r="F37" s="111">
        <v>78</v>
      </c>
      <c r="G37" s="112">
        <v>50</v>
      </c>
      <c r="H37" s="18">
        <v>50</v>
      </c>
      <c r="I37" s="112">
        <v>17</v>
      </c>
      <c r="J37" s="18">
        <f t="shared" si="12"/>
        <v>0</v>
      </c>
      <c r="K37" s="19">
        <v>6.5</v>
      </c>
      <c r="L37" s="19">
        <v>22</v>
      </c>
      <c r="M37" s="19"/>
      <c r="N37" s="19">
        <f t="shared" si="0"/>
        <v>22</v>
      </c>
      <c r="O37" s="19">
        <f t="shared" si="1"/>
        <v>32.5</v>
      </c>
      <c r="P37" s="112"/>
      <c r="Q37" s="368">
        <f t="shared" si="2"/>
        <v>39</v>
      </c>
      <c r="R37" s="79">
        <f t="shared" si="3"/>
        <v>78</v>
      </c>
      <c r="S37" s="173">
        <f t="shared" si="4"/>
        <v>128</v>
      </c>
      <c r="T37" s="54"/>
      <c r="U37" s="410"/>
      <c r="V37" s="411"/>
      <c r="W37" s="194" t="str">
        <f t="shared" si="5"/>
        <v>N/A</v>
      </c>
      <c r="X37" s="195" t="str">
        <f t="shared" si="6"/>
        <v>N/A</v>
      </c>
      <c r="Y37" s="196" t="str">
        <f t="shared" si="7"/>
        <v>N/A</v>
      </c>
      <c r="Z37" s="305" t="s">
        <v>176</v>
      </c>
      <c r="AA37" s="305"/>
      <c r="AB37" s="346"/>
      <c r="AC37" s="346"/>
      <c r="AD37" s="12">
        <v>39</v>
      </c>
      <c r="AE37" s="348">
        <f t="shared" si="9"/>
        <v>39</v>
      </c>
      <c r="AF37" s="12">
        <v>39</v>
      </c>
      <c r="AG37" s="348">
        <f t="shared" si="10"/>
        <v>39</v>
      </c>
    </row>
    <row r="38" spans="1:34" ht="78" customHeight="1" thickBot="1">
      <c r="A38" s="352"/>
      <c r="B38" s="355" t="s">
        <v>137</v>
      </c>
      <c r="C38" s="378" t="s">
        <v>29</v>
      </c>
      <c r="D38" s="379" t="s">
        <v>30</v>
      </c>
      <c r="E38" s="379" t="s">
        <v>31</v>
      </c>
      <c r="F38" s="380" t="s">
        <v>32</v>
      </c>
      <c r="G38" s="381" t="s">
        <v>33</v>
      </c>
      <c r="H38" s="382" t="s">
        <v>34</v>
      </c>
      <c r="I38" s="383" t="s">
        <v>35</v>
      </c>
      <c r="J38" s="384" t="s">
        <v>183</v>
      </c>
      <c r="K38" s="385" t="s">
        <v>11</v>
      </c>
      <c r="L38" s="386"/>
      <c r="M38" s="386"/>
      <c r="N38" s="380" t="s">
        <v>36</v>
      </c>
      <c r="O38" s="380" t="s">
        <v>13</v>
      </c>
      <c r="P38" s="387" t="s">
        <v>37</v>
      </c>
      <c r="Q38" s="94" t="s">
        <v>41</v>
      </c>
      <c r="R38" s="95" t="s">
        <v>38</v>
      </c>
      <c r="S38" s="47" t="s">
        <v>134</v>
      </c>
      <c r="T38" s="409" t="s">
        <v>39</v>
      </c>
      <c r="U38" s="415" t="s">
        <v>1883</v>
      </c>
      <c r="V38" s="416" t="s">
        <v>1884</v>
      </c>
      <c r="AB38" s="346"/>
      <c r="AC38" s="346"/>
      <c r="AD38" s="345"/>
      <c r="AE38" s="345"/>
      <c r="AF38" s="345"/>
      <c r="AG38" s="345"/>
    </row>
    <row r="39" spans="1:34">
      <c r="A39" s="353" t="s">
        <v>1735</v>
      </c>
      <c r="B39" s="356" t="s">
        <v>132</v>
      </c>
      <c r="C39" s="21">
        <v>50</v>
      </c>
      <c r="D39" s="65">
        <v>600</v>
      </c>
      <c r="E39" s="66">
        <v>300</v>
      </c>
      <c r="F39" s="55">
        <v>495</v>
      </c>
      <c r="G39" s="67">
        <v>25</v>
      </c>
      <c r="H39" s="22">
        <v>25</v>
      </c>
      <c r="I39" s="23">
        <v>100.3</v>
      </c>
      <c r="J39" s="359">
        <f t="shared" ref="J39:J41" si="30">G39-H39</f>
        <v>0</v>
      </c>
      <c r="K39" s="55">
        <v>6.5</v>
      </c>
      <c r="L39" s="55"/>
      <c r="M39" s="55"/>
      <c r="N39" s="55">
        <f>20*12</f>
        <v>240</v>
      </c>
      <c r="O39" s="56">
        <f>F39-I39-K39-N39-P39</f>
        <v>143.19999999999999</v>
      </c>
      <c r="P39" s="73">
        <v>5</v>
      </c>
      <c r="Q39" s="70">
        <f>K39+O39+P39</f>
        <v>154.69999999999999</v>
      </c>
      <c r="R39" s="51">
        <f>F39+G39</f>
        <v>520</v>
      </c>
      <c r="S39" s="57">
        <f>R39</f>
        <v>520</v>
      </c>
      <c r="T39" s="412">
        <f>1-R39/D39</f>
        <v>0.1333333333333333</v>
      </c>
      <c r="U39" s="51">
        <f>D39</f>
        <v>600</v>
      </c>
      <c r="V39" s="417">
        <f>E39</f>
        <v>300</v>
      </c>
      <c r="AB39" s="347">
        <v>470</v>
      </c>
      <c r="AC39" s="347"/>
      <c r="AD39" s="12">
        <v>151.69999999999999</v>
      </c>
      <c r="AE39" s="348">
        <f>Q39</f>
        <v>154.69999999999999</v>
      </c>
      <c r="AF39" s="345"/>
      <c r="AG39" s="345"/>
      <c r="AH39" s="11">
        <f>AD39-AE39</f>
        <v>-3</v>
      </c>
    </row>
    <row r="40" spans="1:34">
      <c r="A40" s="353" t="s">
        <v>1736</v>
      </c>
      <c r="B40" s="357" t="s">
        <v>136</v>
      </c>
      <c r="C40" s="25">
        <v>115</v>
      </c>
      <c r="D40" s="63">
        <v>1380</v>
      </c>
      <c r="E40" s="64">
        <v>1200</v>
      </c>
      <c r="F40" s="26">
        <v>765</v>
      </c>
      <c r="G40" s="23">
        <v>25</v>
      </c>
      <c r="H40" s="22">
        <v>25</v>
      </c>
      <c r="I40" s="23">
        <v>125.5</v>
      </c>
      <c r="J40" s="61">
        <f t="shared" si="30"/>
        <v>0</v>
      </c>
      <c r="K40" s="26">
        <v>6.5</v>
      </c>
      <c r="L40" s="26"/>
      <c r="M40" s="26"/>
      <c r="N40" s="26">
        <f>12*40</f>
        <v>480</v>
      </c>
      <c r="O40" s="27">
        <f>F40-I40-K40-N40-P40</f>
        <v>148</v>
      </c>
      <c r="P40" s="28">
        <v>5</v>
      </c>
      <c r="Q40" s="71">
        <f>K40+O40+P40</f>
        <v>159.5</v>
      </c>
      <c r="R40" s="52">
        <f t="shared" ref="R40:R41" si="31">F40+G40</f>
        <v>790</v>
      </c>
      <c r="S40" s="12">
        <f t="shared" ref="S40:S41" si="32">R40</f>
        <v>790</v>
      </c>
      <c r="T40" s="413">
        <f t="shared" ref="T40:T41" si="33">1-R40/D40</f>
        <v>0.42753623188405798</v>
      </c>
      <c r="U40" s="418">
        <f t="shared" ref="U40:U41" si="34">D40</f>
        <v>1380</v>
      </c>
      <c r="V40" s="419">
        <f t="shared" ref="V40:V41" si="35">E40</f>
        <v>1200</v>
      </c>
      <c r="AB40" s="347">
        <v>680</v>
      </c>
      <c r="AC40" s="347"/>
      <c r="AD40" s="12">
        <v>158.69999999999999</v>
      </c>
      <c r="AE40" s="348">
        <f t="shared" ref="AE40:AE41" si="36">Q40</f>
        <v>159.5</v>
      </c>
      <c r="AF40" s="345"/>
      <c r="AG40" s="345"/>
      <c r="AH40" s="11">
        <f t="shared" ref="AH40:AH41" si="37">AD40-AE40</f>
        <v>-0.80000000000001137</v>
      </c>
    </row>
    <row r="41" spans="1:34" ht="15.75" thickBot="1">
      <c r="A41" s="354" t="s">
        <v>1737</v>
      </c>
      <c r="B41" s="358" t="s">
        <v>133</v>
      </c>
      <c r="C41" s="29">
        <v>145</v>
      </c>
      <c r="D41" s="68">
        <v>1740</v>
      </c>
      <c r="E41" s="69">
        <v>1200</v>
      </c>
      <c r="F41" s="32">
        <v>1055</v>
      </c>
      <c r="G41" s="31">
        <v>25</v>
      </c>
      <c r="H41" s="30">
        <v>25</v>
      </c>
      <c r="I41" s="31">
        <v>272.5</v>
      </c>
      <c r="J41" s="62">
        <f t="shared" si="30"/>
        <v>0</v>
      </c>
      <c r="K41" s="32">
        <v>6.5</v>
      </c>
      <c r="L41" s="32"/>
      <c r="M41" s="32"/>
      <c r="N41" s="32">
        <f>50*12</f>
        <v>600</v>
      </c>
      <c r="O41" s="33">
        <f>F41-I41-K41-N41-P41</f>
        <v>171</v>
      </c>
      <c r="P41" s="34">
        <v>5</v>
      </c>
      <c r="Q41" s="72">
        <f>K41+O41+P41</f>
        <v>182.5</v>
      </c>
      <c r="R41" s="58">
        <f t="shared" si="31"/>
        <v>1080</v>
      </c>
      <c r="S41" s="59">
        <f t="shared" si="32"/>
        <v>1080</v>
      </c>
      <c r="T41" s="414">
        <f t="shared" si="33"/>
        <v>0.37931034482758619</v>
      </c>
      <c r="U41" s="420">
        <f t="shared" si="34"/>
        <v>1740</v>
      </c>
      <c r="V41" s="421">
        <f t="shared" si="35"/>
        <v>1200</v>
      </c>
      <c r="AB41" s="347">
        <v>870</v>
      </c>
      <c r="AC41" s="347"/>
      <c r="AD41" s="12">
        <v>179.5</v>
      </c>
      <c r="AE41" s="348">
        <f t="shared" si="36"/>
        <v>182.5</v>
      </c>
      <c r="AF41" s="345"/>
      <c r="AG41" s="345"/>
      <c r="AH41" s="11">
        <f t="shared" si="37"/>
        <v>-3</v>
      </c>
    </row>
    <row r="43" spans="1:34">
      <c r="N43" s="11"/>
      <c r="V43" s="24"/>
    </row>
    <row r="44" spans="1:34">
      <c r="V44" s="24"/>
    </row>
    <row r="45" spans="1:34">
      <c r="V45" s="24"/>
    </row>
  </sheetData>
  <mergeCells count="3">
    <mergeCell ref="B1:G1"/>
    <mergeCell ref="H1:I1"/>
    <mergeCell ref="J1:Q1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E1001"/>
  <sheetViews>
    <sheetView topLeftCell="A175" workbookViewId="0">
      <selection activeCell="I203" sqref="I203"/>
    </sheetView>
  </sheetViews>
  <sheetFormatPr defaultRowHeight="15"/>
  <cols>
    <col min="1" max="1" width="14.7109375" customWidth="1"/>
    <col min="2" max="2" width="8.7109375" customWidth="1"/>
    <col min="3" max="3" width="11.5703125" customWidth="1"/>
    <col min="4" max="4" width="9.140625" style="217"/>
  </cols>
  <sheetData>
    <row r="1" spans="1:5" ht="18" customHeight="1">
      <c r="D1" s="405" t="s">
        <v>1882</v>
      </c>
      <c r="E1" s="405">
        <f>COUNTIF(E3:E1001,"Used")</f>
        <v>29</v>
      </c>
    </row>
    <row r="2" spans="1:5">
      <c r="A2" t="s">
        <v>198</v>
      </c>
      <c r="D2" s="217" t="s">
        <v>1</v>
      </c>
      <c r="E2" t="s">
        <v>1881</v>
      </c>
    </row>
    <row r="3" spans="1:5">
      <c r="A3" t="s">
        <v>292</v>
      </c>
      <c r="B3" s="198">
        <f>VALUE(LEFT(A3,4))</f>
        <v>9575</v>
      </c>
      <c r="C3">
        <f>VALUE(RIGHT(A3,8))</f>
        <v>50260012</v>
      </c>
      <c r="D3" s="217" t="s">
        <v>128</v>
      </c>
      <c r="E3" t="str">
        <f>IF(ISERROR(MATCH(C3,Sales!$D$3:$D$1000,0)),"","Used")</f>
        <v>Used</v>
      </c>
    </row>
    <row r="4" spans="1:5">
      <c r="A4" t="s">
        <v>293</v>
      </c>
      <c r="B4" s="198">
        <f t="shared" ref="B4:B67" si="0">VALUE(LEFT(A4,4))</f>
        <v>9575</v>
      </c>
      <c r="C4">
        <f t="shared" ref="C4:C67" si="1">VALUE(RIGHT(A4,8))</f>
        <v>50260020</v>
      </c>
      <c r="D4" s="217" t="s">
        <v>128</v>
      </c>
      <c r="E4" t="str">
        <f>IF(ISERROR(MATCH(C4,Sales!$D$3:$D$1000,0)),"","Used")</f>
        <v>Used</v>
      </c>
    </row>
    <row r="5" spans="1:5">
      <c r="A5" t="s">
        <v>294</v>
      </c>
      <c r="B5" s="198">
        <f t="shared" si="0"/>
        <v>9575</v>
      </c>
      <c r="C5">
        <f t="shared" si="1"/>
        <v>50260038</v>
      </c>
      <c r="D5" s="217" t="s">
        <v>128</v>
      </c>
      <c r="E5" t="str">
        <f>IF(ISERROR(MATCH(C5,Sales!$D$3:$D$1000,0)),"","Used")</f>
        <v>Used</v>
      </c>
    </row>
    <row r="6" spans="1:5">
      <c r="A6" t="s">
        <v>295</v>
      </c>
      <c r="B6" s="198">
        <f t="shared" si="0"/>
        <v>9575</v>
      </c>
      <c r="C6">
        <f t="shared" si="1"/>
        <v>50260046</v>
      </c>
      <c r="D6" s="217" t="s">
        <v>128</v>
      </c>
      <c r="E6" t="str">
        <f>IF(ISERROR(MATCH(C6,Sales!$D$3:$D$1000,0)),"","Used")</f>
        <v>Used</v>
      </c>
    </row>
    <row r="7" spans="1:5">
      <c r="A7" t="s">
        <v>296</v>
      </c>
      <c r="B7" s="198">
        <f t="shared" si="0"/>
        <v>9575</v>
      </c>
      <c r="C7">
        <f t="shared" si="1"/>
        <v>50260053</v>
      </c>
      <c r="D7" s="217" t="s">
        <v>128</v>
      </c>
      <c r="E7" t="str">
        <f>IF(ISERROR(MATCH(C7,Sales!$D$3:$D$1000,0)),"","Used")</f>
        <v/>
      </c>
    </row>
    <row r="8" spans="1:5">
      <c r="A8" t="s">
        <v>297</v>
      </c>
      <c r="B8" s="198">
        <f t="shared" si="0"/>
        <v>9575</v>
      </c>
      <c r="C8">
        <f t="shared" si="1"/>
        <v>50260061</v>
      </c>
      <c r="D8" s="217" t="s">
        <v>128</v>
      </c>
      <c r="E8" t="str">
        <f>IF(ISERROR(MATCH(C8,Sales!$D$3:$D$1000,0)),"","Used")</f>
        <v/>
      </c>
    </row>
    <row r="9" spans="1:5">
      <c r="A9" t="s">
        <v>298</v>
      </c>
      <c r="B9" s="198">
        <f t="shared" si="0"/>
        <v>9575</v>
      </c>
      <c r="C9">
        <f t="shared" si="1"/>
        <v>50260079</v>
      </c>
      <c r="D9" s="217" t="s">
        <v>128</v>
      </c>
      <c r="E9" t="str">
        <f>IF(ISERROR(MATCH(C9,Sales!$D$3:$D$1000,0)),"","Used")</f>
        <v/>
      </c>
    </row>
    <row r="10" spans="1:5">
      <c r="A10" t="s">
        <v>299</v>
      </c>
      <c r="B10" s="198">
        <f t="shared" si="0"/>
        <v>9575</v>
      </c>
      <c r="C10">
        <f t="shared" si="1"/>
        <v>50260087</v>
      </c>
      <c r="D10" s="217" t="s">
        <v>128</v>
      </c>
      <c r="E10" t="str">
        <f>IF(ISERROR(MATCH(C10,Sales!$D$3:$D$1000,0)),"","Used")</f>
        <v/>
      </c>
    </row>
    <row r="11" spans="1:5">
      <c r="A11" t="s">
        <v>300</v>
      </c>
      <c r="B11" s="198">
        <f t="shared" si="0"/>
        <v>9575</v>
      </c>
      <c r="C11">
        <f t="shared" si="1"/>
        <v>50260095</v>
      </c>
      <c r="D11" s="217" t="s">
        <v>128</v>
      </c>
      <c r="E11" t="str">
        <f>IF(ISERROR(MATCH(C11,Sales!$D$3:$D$1000,0)),"","Used")</f>
        <v/>
      </c>
    </row>
    <row r="12" spans="1:5">
      <c r="A12" t="s">
        <v>301</v>
      </c>
      <c r="B12" s="198">
        <f t="shared" si="0"/>
        <v>9575</v>
      </c>
      <c r="C12">
        <f t="shared" si="1"/>
        <v>50260103</v>
      </c>
      <c r="D12" s="217" t="s">
        <v>128</v>
      </c>
      <c r="E12" t="str">
        <f>IF(ISERROR(MATCH(C12,Sales!$D$3:$D$1000,0)),"","Used")</f>
        <v/>
      </c>
    </row>
    <row r="13" spans="1:5">
      <c r="A13" t="s">
        <v>302</v>
      </c>
      <c r="B13" s="198">
        <f t="shared" si="0"/>
        <v>9575</v>
      </c>
      <c r="C13">
        <f t="shared" si="1"/>
        <v>50260111</v>
      </c>
      <c r="D13" s="217" t="s">
        <v>242</v>
      </c>
      <c r="E13" t="str">
        <f>IF(ISERROR(MATCH(C13,Sales!$D$3:$D$1000,0)),"","Used")</f>
        <v>Used</v>
      </c>
    </row>
    <row r="14" spans="1:5">
      <c r="A14" t="s">
        <v>303</v>
      </c>
      <c r="B14" s="198">
        <f t="shared" si="0"/>
        <v>9575</v>
      </c>
      <c r="C14">
        <f t="shared" si="1"/>
        <v>50260129</v>
      </c>
      <c r="D14" s="217" t="s">
        <v>242</v>
      </c>
      <c r="E14" t="str">
        <f>IF(ISERROR(MATCH(C14,Sales!$D$3:$D$1000,0)),"","Used")</f>
        <v>Used</v>
      </c>
    </row>
    <row r="15" spans="1:5">
      <c r="A15" t="s">
        <v>304</v>
      </c>
      <c r="B15" s="198">
        <f t="shared" si="0"/>
        <v>9575</v>
      </c>
      <c r="C15">
        <f t="shared" si="1"/>
        <v>50260137</v>
      </c>
      <c r="D15" s="217" t="s">
        <v>242</v>
      </c>
      <c r="E15" t="str">
        <f>IF(ISERROR(MATCH(C15,Sales!$D$3:$D$1000,0)),"","Used")</f>
        <v/>
      </c>
    </row>
    <row r="16" spans="1:5">
      <c r="A16" t="s">
        <v>305</v>
      </c>
      <c r="B16" s="198">
        <f t="shared" si="0"/>
        <v>9575</v>
      </c>
      <c r="C16">
        <f t="shared" si="1"/>
        <v>50260145</v>
      </c>
      <c r="D16" s="217" t="s">
        <v>242</v>
      </c>
      <c r="E16" t="str">
        <f>IF(ISERROR(MATCH(C16,Sales!$D$3:$D$1000,0)),"","Used")</f>
        <v>Used</v>
      </c>
    </row>
    <row r="17" spans="1:5">
      <c r="A17" t="s">
        <v>306</v>
      </c>
      <c r="B17" s="198">
        <f t="shared" si="0"/>
        <v>9575</v>
      </c>
      <c r="C17">
        <f t="shared" si="1"/>
        <v>50260152</v>
      </c>
      <c r="D17" s="217" t="s">
        <v>242</v>
      </c>
      <c r="E17" t="str">
        <f>IF(ISERROR(MATCH(C17,Sales!$D$3:$D$1000,0)),"","Used")</f>
        <v>Used</v>
      </c>
    </row>
    <row r="18" spans="1:5">
      <c r="A18" t="s">
        <v>307</v>
      </c>
      <c r="B18" s="198">
        <f t="shared" si="0"/>
        <v>9575</v>
      </c>
      <c r="C18">
        <f t="shared" si="1"/>
        <v>50260160</v>
      </c>
      <c r="D18" s="217" t="s">
        <v>242</v>
      </c>
      <c r="E18" t="str">
        <f>IF(ISERROR(MATCH(C18,Sales!$D$3:$D$1000,0)),"","Used")</f>
        <v>Used</v>
      </c>
    </row>
    <row r="19" spans="1:5">
      <c r="A19" t="s">
        <v>308</v>
      </c>
      <c r="B19" s="198">
        <f t="shared" si="0"/>
        <v>9575</v>
      </c>
      <c r="C19">
        <f t="shared" si="1"/>
        <v>50260178</v>
      </c>
      <c r="D19" s="217" t="s">
        <v>242</v>
      </c>
      <c r="E19" t="str">
        <f>IF(ISERROR(MATCH(C19,Sales!$D$3:$D$1000,0)),"","Used")</f>
        <v>Used</v>
      </c>
    </row>
    <row r="20" spans="1:5">
      <c r="A20" t="s">
        <v>309</v>
      </c>
      <c r="B20" s="198">
        <f t="shared" si="0"/>
        <v>9575</v>
      </c>
      <c r="C20">
        <f t="shared" si="1"/>
        <v>50260186</v>
      </c>
      <c r="D20" s="217" t="s">
        <v>242</v>
      </c>
      <c r="E20" t="str">
        <f>IF(ISERROR(MATCH(C20,Sales!$D$3:$D$1000,0)),"","Used")</f>
        <v/>
      </c>
    </row>
    <row r="21" spans="1:5">
      <c r="A21" t="s">
        <v>310</v>
      </c>
      <c r="B21" s="198">
        <f t="shared" si="0"/>
        <v>9575</v>
      </c>
      <c r="C21">
        <f t="shared" si="1"/>
        <v>50260194</v>
      </c>
      <c r="D21" s="217" t="s">
        <v>242</v>
      </c>
      <c r="E21" t="str">
        <f>IF(ISERROR(MATCH(C21,Sales!$D$3:$D$1000,0)),"","Used")</f>
        <v>Used</v>
      </c>
    </row>
    <row r="22" spans="1:5">
      <c r="A22" t="s">
        <v>311</v>
      </c>
      <c r="B22" s="198">
        <f t="shared" si="0"/>
        <v>9575</v>
      </c>
      <c r="C22">
        <f t="shared" si="1"/>
        <v>50260202</v>
      </c>
      <c r="D22" s="217" t="s">
        <v>242</v>
      </c>
      <c r="E22" t="str">
        <f>IF(ISERROR(MATCH(C22,Sales!$D$3:$D$1000,0)),"","Used")</f>
        <v>Used</v>
      </c>
    </row>
    <row r="23" spans="1:5">
      <c r="A23" t="s">
        <v>312</v>
      </c>
      <c r="B23" s="198">
        <f t="shared" si="0"/>
        <v>9575</v>
      </c>
      <c r="C23">
        <f t="shared" si="1"/>
        <v>50260210</v>
      </c>
      <c r="D23" s="217" t="s">
        <v>255</v>
      </c>
      <c r="E23" t="str">
        <f>IF(ISERROR(MATCH(C23,Sales!$D$3:$D$1000,0)),"","Used")</f>
        <v/>
      </c>
    </row>
    <row r="24" spans="1:5">
      <c r="A24" t="s">
        <v>313</v>
      </c>
      <c r="B24" s="198">
        <f t="shared" si="0"/>
        <v>9575</v>
      </c>
      <c r="C24">
        <f t="shared" si="1"/>
        <v>50260228</v>
      </c>
      <c r="D24" s="217" t="s">
        <v>255</v>
      </c>
      <c r="E24" t="str">
        <f>IF(ISERROR(MATCH(C24,Sales!$D$3:$D$1000,0)),"","Used")</f>
        <v/>
      </c>
    </row>
    <row r="25" spans="1:5">
      <c r="A25" t="s">
        <v>314</v>
      </c>
      <c r="B25" s="198">
        <f t="shared" si="0"/>
        <v>9575</v>
      </c>
      <c r="C25">
        <f t="shared" si="1"/>
        <v>50260236</v>
      </c>
      <c r="D25" s="217" t="s">
        <v>255</v>
      </c>
      <c r="E25" t="str">
        <f>IF(ISERROR(MATCH(C25,Sales!$D$3:$D$1000,0)),"","Used")</f>
        <v/>
      </c>
    </row>
    <row r="26" spans="1:5">
      <c r="A26" t="s">
        <v>315</v>
      </c>
      <c r="B26" s="198">
        <f t="shared" si="0"/>
        <v>9575</v>
      </c>
      <c r="C26">
        <f t="shared" si="1"/>
        <v>50260244</v>
      </c>
      <c r="D26" s="217" t="s">
        <v>255</v>
      </c>
      <c r="E26" t="str">
        <f>IF(ISERROR(MATCH(C26,Sales!$D$3:$D$1000,0)),"","Used")</f>
        <v/>
      </c>
    </row>
    <row r="27" spans="1:5">
      <c r="A27" t="s">
        <v>316</v>
      </c>
      <c r="B27" s="198">
        <f t="shared" si="0"/>
        <v>9575</v>
      </c>
      <c r="C27">
        <f t="shared" si="1"/>
        <v>50260251</v>
      </c>
      <c r="D27" s="217" t="s">
        <v>255</v>
      </c>
      <c r="E27" t="str">
        <f>IF(ISERROR(MATCH(C27,Sales!$D$3:$D$1000,0)),"","Used")</f>
        <v/>
      </c>
    </row>
    <row r="28" spans="1:5">
      <c r="A28" t="s">
        <v>317</v>
      </c>
      <c r="B28" s="198">
        <f t="shared" si="0"/>
        <v>9575</v>
      </c>
      <c r="C28">
        <f t="shared" si="1"/>
        <v>50260269</v>
      </c>
      <c r="D28" s="217" t="s">
        <v>255</v>
      </c>
      <c r="E28" t="str">
        <f>IF(ISERROR(MATCH(C28,Sales!$D$3:$D$1000,0)),"","Used")</f>
        <v/>
      </c>
    </row>
    <row r="29" spans="1:5">
      <c r="A29" t="s">
        <v>318</v>
      </c>
      <c r="B29" s="198">
        <f t="shared" si="0"/>
        <v>9575</v>
      </c>
      <c r="C29">
        <f t="shared" si="1"/>
        <v>50260277</v>
      </c>
      <c r="D29" s="217" t="s">
        <v>255</v>
      </c>
      <c r="E29" t="str">
        <f>IF(ISERROR(MATCH(C29,Sales!$D$3:$D$1000,0)),"","Used")</f>
        <v/>
      </c>
    </row>
    <row r="30" spans="1:5">
      <c r="A30" t="s">
        <v>319</v>
      </c>
      <c r="B30" s="198">
        <f t="shared" si="0"/>
        <v>9575</v>
      </c>
      <c r="C30">
        <f t="shared" si="1"/>
        <v>50260285</v>
      </c>
      <c r="D30" s="217" t="s">
        <v>255</v>
      </c>
      <c r="E30" t="str">
        <f>IF(ISERROR(MATCH(C30,Sales!$D$3:$D$1000,0)),"","Used")</f>
        <v/>
      </c>
    </row>
    <row r="31" spans="1:5">
      <c r="A31" t="s">
        <v>320</v>
      </c>
      <c r="B31" s="198">
        <f t="shared" si="0"/>
        <v>9575</v>
      </c>
      <c r="C31">
        <f t="shared" si="1"/>
        <v>50260293</v>
      </c>
      <c r="D31" s="217" t="s">
        <v>255</v>
      </c>
      <c r="E31" t="str">
        <f>IF(ISERROR(MATCH(C31,Sales!$D$3:$D$1000,0)),"","Used")</f>
        <v/>
      </c>
    </row>
    <row r="32" spans="1:5">
      <c r="A32" t="s">
        <v>321</v>
      </c>
      <c r="B32" s="198">
        <f t="shared" si="0"/>
        <v>9575</v>
      </c>
      <c r="C32">
        <f t="shared" si="1"/>
        <v>50260301</v>
      </c>
      <c r="D32" s="217" t="s">
        <v>255</v>
      </c>
      <c r="E32" t="str">
        <f>IF(ISERROR(MATCH(C32,Sales!$D$3:$D$1000,0)),"","Used")</f>
        <v/>
      </c>
    </row>
    <row r="33" spans="1:5">
      <c r="A33" t="s">
        <v>322</v>
      </c>
      <c r="B33" s="198">
        <f t="shared" si="0"/>
        <v>9575</v>
      </c>
      <c r="C33">
        <f t="shared" si="1"/>
        <v>50260319</v>
      </c>
      <c r="D33" s="217" t="s">
        <v>201</v>
      </c>
      <c r="E33" t="str">
        <f>IF(ISERROR(MATCH(C33,Sales!$D$3:$D$1000,0)),"","Used")</f>
        <v>Used</v>
      </c>
    </row>
    <row r="34" spans="1:5">
      <c r="A34" t="s">
        <v>323</v>
      </c>
      <c r="B34" s="198">
        <f t="shared" si="0"/>
        <v>9575</v>
      </c>
      <c r="C34">
        <f t="shared" si="1"/>
        <v>50260327</v>
      </c>
      <c r="D34" s="217" t="s">
        <v>201</v>
      </c>
      <c r="E34" t="str">
        <f>IF(ISERROR(MATCH(C34,Sales!$D$3:$D$1000,0)),"","Used")</f>
        <v>Used</v>
      </c>
    </row>
    <row r="35" spans="1:5">
      <c r="A35" t="s">
        <v>324</v>
      </c>
      <c r="B35" s="198">
        <f t="shared" si="0"/>
        <v>9575</v>
      </c>
      <c r="C35">
        <f t="shared" si="1"/>
        <v>50260335</v>
      </c>
      <c r="D35" s="217" t="s">
        <v>201</v>
      </c>
      <c r="E35" t="str">
        <f>IF(ISERROR(MATCH(C35,Sales!$D$3:$D$1000,0)),"","Used")</f>
        <v>Used</v>
      </c>
    </row>
    <row r="36" spans="1:5">
      <c r="A36" t="s">
        <v>325</v>
      </c>
      <c r="B36" s="198">
        <f t="shared" si="0"/>
        <v>9575</v>
      </c>
      <c r="C36">
        <f t="shared" si="1"/>
        <v>50260343</v>
      </c>
      <c r="D36" s="217" t="s">
        <v>201</v>
      </c>
      <c r="E36" t="str">
        <f>IF(ISERROR(MATCH(C36,Sales!$D$3:$D$1000,0)),"","Used")</f>
        <v/>
      </c>
    </row>
    <row r="37" spans="1:5">
      <c r="A37" t="s">
        <v>326</v>
      </c>
      <c r="B37" s="198">
        <f t="shared" si="0"/>
        <v>9575</v>
      </c>
      <c r="C37">
        <f t="shared" si="1"/>
        <v>50260350</v>
      </c>
      <c r="D37" s="217" t="s">
        <v>201</v>
      </c>
      <c r="E37" t="str">
        <f>IF(ISERROR(MATCH(C37,Sales!$D$3:$D$1000,0)),"","Used")</f>
        <v/>
      </c>
    </row>
    <row r="38" spans="1:5">
      <c r="A38" t="s">
        <v>327</v>
      </c>
      <c r="B38" s="198">
        <f t="shared" si="0"/>
        <v>9575</v>
      </c>
      <c r="C38">
        <f t="shared" si="1"/>
        <v>50260368</v>
      </c>
      <c r="D38" s="217" t="s">
        <v>201</v>
      </c>
      <c r="E38" t="str">
        <f>IF(ISERROR(MATCH(C38,Sales!$D$3:$D$1000,0)),"","Used")</f>
        <v/>
      </c>
    </row>
    <row r="39" spans="1:5">
      <c r="A39" t="s">
        <v>328</v>
      </c>
      <c r="B39" s="198">
        <f t="shared" si="0"/>
        <v>9575</v>
      </c>
      <c r="C39">
        <f t="shared" si="1"/>
        <v>50260376</v>
      </c>
      <c r="D39" s="217" t="s">
        <v>201</v>
      </c>
      <c r="E39" t="str">
        <f>IF(ISERROR(MATCH(C39,Sales!$D$3:$D$1000,0)),"","Used")</f>
        <v/>
      </c>
    </row>
    <row r="40" spans="1:5">
      <c r="A40" t="s">
        <v>329</v>
      </c>
      <c r="B40" s="198">
        <f t="shared" si="0"/>
        <v>9575</v>
      </c>
      <c r="C40">
        <f t="shared" si="1"/>
        <v>50260384</v>
      </c>
      <c r="D40" s="217" t="s">
        <v>201</v>
      </c>
      <c r="E40" t="str">
        <f>IF(ISERROR(MATCH(C40,Sales!$D$3:$D$1000,0)),"","Used")</f>
        <v/>
      </c>
    </row>
    <row r="41" spans="1:5">
      <c r="A41" t="s">
        <v>330</v>
      </c>
      <c r="B41" s="198">
        <f t="shared" si="0"/>
        <v>9575</v>
      </c>
      <c r="C41">
        <f t="shared" si="1"/>
        <v>50260392</v>
      </c>
      <c r="D41" s="217" t="s">
        <v>201</v>
      </c>
      <c r="E41" t="str">
        <f>IF(ISERROR(MATCH(C41,Sales!$D$3:$D$1000,0)),"","Used")</f>
        <v/>
      </c>
    </row>
    <row r="42" spans="1:5">
      <c r="A42" t="s">
        <v>331</v>
      </c>
      <c r="B42" s="198">
        <f t="shared" si="0"/>
        <v>9575</v>
      </c>
      <c r="C42">
        <f t="shared" si="1"/>
        <v>50260400</v>
      </c>
      <c r="D42" s="217" t="s">
        <v>201</v>
      </c>
      <c r="E42" t="str">
        <f>IF(ISERROR(MATCH(C42,Sales!$D$3:$D$1000,0)),"","Used")</f>
        <v/>
      </c>
    </row>
    <row r="43" spans="1:5">
      <c r="A43" t="s">
        <v>332</v>
      </c>
      <c r="B43" s="198">
        <f t="shared" si="0"/>
        <v>9575</v>
      </c>
      <c r="C43">
        <f t="shared" si="1"/>
        <v>50260418</v>
      </c>
      <c r="D43" s="217" t="s">
        <v>1340</v>
      </c>
      <c r="E43" t="str">
        <f>IF(ISERROR(MATCH(C43,Sales!$D$3:$D$1000,0)),"","Used")</f>
        <v/>
      </c>
    </row>
    <row r="44" spans="1:5">
      <c r="A44" t="s">
        <v>333</v>
      </c>
      <c r="B44" s="198">
        <f t="shared" si="0"/>
        <v>9575</v>
      </c>
      <c r="C44">
        <f t="shared" si="1"/>
        <v>50260426</v>
      </c>
      <c r="D44" s="217" t="s">
        <v>1340</v>
      </c>
      <c r="E44" t="str">
        <f>IF(ISERROR(MATCH(C44,Sales!$D$3:$D$1000,0)),"","Used")</f>
        <v/>
      </c>
    </row>
    <row r="45" spans="1:5">
      <c r="A45" t="s">
        <v>334</v>
      </c>
      <c r="B45" s="198">
        <f t="shared" si="0"/>
        <v>9575</v>
      </c>
      <c r="C45">
        <f t="shared" si="1"/>
        <v>50260434</v>
      </c>
      <c r="D45" s="217" t="s">
        <v>1340</v>
      </c>
      <c r="E45" t="str">
        <f>IF(ISERROR(MATCH(C45,Sales!$D$3:$D$1000,0)),"","Used")</f>
        <v/>
      </c>
    </row>
    <row r="46" spans="1:5">
      <c r="A46" t="s">
        <v>335</v>
      </c>
      <c r="B46" s="198">
        <f t="shared" si="0"/>
        <v>9575</v>
      </c>
      <c r="C46">
        <f t="shared" si="1"/>
        <v>50260442</v>
      </c>
      <c r="D46" s="217" t="s">
        <v>1340</v>
      </c>
      <c r="E46" t="str">
        <f>IF(ISERROR(MATCH(C46,Sales!$D$3:$D$1000,0)),"","Used")</f>
        <v/>
      </c>
    </row>
    <row r="47" spans="1:5">
      <c r="A47" t="s">
        <v>336</v>
      </c>
      <c r="B47" s="198">
        <f t="shared" si="0"/>
        <v>9575</v>
      </c>
      <c r="C47">
        <f t="shared" si="1"/>
        <v>50260459</v>
      </c>
      <c r="D47" s="217" t="s">
        <v>1340</v>
      </c>
      <c r="E47" t="str">
        <f>IF(ISERROR(MATCH(C47,Sales!$D$3:$D$1000,0)),"","Used")</f>
        <v/>
      </c>
    </row>
    <row r="48" spans="1:5">
      <c r="A48" t="s">
        <v>337</v>
      </c>
      <c r="B48" s="198">
        <f t="shared" si="0"/>
        <v>9575</v>
      </c>
      <c r="C48">
        <f t="shared" si="1"/>
        <v>50260467</v>
      </c>
      <c r="D48" s="217" t="s">
        <v>1340</v>
      </c>
      <c r="E48" t="str">
        <f>IF(ISERROR(MATCH(C48,Sales!$D$3:$D$1000,0)),"","Used")</f>
        <v/>
      </c>
    </row>
    <row r="49" spans="1:5">
      <c r="A49" t="s">
        <v>338</v>
      </c>
      <c r="B49" s="198">
        <f t="shared" si="0"/>
        <v>9575</v>
      </c>
      <c r="C49">
        <f t="shared" si="1"/>
        <v>50260475</v>
      </c>
      <c r="D49" s="217" t="s">
        <v>1340</v>
      </c>
      <c r="E49" t="str">
        <f>IF(ISERROR(MATCH(C49,Sales!$D$3:$D$1000,0)),"","Used")</f>
        <v/>
      </c>
    </row>
    <row r="50" spans="1:5">
      <c r="A50" t="s">
        <v>339</v>
      </c>
      <c r="B50" s="198">
        <f t="shared" si="0"/>
        <v>9575</v>
      </c>
      <c r="C50">
        <f t="shared" si="1"/>
        <v>50260483</v>
      </c>
      <c r="D50" s="217" t="s">
        <v>1340</v>
      </c>
      <c r="E50" t="str">
        <f>IF(ISERROR(MATCH(C50,Sales!$D$3:$D$1000,0)),"","Used")</f>
        <v/>
      </c>
    </row>
    <row r="51" spans="1:5">
      <c r="A51" t="s">
        <v>340</v>
      </c>
      <c r="B51" s="198">
        <f t="shared" si="0"/>
        <v>9575</v>
      </c>
      <c r="C51">
        <f t="shared" si="1"/>
        <v>50260491</v>
      </c>
      <c r="D51" s="217" t="s">
        <v>1340</v>
      </c>
      <c r="E51" t="str">
        <f>IF(ISERROR(MATCH(C51,Sales!$D$3:$D$1000,0)),"","Used")</f>
        <v/>
      </c>
    </row>
    <row r="52" spans="1:5">
      <c r="A52" t="s">
        <v>341</v>
      </c>
      <c r="B52" s="198">
        <f t="shared" si="0"/>
        <v>9575</v>
      </c>
      <c r="C52">
        <f t="shared" si="1"/>
        <v>50260509</v>
      </c>
      <c r="D52" s="217" t="s">
        <v>1340</v>
      </c>
      <c r="E52" t="str">
        <f>IF(ISERROR(MATCH(C52,Sales!$D$3:$D$1000,0)),"","Used")</f>
        <v/>
      </c>
    </row>
    <row r="53" spans="1:5">
      <c r="A53" t="s">
        <v>342</v>
      </c>
      <c r="B53" s="198">
        <f t="shared" si="0"/>
        <v>9575</v>
      </c>
      <c r="C53">
        <f t="shared" si="1"/>
        <v>50260517</v>
      </c>
      <c r="D53" s="338" t="s">
        <v>1772</v>
      </c>
      <c r="E53" t="str">
        <f>IF(ISERROR(MATCH(C53,Sales!$D$3:$D$1000,0)),"","Used")</f>
        <v>Used</v>
      </c>
    </row>
    <row r="54" spans="1:5">
      <c r="A54" t="s">
        <v>343</v>
      </c>
      <c r="B54" s="198">
        <f t="shared" si="0"/>
        <v>9575</v>
      </c>
      <c r="C54">
        <f t="shared" si="1"/>
        <v>50260525</v>
      </c>
      <c r="D54" s="338" t="s">
        <v>1772</v>
      </c>
      <c r="E54" t="str">
        <f>IF(ISERROR(MATCH(C54,Sales!$D$3:$D$1000,0)),"","Used")</f>
        <v>Used</v>
      </c>
    </row>
    <row r="55" spans="1:5">
      <c r="A55" t="s">
        <v>344</v>
      </c>
      <c r="B55" s="198">
        <f t="shared" si="0"/>
        <v>9575</v>
      </c>
      <c r="C55">
        <f t="shared" si="1"/>
        <v>50260533</v>
      </c>
      <c r="D55" s="338" t="s">
        <v>1772</v>
      </c>
      <c r="E55" t="str">
        <f>IF(ISERROR(MATCH(C55,Sales!$D$3:$D$1000,0)),"","Used")</f>
        <v>Used</v>
      </c>
    </row>
    <row r="56" spans="1:5">
      <c r="A56" t="s">
        <v>345</v>
      </c>
      <c r="B56" s="198">
        <f t="shared" si="0"/>
        <v>9575</v>
      </c>
      <c r="C56">
        <f t="shared" si="1"/>
        <v>50260541</v>
      </c>
      <c r="D56" s="338" t="s">
        <v>1772</v>
      </c>
      <c r="E56" t="str">
        <f>IF(ISERROR(MATCH(C56,Sales!$D$3:$D$1000,0)),"","Used")</f>
        <v/>
      </c>
    </row>
    <row r="57" spans="1:5">
      <c r="A57" t="s">
        <v>346</v>
      </c>
      <c r="B57" s="198">
        <f t="shared" si="0"/>
        <v>9575</v>
      </c>
      <c r="C57">
        <f t="shared" si="1"/>
        <v>50260558</v>
      </c>
      <c r="D57" s="338" t="s">
        <v>1772</v>
      </c>
      <c r="E57" t="str">
        <f>IF(ISERROR(MATCH(C57,Sales!$D$3:$D$1000,0)),"","Used")</f>
        <v>Used</v>
      </c>
    </row>
    <row r="58" spans="1:5">
      <c r="A58" t="s">
        <v>347</v>
      </c>
      <c r="B58" s="198">
        <f t="shared" si="0"/>
        <v>9575</v>
      </c>
      <c r="C58">
        <f t="shared" si="1"/>
        <v>50260566</v>
      </c>
      <c r="D58" s="338" t="s">
        <v>1772</v>
      </c>
      <c r="E58" t="str">
        <f>IF(ISERROR(MATCH(C58,Sales!$D$3:$D$1000,0)),"","Used")</f>
        <v/>
      </c>
    </row>
    <row r="59" spans="1:5">
      <c r="A59" t="s">
        <v>348</v>
      </c>
      <c r="B59" s="198">
        <f t="shared" si="0"/>
        <v>9575</v>
      </c>
      <c r="C59">
        <f t="shared" si="1"/>
        <v>50260574</v>
      </c>
      <c r="D59" s="338" t="s">
        <v>1772</v>
      </c>
      <c r="E59" t="str">
        <f>IF(ISERROR(MATCH(C59,Sales!$D$3:$D$1000,0)),"","Used")</f>
        <v>Used</v>
      </c>
    </row>
    <row r="60" spans="1:5">
      <c r="A60" t="s">
        <v>349</v>
      </c>
      <c r="B60" s="198">
        <f t="shared" si="0"/>
        <v>9575</v>
      </c>
      <c r="C60">
        <f t="shared" si="1"/>
        <v>50260582</v>
      </c>
      <c r="D60" s="338" t="s">
        <v>1772</v>
      </c>
      <c r="E60" t="str">
        <f>IF(ISERROR(MATCH(C60,Sales!$D$3:$D$1000,0)),"","Used")</f>
        <v/>
      </c>
    </row>
    <row r="61" spans="1:5">
      <c r="A61" t="s">
        <v>350</v>
      </c>
      <c r="B61" s="198">
        <f t="shared" si="0"/>
        <v>9575</v>
      </c>
      <c r="C61">
        <f t="shared" si="1"/>
        <v>50260590</v>
      </c>
      <c r="D61" s="338" t="s">
        <v>1772</v>
      </c>
      <c r="E61" t="str">
        <f>IF(ISERROR(MATCH(C61,Sales!$D$3:$D$1000,0)),"","Used")</f>
        <v/>
      </c>
    </row>
    <row r="62" spans="1:5">
      <c r="A62" t="s">
        <v>351</v>
      </c>
      <c r="B62" s="198">
        <f t="shared" si="0"/>
        <v>9575</v>
      </c>
      <c r="C62">
        <f t="shared" si="1"/>
        <v>50260608</v>
      </c>
      <c r="D62" s="338" t="s">
        <v>1772</v>
      </c>
      <c r="E62" t="str">
        <f>IF(ISERROR(MATCH(C62,Sales!$D$3:$D$1000,0)),"","Used")</f>
        <v/>
      </c>
    </row>
    <row r="63" spans="1:5">
      <c r="A63" t="s">
        <v>352</v>
      </c>
      <c r="B63" s="198">
        <f t="shared" si="0"/>
        <v>9575</v>
      </c>
      <c r="C63">
        <f t="shared" si="1"/>
        <v>50260616</v>
      </c>
      <c r="D63" s="440" t="s">
        <v>242</v>
      </c>
      <c r="E63" t="str">
        <f>IF(ISERROR(MATCH(C63,Sales!$D$3:$D$1000,0)),"","Used")</f>
        <v/>
      </c>
    </row>
    <row r="64" spans="1:5">
      <c r="A64" t="s">
        <v>353</v>
      </c>
      <c r="B64" s="198">
        <f t="shared" si="0"/>
        <v>9575</v>
      </c>
      <c r="C64">
        <f t="shared" si="1"/>
        <v>50260624</v>
      </c>
      <c r="D64" s="440" t="s">
        <v>242</v>
      </c>
      <c r="E64" t="str">
        <f>IF(ISERROR(MATCH(C64,Sales!$D$3:$D$1000,0)),"","Used")</f>
        <v>Used</v>
      </c>
    </row>
    <row r="65" spans="1:5">
      <c r="A65" t="s">
        <v>354</v>
      </c>
      <c r="B65" s="198">
        <f t="shared" si="0"/>
        <v>9575</v>
      </c>
      <c r="C65">
        <f t="shared" si="1"/>
        <v>50260632</v>
      </c>
      <c r="D65" s="440" t="s">
        <v>242</v>
      </c>
      <c r="E65" t="str">
        <f>IF(ISERROR(MATCH(C65,Sales!$D$3:$D$1000,0)),"","Used")</f>
        <v/>
      </c>
    </row>
    <row r="66" spans="1:5">
      <c r="A66" t="s">
        <v>355</v>
      </c>
      <c r="B66" s="198">
        <f t="shared" si="0"/>
        <v>9575</v>
      </c>
      <c r="C66">
        <f t="shared" si="1"/>
        <v>50260640</v>
      </c>
      <c r="D66" s="440" t="s">
        <v>242</v>
      </c>
      <c r="E66" t="str">
        <f>IF(ISERROR(MATCH(C66,Sales!$D$3:$D$1000,0)),"","Used")</f>
        <v/>
      </c>
    </row>
    <row r="67" spans="1:5">
      <c r="A67" t="s">
        <v>356</v>
      </c>
      <c r="B67" s="198">
        <f t="shared" si="0"/>
        <v>9575</v>
      </c>
      <c r="C67">
        <f t="shared" si="1"/>
        <v>50260657</v>
      </c>
      <c r="D67" s="440" t="s">
        <v>242</v>
      </c>
      <c r="E67" t="str">
        <f>IF(ISERROR(MATCH(C67,Sales!$D$3:$D$1000,0)),"","Used")</f>
        <v/>
      </c>
    </row>
    <row r="68" spans="1:5">
      <c r="A68" t="s">
        <v>357</v>
      </c>
      <c r="B68" s="198">
        <f t="shared" ref="B68:B131" si="2">VALUE(LEFT(A68,4))</f>
        <v>9575</v>
      </c>
      <c r="C68">
        <f t="shared" ref="C68:C131" si="3">VALUE(RIGHT(A68,8))</f>
        <v>50260665</v>
      </c>
      <c r="D68" s="440" t="s">
        <v>242</v>
      </c>
      <c r="E68" t="str">
        <f>IF(ISERROR(MATCH(C68,Sales!$D$3:$D$1000,0)),"","Used")</f>
        <v/>
      </c>
    </row>
    <row r="69" spans="1:5">
      <c r="A69" t="s">
        <v>358</v>
      </c>
      <c r="B69" s="198">
        <f t="shared" si="2"/>
        <v>9575</v>
      </c>
      <c r="C69">
        <f t="shared" si="3"/>
        <v>50260673</v>
      </c>
      <c r="D69" s="440" t="s">
        <v>242</v>
      </c>
      <c r="E69" t="str">
        <f>IF(ISERROR(MATCH(C69,Sales!$D$3:$D$1000,0)),"","Used")</f>
        <v/>
      </c>
    </row>
    <row r="70" spans="1:5">
      <c r="A70" t="s">
        <v>359</v>
      </c>
      <c r="B70" s="198">
        <f t="shared" si="2"/>
        <v>9575</v>
      </c>
      <c r="C70">
        <f t="shared" si="3"/>
        <v>50260681</v>
      </c>
      <c r="D70" s="440" t="s">
        <v>242</v>
      </c>
      <c r="E70" t="str">
        <f>IF(ISERROR(MATCH(C70,Sales!$D$3:$D$1000,0)),"","Used")</f>
        <v/>
      </c>
    </row>
    <row r="71" spans="1:5">
      <c r="A71" t="s">
        <v>360</v>
      </c>
      <c r="B71" s="198">
        <f t="shared" si="2"/>
        <v>9575</v>
      </c>
      <c r="C71">
        <f t="shared" si="3"/>
        <v>50260699</v>
      </c>
      <c r="D71" s="440" t="s">
        <v>242</v>
      </c>
      <c r="E71" t="str">
        <f>IF(ISERROR(MATCH(C71,Sales!$D$3:$D$1000,0)),"","Used")</f>
        <v/>
      </c>
    </row>
    <row r="72" spans="1:5">
      <c r="A72" t="s">
        <v>361</v>
      </c>
      <c r="B72" s="198">
        <f t="shared" si="2"/>
        <v>9575</v>
      </c>
      <c r="C72">
        <f t="shared" si="3"/>
        <v>50260707</v>
      </c>
      <c r="D72" s="440" t="s">
        <v>242</v>
      </c>
      <c r="E72" t="str">
        <f>IF(ISERROR(MATCH(C72,Sales!$D$3:$D$1000,0)),"","Used")</f>
        <v/>
      </c>
    </row>
    <row r="73" spans="1:5">
      <c r="A73" t="s">
        <v>362</v>
      </c>
      <c r="B73" s="198">
        <f t="shared" si="2"/>
        <v>9575</v>
      </c>
      <c r="C73">
        <f t="shared" si="3"/>
        <v>50260715</v>
      </c>
      <c r="D73" s="441" t="s">
        <v>2024</v>
      </c>
      <c r="E73" t="s">
        <v>2111</v>
      </c>
    </row>
    <row r="74" spans="1:5">
      <c r="A74" t="s">
        <v>363</v>
      </c>
      <c r="B74" s="198">
        <f t="shared" si="2"/>
        <v>9575</v>
      </c>
      <c r="C74">
        <f t="shared" si="3"/>
        <v>50260723</v>
      </c>
      <c r="D74" s="441" t="s">
        <v>2024</v>
      </c>
      <c r="E74" t="str">
        <f>IF(ISERROR(MATCH(C74,Sales!$D$3:$D$1000,0)),"","Used")</f>
        <v>Used</v>
      </c>
    </row>
    <row r="75" spans="1:5">
      <c r="A75" t="s">
        <v>364</v>
      </c>
      <c r="B75" s="198">
        <f t="shared" si="2"/>
        <v>9575</v>
      </c>
      <c r="C75">
        <f t="shared" si="3"/>
        <v>50260731</v>
      </c>
      <c r="D75" s="441" t="s">
        <v>2024</v>
      </c>
      <c r="E75" t="str">
        <f>IF(ISERROR(MATCH(C75,Sales!$D$3:$D$1000,0)),"","Used")</f>
        <v>Used</v>
      </c>
    </row>
    <row r="76" spans="1:5">
      <c r="A76" t="s">
        <v>365</v>
      </c>
      <c r="B76" s="198">
        <f t="shared" si="2"/>
        <v>9575</v>
      </c>
      <c r="C76">
        <f t="shared" si="3"/>
        <v>50260749</v>
      </c>
      <c r="D76" s="441" t="s">
        <v>2024</v>
      </c>
      <c r="E76" t="str">
        <f>IF(ISERROR(MATCH(C76,Sales!$D$3:$D$1000,0)),"","Used")</f>
        <v>Used</v>
      </c>
    </row>
    <row r="77" spans="1:5">
      <c r="A77" t="s">
        <v>366</v>
      </c>
      <c r="B77" s="198">
        <f t="shared" si="2"/>
        <v>9575</v>
      </c>
      <c r="C77">
        <f t="shared" si="3"/>
        <v>50260756</v>
      </c>
      <c r="D77" s="441" t="s">
        <v>2024</v>
      </c>
      <c r="E77" t="str">
        <f>IF(ISERROR(MATCH(C77,Sales!$D$3:$D$1000,0)),"","Used")</f>
        <v>Used</v>
      </c>
    </row>
    <row r="78" spans="1:5">
      <c r="A78" t="s">
        <v>367</v>
      </c>
      <c r="B78" s="198">
        <f t="shared" si="2"/>
        <v>9575</v>
      </c>
      <c r="C78">
        <f t="shared" si="3"/>
        <v>50260764</v>
      </c>
      <c r="D78" s="441" t="s">
        <v>2024</v>
      </c>
      <c r="E78" t="str">
        <f>IF(ISERROR(MATCH(C78,Sales!$D$3:$D$1000,0)),"","Used")</f>
        <v>Used</v>
      </c>
    </row>
    <row r="79" spans="1:5">
      <c r="A79" t="s">
        <v>368</v>
      </c>
      <c r="B79" s="198">
        <f t="shared" si="2"/>
        <v>9575</v>
      </c>
      <c r="C79">
        <f t="shared" si="3"/>
        <v>50260772</v>
      </c>
      <c r="D79" s="441" t="s">
        <v>2024</v>
      </c>
      <c r="E79" t="str">
        <f>IF(ISERROR(MATCH(C79,Sales!$D$3:$D$1000,0)),"","Used")</f>
        <v>Used</v>
      </c>
    </row>
    <row r="80" spans="1:5">
      <c r="A80" t="s">
        <v>369</v>
      </c>
      <c r="B80" s="198">
        <f t="shared" si="2"/>
        <v>9575</v>
      </c>
      <c r="C80">
        <f t="shared" si="3"/>
        <v>50260780</v>
      </c>
      <c r="D80" s="441" t="s">
        <v>2024</v>
      </c>
      <c r="E80" t="str">
        <f>IF(ISERROR(MATCH(C80,Sales!$D$3:$D$1000,0)),"","Used")</f>
        <v>Used</v>
      </c>
    </row>
    <row r="81" spans="1:5">
      <c r="A81" t="s">
        <v>370</v>
      </c>
      <c r="B81" s="198">
        <f t="shared" si="2"/>
        <v>9575</v>
      </c>
      <c r="C81">
        <f t="shared" si="3"/>
        <v>50260798</v>
      </c>
      <c r="D81" s="441" t="s">
        <v>2024</v>
      </c>
      <c r="E81" t="str">
        <f>IF(ISERROR(MATCH(C81,Sales!$D$3:$D$1000,0)),"","Used")</f>
        <v/>
      </c>
    </row>
    <row r="82" spans="1:5">
      <c r="A82" t="s">
        <v>371</v>
      </c>
      <c r="B82" s="198">
        <f t="shared" si="2"/>
        <v>9575</v>
      </c>
      <c r="C82">
        <f t="shared" si="3"/>
        <v>50260806</v>
      </c>
      <c r="D82" s="441" t="s">
        <v>2024</v>
      </c>
      <c r="E82" t="str">
        <f>IF(ISERROR(MATCH(C82,Sales!$D$3:$D$1000,0)),"","Used")</f>
        <v/>
      </c>
    </row>
    <row r="83" spans="1:5">
      <c r="A83" t="s">
        <v>372</v>
      </c>
      <c r="B83" s="198">
        <f t="shared" si="2"/>
        <v>9575</v>
      </c>
      <c r="C83">
        <f t="shared" si="3"/>
        <v>50260814</v>
      </c>
      <c r="D83" s="445" t="s">
        <v>2024</v>
      </c>
      <c r="E83" t="str">
        <f>IF(ISERROR(MATCH(C83,Sales!$D$3:$D$1000,0)),"","Used")</f>
        <v/>
      </c>
    </row>
    <row r="84" spans="1:5">
      <c r="A84" t="s">
        <v>373</v>
      </c>
      <c r="B84" s="198">
        <f t="shared" si="2"/>
        <v>9575</v>
      </c>
      <c r="C84">
        <f t="shared" si="3"/>
        <v>50260822</v>
      </c>
      <c r="D84" s="445" t="s">
        <v>2024</v>
      </c>
      <c r="E84" t="str">
        <f>IF(ISERROR(MATCH(C84,Sales!$D$3:$D$1000,0)),"","Used")</f>
        <v/>
      </c>
    </row>
    <row r="85" spans="1:5">
      <c r="A85" t="s">
        <v>374</v>
      </c>
      <c r="B85" s="198">
        <f t="shared" si="2"/>
        <v>9575</v>
      </c>
      <c r="C85">
        <f t="shared" si="3"/>
        <v>50260830</v>
      </c>
      <c r="D85" s="445" t="s">
        <v>2024</v>
      </c>
      <c r="E85" t="str">
        <f>IF(ISERROR(MATCH(C85,Sales!$D$3:$D$1000,0)),"","Used")</f>
        <v/>
      </c>
    </row>
    <row r="86" spans="1:5">
      <c r="A86" t="s">
        <v>375</v>
      </c>
      <c r="B86" s="198">
        <f t="shared" si="2"/>
        <v>9575</v>
      </c>
      <c r="C86">
        <f t="shared" si="3"/>
        <v>50260848</v>
      </c>
      <c r="D86" s="445" t="s">
        <v>2024</v>
      </c>
      <c r="E86" t="str">
        <f>IF(ISERROR(MATCH(C86,Sales!$D$3:$D$1000,0)),"","Used")</f>
        <v/>
      </c>
    </row>
    <row r="87" spans="1:5">
      <c r="A87" t="s">
        <v>376</v>
      </c>
      <c r="B87" s="198">
        <f t="shared" si="2"/>
        <v>9575</v>
      </c>
      <c r="C87">
        <f t="shared" si="3"/>
        <v>50260855</v>
      </c>
      <c r="D87" s="445" t="s">
        <v>2024</v>
      </c>
      <c r="E87" t="str">
        <f>IF(ISERROR(MATCH(C87,Sales!$D$3:$D$1000,0)),"","Used")</f>
        <v/>
      </c>
    </row>
    <row r="88" spans="1:5">
      <c r="A88" t="s">
        <v>377</v>
      </c>
      <c r="B88" s="198">
        <f t="shared" si="2"/>
        <v>9575</v>
      </c>
      <c r="C88">
        <f t="shared" si="3"/>
        <v>50260863</v>
      </c>
      <c r="D88" s="445" t="s">
        <v>2024</v>
      </c>
      <c r="E88" t="str">
        <f>IF(ISERROR(MATCH(C88,Sales!$D$3:$D$1000,0)),"","Used")</f>
        <v/>
      </c>
    </row>
    <row r="89" spans="1:5">
      <c r="A89" t="s">
        <v>378</v>
      </c>
      <c r="B89" s="198">
        <f t="shared" si="2"/>
        <v>9575</v>
      </c>
      <c r="C89">
        <f t="shared" si="3"/>
        <v>50260871</v>
      </c>
      <c r="D89" s="445" t="s">
        <v>2024</v>
      </c>
      <c r="E89" t="str">
        <f>IF(ISERROR(MATCH(C89,Sales!$D$3:$D$1000,0)),"","Used")</f>
        <v/>
      </c>
    </row>
    <row r="90" spans="1:5">
      <c r="A90" t="s">
        <v>379</v>
      </c>
      <c r="B90" s="198">
        <f t="shared" si="2"/>
        <v>9575</v>
      </c>
      <c r="C90">
        <f t="shared" si="3"/>
        <v>50260889</v>
      </c>
      <c r="D90" s="445" t="s">
        <v>2024</v>
      </c>
      <c r="E90" t="str">
        <f>IF(ISERROR(MATCH(C90,Sales!$D$3:$D$1000,0)),"","Used")</f>
        <v/>
      </c>
    </row>
    <row r="91" spans="1:5">
      <c r="A91" t="s">
        <v>380</v>
      </c>
      <c r="B91" s="198">
        <f t="shared" si="2"/>
        <v>9575</v>
      </c>
      <c r="C91">
        <f t="shared" si="3"/>
        <v>50260897</v>
      </c>
      <c r="D91" s="445" t="s">
        <v>2024</v>
      </c>
      <c r="E91" t="str">
        <f>IF(ISERROR(MATCH(C91,Sales!$D$3:$D$1000,0)),"","Used")</f>
        <v/>
      </c>
    </row>
    <row r="92" spans="1:5">
      <c r="A92" t="s">
        <v>381</v>
      </c>
      <c r="B92" s="198">
        <f t="shared" si="2"/>
        <v>9575</v>
      </c>
      <c r="C92">
        <f t="shared" si="3"/>
        <v>50260905</v>
      </c>
      <c r="D92" s="445" t="s">
        <v>2024</v>
      </c>
      <c r="E92" t="str">
        <f>IF(ISERROR(MATCH(C92,Sales!$D$3:$D$1000,0)),"","Used")</f>
        <v/>
      </c>
    </row>
    <row r="93" spans="1:5">
      <c r="A93" t="s">
        <v>382</v>
      </c>
      <c r="B93" s="198">
        <f t="shared" si="2"/>
        <v>9575</v>
      </c>
      <c r="C93">
        <f t="shared" si="3"/>
        <v>50260913</v>
      </c>
      <c r="D93" s="445" t="s">
        <v>2024</v>
      </c>
      <c r="E93" t="str">
        <f>IF(ISERROR(MATCH(C93,Sales!$D$3:$D$1000,0)),"","Used")</f>
        <v/>
      </c>
    </row>
    <row r="94" spans="1:5">
      <c r="A94" t="s">
        <v>383</v>
      </c>
      <c r="B94" s="198">
        <f t="shared" si="2"/>
        <v>9575</v>
      </c>
      <c r="C94">
        <f t="shared" si="3"/>
        <v>50260921</v>
      </c>
      <c r="D94" s="445" t="s">
        <v>2024</v>
      </c>
      <c r="E94" t="str">
        <f>IF(ISERROR(MATCH(C94,Sales!$D$3:$D$1000,0)),"","Used")</f>
        <v/>
      </c>
    </row>
    <row r="95" spans="1:5">
      <c r="A95" t="s">
        <v>384</v>
      </c>
      <c r="B95" s="198">
        <f t="shared" si="2"/>
        <v>9575</v>
      </c>
      <c r="C95">
        <f t="shared" si="3"/>
        <v>50260939</v>
      </c>
      <c r="D95" s="445" t="s">
        <v>2024</v>
      </c>
      <c r="E95" t="str">
        <f>IF(ISERROR(MATCH(C95,Sales!$D$3:$D$1000,0)),"","Used")</f>
        <v/>
      </c>
    </row>
    <row r="96" spans="1:5">
      <c r="A96" t="s">
        <v>385</v>
      </c>
      <c r="B96" s="198">
        <f t="shared" si="2"/>
        <v>9575</v>
      </c>
      <c r="C96">
        <f t="shared" si="3"/>
        <v>50260947</v>
      </c>
      <c r="D96" s="445" t="s">
        <v>2024</v>
      </c>
      <c r="E96" t="str">
        <f>IF(ISERROR(MATCH(C96,Sales!$D$3:$D$1000,0)),"","Used")</f>
        <v/>
      </c>
    </row>
    <row r="97" spans="1:5">
      <c r="A97" t="s">
        <v>386</v>
      </c>
      <c r="B97" s="198">
        <f t="shared" si="2"/>
        <v>9575</v>
      </c>
      <c r="C97">
        <f t="shared" si="3"/>
        <v>50260954</v>
      </c>
      <c r="D97" s="445" t="s">
        <v>2024</v>
      </c>
      <c r="E97" t="str">
        <f>IF(ISERROR(MATCH(C97,Sales!$D$3:$D$1000,0)),"","Used")</f>
        <v/>
      </c>
    </row>
    <row r="98" spans="1:5">
      <c r="A98" t="s">
        <v>387</v>
      </c>
      <c r="B98" s="198">
        <f t="shared" si="2"/>
        <v>9575</v>
      </c>
      <c r="C98">
        <f t="shared" si="3"/>
        <v>50260962</v>
      </c>
      <c r="D98" s="445" t="s">
        <v>2024</v>
      </c>
      <c r="E98" t="str">
        <f>IF(ISERROR(MATCH(C98,Sales!$D$3:$D$1000,0)),"","Used")</f>
        <v/>
      </c>
    </row>
    <row r="99" spans="1:5">
      <c r="A99" t="s">
        <v>388</v>
      </c>
      <c r="B99" s="198">
        <f t="shared" si="2"/>
        <v>9575</v>
      </c>
      <c r="C99">
        <f t="shared" si="3"/>
        <v>50260970</v>
      </c>
      <c r="D99" s="445" t="s">
        <v>2024</v>
      </c>
      <c r="E99" t="str">
        <f>IF(ISERROR(MATCH(C99,Sales!$D$3:$D$1000,0)),"","Used")</f>
        <v/>
      </c>
    </row>
    <row r="100" spans="1:5">
      <c r="A100" t="s">
        <v>389</v>
      </c>
      <c r="B100" s="198">
        <f t="shared" si="2"/>
        <v>9575</v>
      </c>
      <c r="C100">
        <f t="shared" si="3"/>
        <v>50260988</v>
      </c>
      <c r="D100" s="445" t="s">
        <v>2024</v>
      </c>
      <c r="E100" t="str">
        <f>IF(ISERROR(MATCH(C100,Sales!$D$3:$D$1000,0)),"","Used")</f>
        <v/>
      </c>
    </row>
    <row r="101" spans="1:5">
      <c r="A101" t="s">
        <v>390</v>
      </c>
      <c r="B101" s="198">
        <f t="shared" si="2"/>
        <v>9575</v>
      </c>
      <c r="C101">
        <f t="shared" si="3"/>
        <v>50260996</v>
      </c>
      <c r="D101" s="445" t="s">
        <v>2024</v>
      </c>
      <c r="E101" t="str">
        <f>IF(ISERROR(MATCH(C101,Sales!$D$3:$D$1000,0)),"","Used")</f>
        <v/>
      </c>
    </row>
    <row r="102" spans="1:5">
      <c r="A102" t="s">
        <v>391</v>
      </c>
      <c r="B102" s="198">
        <f t="shared" si="2"/>
        <v>9575</v>
      </c>
      <c r="C102">
        <f t="shared" si="3"/>
        <v>50261002</v>
      </c>
      <c r="D102" s="445" t="s">
        <v>2024</v>
      </c>
      <c r="E102" t="str">
        <f>IF(ISERROR(MATCH(C102,Sales!$D$3:$D$1000,0)),"","Used")</f>
        <v/>
      </c>
    </row>
    <row r="103" spans="1:5">
      <c r="A103" t="s">
        <v>392</v>
      </c>
      <c r="B103" s="198">
        <f t="shared" si="2"/>
        <v>9575</v>
      </c>
      <c r="C103">
        <f t="shared" si="3"/>
        <v>50261010</v>
      </c>
      <c r="D103" s="445" t="s">
        <v>2024</v>
      </c>
      <c r="E103" t="str">
        <f>IF(ISERROR(MATCH(C103,Sales!$D$3:$D$1000,0)),"","Used")</f>
        <v/>
      </c>
    </row>
    <row r="104" spans="1:5">
      <c r="A104" t="s">
        <v>393</v>
      </c>
      <c r="B104" s="198">
        <f t="shared" si="2"/>
        <v>9575</v>
      </c>
      <c r="C104">
        <f t="shared" si="3"/>
        <v>50261028</v>
      </c>
      <c r="D104" s="445" t="s">
        <v>2024</v>
      </c>
      <c r="E104" t="str">
        <f>IF(ISERROR(MATCH(C104,Sales!$D$3:$D$1000,0)),"","Used")</f>
        <v/>
      </c>
    </row>
    <row r="105" spans="1:5">
      <c r="A105" t="s">
        <v>394</v>
      </c>
      <c r="B105" s="198">
        <f t="shared" si="2"/>
        <v>9575</v>
      </c>
      <c r="C105">
        <f t="shared" si="3"/>
        <v>50261036</v>
      </c>
      <c r="D105" s="445" t="s">
        <v>2024</v>
      </c>
      <c r="E105" t="str">
        <f>IF(ISERROR(MATCH(C105,Sales!$D$3:$D$1000,0)),"","Used")</f>
        <v/>
      </c>
    </row>
    <row r="106" spans="1:5">
      <c r="A106" t="s">
        <v>395</v>
      </c>
      <c r="B106" s="198">
        <f t="shared" si="2"/>
        <v>9575</v>
      </c>
      <c r="C106">
        <f t="shared" si="3"/>
        <v>50261044</v>
      </c>
      <c r="D106" s="445" t="s">
        <v>2024</v>
      </c>
      <c r="E106" t="str">
        <f>IF(ISERROR(MATCH(C106,Sales!$D$3:$D$1000,0)),"","Used")</f>
        <v/>
      </c>
    </row>
    <row r="107" spans="1:5">
      <c r="A107" t="s">
        <v>396</v>
      </c>
      <c r="B107" s="198">
        <f t="shared" si="2"/>
        <v>9575</v>
      </c>
      <c r="C107">
        <f t="shared" si="3"/>
        <v>50261051</v>
      </c>
      <c r="D107" s="445" t="s">
        <v>2024</v>
      </c>
      <c r="E107" t="str">
        <f>IF(ISERROR(MATCH(C107,Sales!$D$3:$D$1000,0)),"","Used")</f>
        <v/>
      </c>
    </row>
    <row r="108" spans="1:5">
      <c r="A108" t="s">
        <v>397</v>
      </c>
      <c r="B108" s="198">
        <f t="shared" si="2"/>
        <v>9575</v>
      </c>
      <c r="C108">
        <f t="shared" si="3"/>
        <v>50261069</v>
      </c>
      <c r="D108" s="445" t="s">
        <v>2024</v>
      </c>
      <c r="E108" t="str">
        <f>IF(ISERROR(MATCH(C108,Sales!$D$3:$D$1000,0)),"","Used")</f>
        <v/>
      </c>
    </row>
    <row r="109" spans="1:5">
      <c r="A109" t="s">
        <v>398</v>
      </c>
      <c r="B109" s="198">
        <f t="shared" si="2"/>
        <v>9575</v>
      </c>
      <c r="C109">
        <f t="shared" si="3"/>
        <v>50261077</v>
      </c>
      <c r="D109" s="445" t="s">
        <v>2024</v>
      </c>
      <c r="E109" t="str">
        <f>IF(ISERROR(MATCH(C109,Sales!$D$3:$D$1000,0)),"","Used")</f>
        <v/>
      </c>
    </row>
    <row r="110" spans="1:5">
      <c r="A110" t="s">
        <v>399</v>
      </c>
      <c r="B110" s="198">
        <f t="shared" si="2"/>
        <v>9575</v>
      </c>
      <c r="C110">
        <f t="shared" si="3"/>
        <v>50261085</v>
      </c>
      <c r="D110" s="445" t="s">
        <v>2024</v>
      </c>
      <c r="E110" t="str">
        <f>IF(ISERROR(MATCH(C110,Sales!$D$3:$D$1000,0)),"","Used")</f>
        <v/>
      </c>
    </row>
    <row r="111" spans="1:5">
      <c r="A111" t="s">
        <v>400</v>
      </c>
      <c r="B111" s="198">
        <f t="shared" si="2"/>
        <v>9575</v>
      </c>
      <c r="C111">
        <f t="shared" si="3"/>
        <v>50261093</v>
      </c>
      <c r="D111" s="445" t="s">
        <v>2024</v>
      </c>
      <c r="E111" t="str">
        <f>IF(ISERROR(MATCH(C111,Sales!$D$3:$D$1000,0)),"","Used")</f>
        <v/>
      </c>
    </row>
    <row r="112" spans="1:5">
      <c r="A112" t="s">
        <v>401</v>
      </c>
      <c r="B112" s="198">
        <f t="shared" si="2"/>
        <v>9575</v>
      </c>
      <c r="C112">
        <f t="shared" si="3"/>
        <v>50261101</v>
      </c>
      <c r="D112" s="445" t="s">
        <v>2024</v>
      </c>
      <c r="E112" t="str">
        <f>IF(ISERROR(MATCH(C112,Sales!$D$3:$D$1000,0)),"","Used")</f>
        <v/>
      </c>
    </row>
    <row r="113" spans="1:5">
      <c r="A113" t="s">
        <v>402</v>
      </c>
      <c r="B113" s="198">
        <f t="shared" si="2"/>
        <v>9575</v>
      </c>
      <c r="C113">
        <f t="shared" si="3"/>
        <v>50261119</v>
      </c>
      <c r="D113" s="445" t="s">
        <v>2024</v>
      </c>
      <c r="E113" t="str">
        <f>IF(ISERROR(MATCH(C113,Sales!$D$3:$D$1000,0)),"","Used")</f>
        <v/>
      </c>
    </row>
    <row r="114" spans="1:5">
      <c r="A114" t="s">
        <v>403</v>
      </c>
      <c r="B114" s="198">
        <f t="shared" si="2"/>
        <v>9575</v>
      </c>
      <c r="C114">
        <f t="shared" si="3"/>
        <v>50261127</v>
      </c>
      <c r="D114" s="445" t="s">
        <v>2024</v>
      </c>
      <c r="E114" t="str">
        <f>IF(ISERROR(MATCH(C114,Sales!$D$3:$D$1000,0)),"","Used")</f>
        <v/>
      </c>
    </row>
    <row r="115" spans="1:5">
      <c r="A115" t="s">
        <v>404</v>
      </c>
      <c r="B115" s="198">
        <f t="shared" si="2"/>
        <v>9575</v>
      </c>
      <c r="C115">
        <f t="shared" si="3"/>
        <v>50261135</v>
      </c>
      <c r="D115" s="445" t="s">
        <v>2024</v>
      </c>
      <c r="E115" t="str">
        <f>IF(ISERROR(MATCH(C115,Sales!$D$3:$D$1000,0)),"","Used")</f>
        <v/>
      </c>
    </row>
    <row r="116" spans="1:5">
      <c r="A116" t="s">
        <v>405</v>
      </c>
      <c r="B116" s="198">
        <f t="shared" si="2"/>
        <v>9575</v>
      </c>
      <c r="C116">
        <f t="shared" si="3"/>
        <v>50261143</v>
      </c>
      <c r="D116" s="445" t="s">
        <v>2024</v>
      </c>
      <c r="E116" t="str">
        <f>IF(ISERROR(MATCH(C116,Sales!$D$3:$D$1000,0)),"","Used")</f>
        <v/>
      </c>
    </row>
    <row r="117" spans="1:5">
      <c r="A117" t="s">
        <v>406</v>
      </c>
      <c r="B117" s="198">
        <f t="shared" si="2"/>
        <v>9575</v>
      </c>
      <c r="C117">
        <f t="shared" si="3"/>
        <v>50261150</v>
      </c>
      <c r="D117" s="445" t="s">
        <v>2024</v>
      </c>
      <c r="E117" t="str">
        <f>IF(ISERROR(MATCH(C117,Sales!$D$3:$D$1000,0)),"","Used")</f>
        <v/>
      </c>
    </row>
    <row r="118" spans="1:5">
      <c r="A118" t="s">
        <v>407</v>
      </c>
      <c r="B118" s="198">
        <f t="shared" si="2"/>
        <v>9575</v>
      </c>
      <c r="C118">
        <f t="shared" si="3"/>
        <v>50261168</v>
      </c>
      <c r="D118" s="445" t="s">
        <v>2024</v>
      </c>
      <c r="E118" t="str">
        <f>IF(ISERROR(MATCH(C118,Sales!$D$3:$D$1000,0)),"","Used")</f>
        <v/>
      </c>
    </row>
    <row r="119" spans="1:5">
      <c r="A119" t="s">
        <v>408</v>
      </c>
      <c r="B119" s="198">
        <f t="shared" si="2"/>
        <v>9575</v>
      </c>
      <c r="C119">
        <f t="shared" si="3"/>
        <v>50261176</v>
      </c>
      <c r="D119" s="445" t="s">
        <v>2024</v>
      </c>
      <c r="E119" t="str">
        <f>IF(ISERROR(MATCH(C119,Sales!$D$3:$D$1000,0)),"","Used")</f>
        <v/>
      </c>
    </row>
    <row r="120" spans="1:5">
      <c r="A120" t="s">
        <v>409</v>
      </c>
      <c r="B120" s="198">
        <f t="shared" si="2"/>
        <v>9575</v>
      </c>
      <c r="C120">
        <f t="shared" si="3"/>
        <v>50261184</v>
      </c>
      <c r="D120" s="445" t="s">
        <v>2024</v>
      </c>
      <c r="E120" t="str">
        <f>IF(ISERROR(MATCH(C120,Sales!$D$3:$D$1000,0)),"","Used")</f>
        <v/>
      </c>
    </row>
    <row r="121" spans="1:5">
      <c r="A121" t="s">
        <v>410</v>
      </c>
      <c r="B121" s="198">
        <f t="shared" si="2"/>
        <v>9575</v>
      </c>
      <c r="C121">
        <f t="shared" si="3"/>
        <v>50261192</v>
      </c>
      <c r="D121" s="445" t="s">
        <v>2024</v>
      </c>
      <c r="E121" t="str">
        <f>IF(ISERROR(MATCH(C121,Sales!$D$3:$D$1000,0)),"","Used")</f>
        <v/>
      </c>
    </row>
    <row r="122" spans="1:5">
      <c r="A122" t="s">
        <v>411</v>
      </c>
      <c r="B122" s="198">
        <f t="shared" si="2"/>
        <v>9575</v>
      </c>
      <c r="C122">
        <f t="shared" si="3"/>
        <v>50261200</v>
      </c>
      <c r="D122" s="445" t="s">
        <v>2024</v>
      </c>
      <c r="E122" t="str">
        <f>IF(ISERROR(MATCH(C122,Sales!$D$3:$D$1000,0)),"","Used")</f>
        <v/>
      </c>
    </row>
    <row r="123" spans="1:5">
      <c r="A123" t="s">
        <v>412</v>
      </c>
      <c r="B123" s="198">
        <f t="shared" si="2"/>
        <v>9575</v>
      </c>
      <c r="C123">
        <f t="shared" si="3"/>
        <v>50261218</v>
      </c>
      <c r="D123" s="445" t="s">
        <v>2024</v>
      </c>
      <c r="E123" t="str">
        <f>IF(ISERROR(MATCH(C123,Sales!$D$3:$D$1000,0)),"","Used")</f>
        <v/>
      </c>
    </row>
    <row r="124" spans="1:5">
      <c r="A124" t="s">
        <v>413</v>
      </c>
      <c r="B124" s="198">
        <f t="shared" si="2"/>
        <v>9575</v>
      </c>
      <c r="C124">
        <f t="shared" si="3"/>
        <v>50261226</v>
      </c>
      <c r="D124" s="445" t="s">
        <v>2024</v>
      </c>
      <c r="E124" t="str">
        <f>IF(ISERROR(MATCH(C124,Sales!$D$3:$D$1000,0)),"","Used")</f>
        <v/>
      </c>
    </row>
    <row r="125" spans="1:5">
      <c r="A125" t="s">
        <v>414</v>
      </c>
      <c r="B125" s="198">
        <f t="shared" si="2"/>
        <v>9575</v>
      </c>
      <c r="C125">
        <f t="shared" si="3"/>
        <v>50261234</v>
      </c>
      <c r="D125" s="445" t="s">
        <v>2024</v>
      </c>
      <c r="E125" t="str">
        <f>IF(ISERROR(MATCH(C125,Sales!$D$3:$D$1000,0)),"","Used")</f>
        <v/>
      </c>
    </row>
    <row r="126" spans="1:5">
      <c r="A126" t="s">
        <v>415</v>
      </c>
      <c r="B126" s="198">
        <f t="shared" si="2"/>
        <v>9575</v>
      </c>
      <c r="C126">
        <f t="shared" si="3"/>
        <v>50261242</v>
      </c>
      <c r="D126" s="445" t="s">
        <v>2024</v>
      </c>
      <c r="E126" t="str">
        <f>IF(ISERROR(MATCH(C126,Sales!$D$3:$D$1000,0)),"","Used")</f>
        <v/>
      </c>
    </row>
    <row r="127" spans="1:5">
      <c r="A127" t="s">
        <v>416</v>
      </c>
      <c r="B127" s="198">
        <f t="shared" si="2"/>
        <v>9575</v>
      </c>
      <c r="C127">
        <f t="shared" si="3"/>
        <v>50261259</v>
      </c>
      <c r="D127" s="445" t="s">
        <v>2024</v>
      </c>
      <c r="E127" t="str">
        <f>IF(ISERROR(MATCH(C127,Sales!$D$3:$D$1000,0)),"","Used")</f>
        <v/>
      </c>
    </row>
    <row r="128" spans="1:5">
      <c r="A128" t="s">
        <v>417</v>
      </c>
      <c r="B128" s="198">
        <f t="shared" si="2"/>
        <v>9575</v>
      </c>
      <c r="C128">
        <f t="shared" si="3"/>
        <v>50261267</v>
      </c>
      <c r="D128" s="445" t="s">
        <v>2024</v>
      </c>
      <c r="E128" t="str">
        <f>IF(ISERROR(MATCH(C128,Sales!$D$3:$D$1000,0)),"","Used")</f>
        <v/>
      </c>
    </row>
    <row r="129" spans="1:5">
      <c r="A129" t="s">
        <v>418</v>
      </c>
      <c r="B129" s="198">
        <f t="shared" si="2"/>
        <v>9575</v>
      </c>
      <c r="C129">
        <f t="shared" si="3"/>
        <v>50261275</v>
      </c>
      <c r="D129" s="445" t="s">
        <v>2024</v>
      </c>
      <c r="E129" t="str">
        <f>IF(ISERROR(MATCH(C129,Sales!$D$3:$D$1000,0)),"","Used")</f>
        <v/>
      </c>
    </row>
    <row r="130" spans="1:5">
      <c r="A130" t="s">
        <v>419</v>
      </c>
      <c r="B130" s="198">
        <f t="shared" si="2"/>
        <v>9575</v>
      </c>
      <c r="C130">
        <f t="shared" si="3"/>
        <v>50261283</v>
      </c>
      <c r="D130" s="445" t="s">
        <v>2024</v>
      </c>
      <c r="E130" t="str">
        <f>IF(ISERROR(MATCH(C130,Sales!$D$3:$D$1000,0)),"","Used")</f>
        <v/>
      </c>
    </row>
    <row r="131" spans="1:5">
      <c r="A131" t="s">
        <v>420</v>
      </c>
      <c r="B131" s="198">
        <f t="shared" si="2"/>
        <v>9575</v>
      </c>
      <c r="C131">
        <f t="shared" si="3"/>
        <v>50261291</v>
      </c>
      <c r="D131" s="445" t="s">
        <v>2024</v>
      </c>
      <c r="E131" t="str">
        <f>IF(ISERROR(MATCH(C131,Sales!$D$3:$D$1000,0)),"","Used")</f>
        <v/>
      </c>
    </row>
    <row r="132" spans="1:5">
      <c r="A132" t="s">
        <v>421</v>
      </c>
      <c r="B132" s="198">
        <f t="shared" ref="B132:B195" si="4">VALUE(LEFT(A132,4))</f>
        <v>9575</v>
      </c>
      <c r="C132">
        <f t="shared" ref="C132:C195" si="5">VALUE(RIGHT(A132,8))</f>
        <v>50261309</v>
      </c>
      <c r="D132" s="445" t="s">
        <v>2024</v>
      </c>
      <c r="E132" t="str">
        <f>IF(ISERROR(MATCH(C132,Sales!$D$3:$D$1000,0)),"","Used")</f>
        <v/>
      </c>
    </row>
    <row r="133" spans="1:5">
      <c r="A133" t="s">
        <v>422</v>
      </c>
      <c r="B133" s="198">
        <f t="shared" si="4"/>
        <v>9575</v>
      </c>
      <c r="C133">
        <f t="shared" si="5"/>
        <v>50261317</v>
      </c>
      <c r="D133" s="445" t="s">
        <v>2024</v>
      </c>
      <c r="E133" t="str">
        <f>IF(ISERROR(MATCH(C133,Sales!$D$3:$D$1000,0)),"","Used")</f>
        <v/>
      </c>
    </row>
    <row r="134" spans="1:5">
      <c r="A134" t="s">
        <v>423</v>
      </c>
      <c r="B134" s="198">
        <f t="shared" si="4"/>
        <v>9575</v>
      </c>
      <c r="C134">
        <f t="shared" si="5"/>
        <v>50261325</v>
      </c>
      <c r="D134" s="445" t="s">
        <v>2024</v>
      </c>
      <c r="E134" t="str">
        <f>IF(ISERROR(MATCH(C134,Sales!$D$3:$D$1000,0)),"","Used")</f>
        <v/>
      </c>
    </row>
    <row r="135" spans="1:5">
      <c r="A135" t="s">
        <v>424</v>
      </c>
      <c r="B135" s="198">
        <f t="shared" si="4"/>
        <v>9575</v>
      </c>
      <c r="C135">
        <f t="shared" si="5"/>
        <v>50261333</v>
      </c>
      <c r="D135" s="445" t="s">
        <v>2024</v>
      </c>
      <c r="E135" t="str">
        <f>IF(ISERROR(MATCH(C135,Sales!$D$3:$D$1000,0)),"","Used")</f>
        <v/>
      </c>
    </row>
    <row r="136" spans="1:5">
      <c r="A136" t="s">
        <v>425</v>
      </c>
      <c r="B136" s="198">
        <f t="shared" si="4"/>
        <v>9575</v>
      </c>
      <c r="C136">
        <f t="shared" si="5"/>
        <v>50261341</v>
      </c>
      <c r="D136" s="445" t="s">
        <v>2024</v>
      </c>
      <c r="E136" t="str">
        <f>IF(ISERROR(MATCH(C136,Sales!$D$3:$D$1000,0)),"","Used")</f>
        <v/>
      </c>
    </row>
    <row r="137" spans="1:5">
      <c r="A137" t="s">
        <v>426</v>
      </c>
      <c r="B137" s="198">
        <f t="shared" si="4"/>
        <v>9575</v>
      </c>
      <c r="C137">
        <f t="shared" si="5"/>
        <v>50261358</v>
      </c>
      <c r="D137" s="445" t="s">
        <v>2024</v>
      </c>
      <c r="E137" t="str">
        <f>IF(ISERROR(MATCH(C137,Sales!$D$3:$D$1000,0)),"","Used")</f>
        <v/>
      </c>
    </row>
    <row r="138" spans="1:5">
      <c r="A138" t="s">
        <v>427</v>
      </c>
      <c r="B138" s="198">
        <f t="shared" si="4"/>
        <v>9575</v>
      </c>
      <c r="C138">
        <f t="shared" si="5"/>
        <v>50261366</v>
      </c>
      <c r="D138" s="445" t="s">
        <v>2024</v>
      </c>
      <c r="E138" t="str">
        <f>IF(ISERROR(MATCH(C138,Sales!$D$3:$D$1000,0)),"","Used")</f>
        <v/>
      </c>
    </row>
    <row r="139" spans="1:5">
      <c r="A139" t="s">
        <v>428</v>
      </c>
      <c r="B139" s="198">
        <f t="shared" si="4"/>
        <v>9575</v>
      </c>
      <c r="C139">
        <f t="shared" si="5"/>
        <v>50261374</v>
      </c>
      <c r="D139" s="445" t="s">
        <v>2024</v>
      </c>
      <c r="E139" t="str">
        <f>IF(ISERROR(MATCH(C139,Sales!$D$3:$D$1000,0)),"","Used")</f>
        <v/>
      </c>
    </row>
    <row r="140" spans="1:5">
      <c r="A140" t="s">
        <v>429</v>
      </c>
      <c r="B140" s="198">
        <f t="shared" si="4"/>
        <v>9575</v>
      </c>
      <c r="C140">
        <f t="shared" si="5"/>
        <v>50261382</v>
      </c>
      <c r="D140" s="445" t="s">
        <v>2024</v>
      </c>
      <c r="E140" t="str">
        <f>IF(ISERROR(MATCH(C140,Sales!$D$3:$D$1000,0)),"","Used")</f>
        <v/>
      </c>
    </row>
    <row r="141" spans="1:5">
      <c r="A141" t="s">
        <v>430</v>
      </c>
      <c r="B141" s="198">
        <f t="shared" si="4"/>
        <v>9575</v>
      </c>
      <c r="C141">
        <f t="shared" si="5"/>
        <v>50261390</v>
      </c>
      <c r="D141" s="445" t="s">
        <v>2024</v>
      </c>
      <c r="E141" t="str">
        <f>IF(ISERROR(MATCH(C141,Sales!$D$3:$D$1000,0)),"","Used")</f>
        <v/>
      </c>
    </row>
    <row r="142" spans="1:5">
      <c r="A142" t="s">
        <v>431</v>
      </c>
      <c r="B142" s="198">
        <f t="shared" si="4"/>
        <v>9575</v>
      </c>
      <c r="C142">
        <f t="shared" si="5"/>
        <v>50261408</v>
      </c>
      <c r="D142" s="445" t="s">
        <v>2024</v>
      </c>
      <c r="E142" t="str">
        <f>IF(ISERROR(MATCH(C142,Sales!$D$3:$D$1000,0)),"","Used")</f>
        <v/>
      </c>
    </row>
    <row r="143" spans="1:5">
      <c r="A143" t="s">
        <v>432</v>
      </c>
      <c r="B143" s="198">
        <f t="shared" si="4"/>
        <v>9575</v>
      </c>
      <c r="C143">
        <f t="shared" si="5"/>
        <v>50261416</v>
      </c>
      <c r="D143" s="445" t="s">
        <v>2024</v>
      </c>
      <c r="E143" t="str">
        <f>IF(ISERROR(MATCH(C143,Sales!$D$3:$D$1000,0)),"","Used")</f>
        <v/>
      </c>
    </row>
    <row r="144" spans="1:5">
      <c r="A144" t="s">
        <v>433</v>
      </c>
      <c r="B144" s="198">
        <f t="shared" si="4"/>
        <v>9575</v>
      </c>
      <c r="C144">
        <f t="shared" si="5"/>
        <v>50261424</v>
      </c>
      <c r="D144" s="445" t="s">
        <v>2024</v>
      </c>
      <c r="E144" t="str">
        <f>IF(ISERROR(MATCH(C144,Sales!$D$3:$D$1000,0)),"","Used")</f>
        <v/>
      </c>
    </row>
    <row r="145" spans="1:5">
      <c r="A145" t="s">
        <v>434</v>
      </c>
      <c r="B145" s="198">
        <f t="shared" si="4"/>
        <v>9575</v>
      </c>
      <c r="C145">
        <f t="shared" si="5"/>
        <v>50261432</v>
      </c>
      <c r="D145" s="445" t="s">
        <v>2024</v>
      </c>
      <c r="E145" t="str">
        <f>IF(ISERROR(MATCH(C145,Sales!$D$3:$D$1000,0)),"","Used")</f>
        <v/>
      </c>
    </row>
    <row r="146" spans="1:5">
      <c r="A146" t="s">
        <v>435</v>
      </c>
      <c r="B146" s="198">
        <f t="shared" si="4"/>
        <v>9575</v>
      </c>
      <c r="C146">
        <f t="shared" si="5"/>
        <v>50261440</v>
      </c>
      <c r="D146" s="445" t="s">
        <v>2024</v>
      </c>
      <c r="E146" t="str">
        <f>IF(ISERROR(MATCH(C146,Sales!$D$3:$D$1000,0)),"","Used")</f>
        <v/>
      </c>
    </row>
    <row r="147" spans="1:5">
      <c r="A147" t="s">
        <v>436</v>
      </c>
      <c r="B147" s="198">
        <f t="shared" si="4"/>
        <v>9575</v>
      </c>
      <c r="C147">
        <f t="shared" si="5"/>
        <v>50261457</v>
      </c>
      <c r="D147" s="445" t="s">
        <v>2024</v>
      </c>
      <c r="E147" t="str">
        <f>IF(ISERROR(MATCH(C147,Sales!$D$3:$D$1000,0)),"","Used")</f>
        <v/>
      </c>
    </row>
    <row r="148" spans="1:5">
      <c r="A148" t="s">
        <v>437</v>
      </c>
      <c r="B148" s="198">
        <f t="shared" si="4"/>
        <v>9575</v>
      </c>
      <c r="C148">
        <f t="shared" si="5"/>
        <v>50261465</v>
      </c>
      <c r="D148" s="445" t="s">
        <v>2024</v>
      </c>
      <c r="E148" t="str">
        <f>IF(ISERROR(MATCH(C148,Sales!$D$3:$D$1000,0)),"","Used")</f>
        <v/>
      </c>
    </row>
    <row r="149" spans="1:5">
      <c r="A149" t="s">
        <v>438</v>
      </c>
      <c r="B149" s="198">
        <f t="shared" si="4"/>
        <v>9575</v>
      </c>
      <c r="C149">
        <f t="shared" si="5"/>
        <v>50261473</v>
      </c>
      <c r="D149" s="445" t="s">
        <v>2024</v>
      </c>
      <c r="E149" t="str">
        <f>IF(ISERROR(MATCH(C149,Sales!$D$3:$D$1000,0)),"","Used")</f>
        <v/>
      </c>
    </row>
    <row r="150" spans="1:5">
      <c r="A150" t="s">
        <v>439</v>
      </c>
      <c r="B150" s="198">
        <f t="shared" si="4"/>
        <v>9575</v>
      </c>
      <c r="C150">
        <f t="shared" si="5"/>
        <v>50261481</v>
      </c>
      <c r="D150" s="445" t="s">
        <v>2024</v>
      </c>
      <c r="E150" t="str">
        <f>IF(ISERROR(MATCH(C150,Sales!$D$3:$D$1000,0)),"","Used")</f>
        <v/>
      </c>
    </row>
    <row r="151" spans="1:5">
      <c r="A151" t="s">
        <v>440</v>
      </c>
      <c r="B151" s="198">
        <f t="shared" si="4"/>
        <v>9575</v>
      </c>
      <c r="C151">
        <f t="shared" si="5"/>
        <v>50261499</v>
      </c>
      <c r="D151" s="445" t="s">
        <v>2024</v>
      </c>
      <c r="E151" t="str">
        <f>IF(ISERROR(MATCH(C151,Sales!$D$3:$D$1000,0)),"","Used")</f>
        <v/>
      </c>
    </row>
    <row r="152" spans="1:5">
      <c r="A152" t="s">
        <v>441</v>
      </c>
      <c r="B152" s="198">
        <f t="shared" si="4"/>
        <v>9575</v>
      </c>
      <c r="C152">
        <f t="shared" si="5"/>
        <v>50261507</v>
      </c>
      <c r="D152" s="445" t="s">
        <v>2024</v>
      </c>
      <c r="E152" t="str">
        <f>IF(ISERROR(MATCH(C152,Sales!$D$3:$D$1000,0)),"","Used")</f>
        <v/>
      </c>
    </row>
    <row r="153" spans="1:5">
      <c r="A153" t="s">
        <v>442</v>
      </c>
      <c r="B153" s="198">
        <f t="shared" si="4"/>
        <v>9575</v>
      </c>
      <c r="C153">
        <f t="shared" si="5"/>
        <v>50261515</v>
      </c>
      <c r="D153" s="445" t="s">
        <v>2024</v>
      </c>
      <c r="E153" t="str">
        <f>IF(ISERROR(MATCH(C153,Sales!$D$3:$D$1000,0)),"","Used")</f>
        <v/>
      </c>
    </row>
    <row r="154" spans="1:5">
      <c r="A154" t="s">
        <v>443</v>
      </c>
      <c r="B154" s="198">
        <f t="shared" si="4"/>
        <v>9575</v>
      </c>
      <c r="C154">
        <f t="shared" si="5"/>
        <v>50261523</v>
      </c>
      <c r="D154" s="445" t="s">
        <v>2024</v>
      </c>
      <c r="E154" t="str">
        <f>IF(ISERROR(MATCH(C154,Sales!$D$3:$D$1000,0)),"","Used")</f>
        <v/>
      </c>
    </row>
    <row r="155" spans="1:5">
      <c r="A155" t="s">
        <v>444</v>
      </c>
      <c r="B155" s="198">
        <f t="shared" si="4"/>
        <v>9575</v>
      </c>
      <c r="C155">
        <f t="shared" si="5"/>
        <v>50261531</v>
      </c>
      <c r="D155" s="445" t="s">
        <v>2024</v>
      </c>
      <c r="E155" t="str">
        <f>IF(ISERROR(MATCH(C155,Sales!$D$3:$D$1000,0)),"","Used")</f>
        <v/>
      </c>
    </row>
    <row r="156" spans="1:5">
      <c r="A156" t="s">
        <v>445</v>
      </c>
      <c r="B156" s="198">
        <f t="shared" si="4"/>
        <v>9575</v>
      </c>
      <c r="C156">
        <f t="shared" si="5"/>
        <v>50261549</v>
      </c>
      <c r="D156" s="445" t="s">
        <v>2024</v>
      </c>
      <c r="E156" t="str">
        <f>IF(ISERROR(MATCH(C156,Sales!$D$3:$D$1000,0)),"","Used")</f>
        <v/>
      </c>
    </row>
    <row r="157" spans="1:5">
      <c r="A157" t="s">
        <v>446</v>
      </c>
      <c r="B157" s="198">
        <f t="shared" si="4"/>
        <v>9575</v>
      </c>
      <c r="C157">
        <f t="shared" si="5"/>
        <v>50261556</v>
      </c>
      <c r="D157" s="445" t="s">
        <v>2024</v>
      </c>
      <c r="E157" t="str">
        <f>IF(ISERROR(MATCH(C157,Sales!$D$3:$D$1000,0)),"","Used")</f>
        <v/>
      </c>
    </row>
    <row r="158" spans="1:5">
      <c r="A158" t="s">
        <v>447</v>
      </c>
      <c r="B158" s="198">
        <f t="shared" si="4"/>
        <v>9575</v>
      </c>
      <c r="C158">
        <f t="shared" si="5"/>
        <v>50261564</v>
      </c>
      <c r="D158" s="445" t="s">
        <v>2024</v>
      </c>
      <c r="E158" t="str">
        <f>IF(ISERROR(MATCH(C158,Sales!$D$3:$D$1000,0)),"","Used")</f>
        <v/>
      </c>
    </row>
    <row r="159" spans="1:5">
      <c r="A159" t="s">
        <v>448</v>
      </c>
      <c r="B159" s="198">
        <f t="shared" si="4"/>
        <v>9575</v>
      </c>
      <c r="C159">
        <f t="shared" si="5"/>
        <v>50261572</v>
      </c>
      <c r="D159" s="445" t="s">
        <v>2024</v>
      </c>
      <c r="E159" t="str">
        <f>IF(ISERROR(MATCH(C159,Sales!$D$3:$D$1000,0)),"","Used")</f>
        <v/>
      </c>
    </row>
    <row r="160" spans="1:5">
      <c r="A160" t="s">
        <v>449</v>
      </c>
      <c r="B160" s="198">
        <f t="shared" si="4"/>
        <v>9575</v>
      </c>
      <c r="C160">
        <f t="shared" si="5"/>
        <v>50261580</v>
      </c>
      <c r="D160" s="445" t="s">
        <v>2024</v>
      </c>
      <c r="E160" t="str">
        <f>IF(ISERROR(MATCH(C160,Sales!$D$3:$D$1000,0)),"","Used")</f>
        <v/>
      </c>
    </row>
    <row r="161" spans="1:5">
      <c r="A161" t="s">
        <v>450</v>
      </c>
      <c r="B161" s="198">
        <f t="shared" si="4"/>
        <v>9575</v>
      </c>
      <c r="C161">
        <f t="shared" si="5"/>
        <v>50261598</v>
      </c>
      <c r="D161" s="445" t="s">
        <v>2024</v>
      </c>
      <c r="E161" t="str">
        <f>IF(ISERROR(MATCH(C161,Sales!$D$3:$D$1000,0)),"","Used")</f>
        <v/>
      </c>
    </row>
    <row r="162" spans="1:5">
      <c r="A162" t="s">
        <v>451</v>
      </c>
      <c r="B162" s="198">
        <f t="shared" si="4"/>
        <v>9575</v>
      </c>
      <c r="C162">
        <f t="shared" si="5"/>
        <v>50261606</v>
      </c>
      <c r="D162" s="445" t="s">
        <v>2024</v>
      </c>
      <c r="E162" t="str">
        <f>IF(ISERROR(MATCH(C162,Sales!$D$3:$D$1000,0)),"","Used")</f>
        <v/>
      </c>
    </row>
    <row r="163" spans="1:5">
      <c r="A163" t="s">
        <v>452</v>
      </c>
      <c r="B163" s="198">
        <f t="shared" si="4"/>
        <v>9575</v>
      </c>
      <c r="C163">
        <f t="shared" si="5"/>
        <v>50261614</v>
      </c>
      <c r="D163" s="445" t="s">
        <v>2024</v>
      </c>
      <c r="E163" t="str">
        <f>IF(ISERROR(MATCH(C163,Sales!$D$3:$D$1000,0)),"","Used")</f>
        <v/>
      </c>
    </row>
    <row r="164" spans="1:5">
      <c r="A164" t="s">
        <v>453</v>
      </c>
      <c r="B164" s="198">
        <f t="shared" si="4"/>
        <v>9575</v>
      </c>
      <c r="C164">
        <f t="shared" si="5"/>
        <v>50261622</v>
      </c>
      <c r="D164" s="445" t="s">
        <v>2024</v>
      </c>
      <c r="E164" t="str">
        <f>IF(ISERROR(MATCH(C164,Sales!$D$3:$D$1000,0)),"","Used")</f>
        <v/>
      </c>
    </row>
    <row r="165" spans="1:5">
      <c r="A165" t="s">
        <v>454</v>
      </c>
      <c r="B165" s="198">
        <f t="shared" si="4"/>
        <v>9575</v>
      </c>
      <c r="C165">
        <f t="shared" si="5"/>
        <v>50261630</v>
      </c>
      <c r="D165" s="445" t="s">
        <v>2024</v>
      </c>
      <c r="E165" t="str">
        <f>IF(ISERROR(MATCH(C165,Sales!$D$3:$D$1000,0)),"","Used")</f>
        <v/>
      </c>
    </row>
    <row r="166" spans="1:5">
      <c r="A166" t="s">
        <v>455</v>
      </c>
      <c r="B166" s="198">
        <f t="shared" si="4"/>
        <v>9575</v>
      </c>
      <c r="C166">
        <f t="shared" si="5"/>
        <v>50261648</v>
      </c>
      <c r="D166" s="445" t="s">
        <v>2024</v>
      </c>
      <c r="E166" t="str">
        <f>IF(ISERROR(MATCH(C166,Sales!$D$3:$D$1000,0)),"","Used")</f>
        <v/>
      </c>
    </row>
    <row r="167" spans="1:5">
      <c r="A167" t="s">
        <v>456</v>
      </c>
      <c r="B167" s="198">
        <f t="shared" si="4"/>
        <v>9575</v>
      </c>
      <c r="C167">
        <f t="shared" si="5"/>
        <v>50261655</v>
      </c>
      <c r="D167" s="445" t="s">
        <v>2024</v>
      </c>
      <c r="E167" t="str">
        <f>IF(ISERROR(MATCH(C167,Sales!$D$3:$D$1000,0)),"","Used")</f>
        <v/>
      </c>
    </row>
    <row r="168" spans="1:5">
      <c r="A168" t="s">
        <v>457</v>
      </c>
      <c r="B168" s="198">
        <f t="shared" si="4"/>
        <v>9575</v>
      </c>
      <c r="C168">
        <f t="shared" si="5"/>
        <v>50261663</v>
      </c>
      <c r="D168" s="445" t="s">
        <v>2024</v>
      </c>
      <c r="E168" t="str">
        <f>IF(ISERROR(MATCH(C168,Sales!$D$3:$D$1000,0)),"","Used")</f>
        <v/>
      </c>
    </row>
    <row r="169" spans="1:5">
      <c r="A169" t="s">
        <v>458</v>
      </c>
      <c r="B169" s="198">
        <f t="shared" si="4"/>
        <v>9575</v>
      </c>
      <c r="C169">
        <f t="shared" si="5"/>
        <v>50261671</v>
      </c>
      <c r="D169" s="445" t="s">
        <v>2024</v>
      </c>
      <c r="E169" t="str">
        <f>IF(ISERROR(MATCH(C169,Sales!$D$3:$D$1000,0)),"","Used")</f>
        <v/>
      </c>
    </row>
    <row r="170" spans="1:5">
      <c r="A170" t="s">
        <v>459</v>
      </c>
      <c r="B170" s="198">
        <f t="shared" si="4"/>
        <v>9575</v>
      </c>
      <c r="C170">
        <f t="shared" si="5"/>
        <v>50261689</v>
      </c>
      <c r="D170" s="445" t="s">
        <v>2024</v>
      </c>
      <c r="E170" t="str">
        <f>IF(ISERROR(MATCH(C170,Sales!$D$3:$D$1000,0)),"","Used")</f>
        <v/>
      </c>
    </row>
    <row r="171" spans="1:5">
      <c r="A171" t="s">
        <v>460</v>
      </c>
      <c r="B171" s="198">
        <f t="shared" si="4"/>
        <v>9575</v>
      </c>
      <c r="C171">
        <f t="shared" si="5"/>
        <v>50261697</v>
      </c>
      <c r="D171" s="445" t="s">
        <v>2024</v>
      </c>
      <c r="E171" t="str">
        <f>IF(ISERROR(MATCH(C171,Sales!$D$3:$D$1000,0)),"","Used")</f>
        <v/>
      </c>
    </row>
    <row r="172" spans="1:5">
      <c r="A172" t="s">
        <v>461</v>
      </c>
      <c r="B172" s="198">
        <f t="shared" si="4"/>
        <v>9575</v>
      </c>
      <c r="C172">
        <f t="shared" si="5"/>
        <v>50261705</v>
      </c>
      <c r="D172" s="445" t="s">
        <v>2024</v>
      </c>
      <c r="E172" t="str">
        <f>IF(ISERROR(MATCH(C172,Sales!$D$3:$D$1000,0)),"","Used")</f>
        <v/>
      </c>
    </row>
    <row r="173" spans="1:5">
      <c r="A173" t="s">
        <v>462</v>
      </c>
      <c r="B173" s="198">
        <f t="shared" si="4"/>
        <v>9575</v>
      </c>
      <c r="C173">
        <f t="shared" si="5"/>
        <v>50261713</v>
      </c>
      <c r="D173" s="460" t="s">
        <v>242</v>
      </c>
      <c r="E173" t="str">
        <f>IF(ISERROR(MATCH(C173,Sales!$D$3:$D$1000,0)),"","Used")</f>
        <v/>
      </c>
    </row>
    <row r="174" spans="1:5">
      <c r="A174" t="s">
        <v>463</v>
      </c>
      <c r="B174" s="198">
        <f t="shared" si="4"/>
        <v>9575</v>
      </c>
      <c r="C174">
        <f t="shared" si="5"/>
        <v>50261721</v>
      </c>
      <c r="D174" s="460" t="s">
        <v>242</v>
      </c>
      <c r="E174" t="str">
        <f>IF(ISERROR(MATCH(C174,Sales!$D$3:$D$1000,0)),"","Used")</f>
        <v/>
      </c>
    </row>
    <row r="175" spans="1:5">
      <c r="A175" t="s">
        <v>464</v>
      </c>
      <c r="B175" s="198">
        <f t="shared" si="4"/>
        <v>9575</v>
      </c>
      <c r="C175">
        <f t="shared" si="5"/>
        <v>50261739</v>
      </c>
      <c r="D175" s="460" t="s">
        <v>242</v>
      </c>
      <c r="E175" t="str">
        <f>IF(ISERROR(MATCH(C175,Sales!$D$3:$D$1000,0)),"","Used")</f>
        <v/>
      </c>
    </row>
    <row r="176" spans="1:5">
      <c r="A176" t="s">
        <v>465</v>
      </c>
      <c r="B176" s="198">
        <f t="shared" si="4"/>
        <v>9575</v>
      </c>
      <c r="C176">
        <f t="shared" si="5"/>
        <v>50261747</v>
      </c>
      <c r="D176" s="460" t="s">
        <v>242</v>
      </c>
      <c r="E176" t="str">
        <f>IF(ISERROR(MATCH(C176,Sales!$D$3:$D$1000,0)),"","Used")</f>
        <v/>
      </c>
    </row>
    <row r="177" spans="1:5">
      <c r="A177" t="s">
        <v>466</v>
      </c>
      <c r="B177" s="198">
        <f t="shared" si="4"/>
        <v>9575</v>
      </c>
      <c r="C177">
        <f t="shared" si="5"/>
        <v>50261754</v>
      </c>
      <c r="D177" s="460" t="s">
        <v>242</v>
      </c>
      <c r="E177" t="str">
        <f>IF(ISERROR(MATCH(C177,Sales!$D$3:$D$1000,0)),"","Used")</f>
        <v/>
      </c>
    </row>
    <row r="178" spans="1:5">
      <c r="A178" t="s">
        <v>467</v>
      </c>
      <c r="B178" s="198">
        <f t="shared" si="4"/>
        <v>9575</v>
      </c>
      <c r="C178">
        <f t="shared" si="5"/>
        <v>50261762</v>
      </c>
      <c r="D178" s="460" t="s">
        <v>242</v>
      </c>
      <c r="E178" t="str">
        <f>IF(ISERROR(MATCH(C178,Sales!$D$3:$D$1000,0)),"","Used")</f>
        <v/>
      </c>
    </row>
    <row r="179" spans="1:5">
      <c r="A179" t="s">
        <v>468</v>
      </c>
      <c r="B179" s="198">
        <f t="shared" si="4"/>
        <v>9575</v>
      </c>
      <c r="C179">
        <f t="shared" si="5"/>
        <v>50261770</v>
      </c>
      <c r="D179" s="460" t="s">
        <v>242</v>
      </c>
      <c r="E179" t="str">
        <f>IF(ISERROR(MATCH(C179,Sales!$D$3:$D$1000,0)),"","Used")</f>
        <v/>
      </c>
    </row>
    <row r="180" spans="1:5">
      <c r="A180" t="s">
        <v>469</v>
      </c>
      <c r="B180" s="198">
        <f t="shared" si="4"/>
        <v>9575</v>
      </c>
      <c r="C180">
        <f t="shared" si="5"/>
        <v>50261788</v>
      </c>
      <c r="D180" s="460" t="s">
        <v>242</v>
      </c>
      <c r="E180" t="str">
        <f>IF(ISERROR(MATCH(C180,Sales!$D$3:$D$1000,0)),"","Used")</f>
        <v/>
      </c>
    </row>
    <row r="181" spans="1:5">
      <c r="A181" t="s">
        <v>470</v>
      </c>
      <c r="B181" s="198">
        <f t="shared" si="4"/>
        <v>9575</v>
      </c>
      <c r="C181">
        <f t="shared" si="5"/>
        <v>50261796</v>
      </c>
      <c r="D181" s="460" t="s">
        <v>242</v>
      </c>
      <c r="E181" t="str">
        <f>IF(ISERROR(MATCH(C181,Sales!$D$3:$D$1000,0)),"","Used")</f>
        <v/>
      </c>
    </row>
    <row r="182" spans="1:5">
      <c r="A182" t="s">
        <v>471</v>
      </c>
      <c r="B182" s="198">
        <f t="shared" si="4"/>
        <v>9575</v>
      </c>
      <c r="C182">
        <f t="shared" si="5"/>
        <v>50261804</v>
      </c>
      <c r="D182" s="460" t="s">
        <v>242</v>
      </c>
      <c r="E182" t="str">
        <f>IF(ISERROR(MATCH(C182,Sales!$D$3:$D$1000,0)),"","Used")</f>
        <v/>
      </c>
    </row>
    <row r="183" spans="1:5">
      <c r="A183" t="s">
        <v>472</v>
      </c>
      <c r="B183" s="198">
        <f t="shared" si="4"/>
        <v>9575</v>
      </c>
      <c r="C183">
        <f t="shared" si="5"/>
        <v>50261812</v>
      </c>
      <c r="D183" s="463" t="s">
        <v>2281</v>
      </c>
      <c r="E183" t="str">
        <f>IF(ISERROR(MATCH(C183,Sales!$D$3:$D$1000,0)),"","Used")</f>
        <v/>
      </c>
    </row>
    <row r="184" spans="1:5">
      <c r="A184" t="s">
        <v>473</v>
      </c>
      <c r="B184" s="198">
        <f t="shared" si="4"/>
        <v>9575</v>
      </c>
      <c r="C184">
        <f t="shared" si="5"/>
        <v>50261838</v>
      </c>
      <c r="D184" s="463" t="s">
        <v>2281</v>
      </c>
      <c r="E184" t="str">
        <f>IF(ISERROR(MATCH(C184,Sales!$D$3:$D$1000,0)),"","Used")</f>
        <v/>
      </c>
    </row>
    <row r="185" spans="1:5">
      <c r="A185" t="s">
        <v>474</v>
      </c>
      <c r="B185" s="198">
        <f t="shared" si="4"/>
        <v>9575</v>
      </c>
      <c r="C185">
        <f t="shared" si="5"/>
        <v>50261846</v>
      </c>
      <c r="D185" s="463" t="s">
        <v>2281</v>
      </c>
      <c r="E185" t="str">
        <f>IF(ISERROR(MATCH(C185,Sales!$D$3:$D$1000,0)),"","Used")</f>
        <v/>
      </c>
    </row>
    <row r="186" spans="1:5">
      <c r="A186" t="s">
        <v>475</v>
      </c>
      <c r="B186" s="198">
        <f t="shared" si="4"/>
        <v>9575</v>
      </c>
      <c r="C186">
        <f t="shared" si="5"/>
        <v>50261853</v>
      </c>
      <c r="D186" s="463" t="s">
        <v>2281</v>
      </c>
      <c r="E186" t="str">
        <f>IF(ISERROR(MATCH(C186,Sales!$D$3:$D$1000,0)),"","Used")</f>
        <v/>
      </c>
    </row>
    <row r="187" spans="1:5">
      <c r="A187" t="s">
        <v>476</v>
      </c>
      <c r="B187" s="198">
        <f t="shared" si="4"/>
        <v>9575</v>
      </c>
      <c r="C187">
        <f t="shared" si="5"/>
        <v>50261861</v>
      </c>
      <c r="D187" s="463" t="s">
        <v>2281</v>
      </c>
      <c r="E187" t="str">
        <f>IF(ISERROR(MATCH(C187,Sales!$D$3:$D$1000,0)),"","Used")</f>
        <v/>
      </c>
    </row>
    <row r="188" spans="1:5">
      <c r="A188" t="s">
        <v>477</v>
      </c>
      <c r="B188" s="198">
        <f t="shared" si="4"/>
        <v>9575</v>
      </c>
      <c r="C188">
        <f t="shared" si="5"/>
        <v>50261879</v>
      </c>
      <c r="D188" s="463" t="s">
        <v>2281</v>
      </c>
      <c r="E188" t="str">
        <f>IF(ISERROR(MATCH(C188,Sales!$D$3:$D$1000,0)),"","Used")</f>
        <v/>
      </c>
    </row>
    <row r="189" spans="1:5">
      <c r="A189" t="s">
        <v>478</v>
      </c>
      <c r="B189" s="198">
        <f t="shared" si="4"/>
        <v>9575</v>
      </c>
      <c r="C189">
        <f t="shared" si="5"/>
        <v>50261887</v>
      </c>
      <c r="D189" s="463" t="s">
        <v>2281</v>
      </c>
      <c r="E189" t="str">
        <f>IF(ISERROR(MATCH(C189,Sales!$D$3:$D$1000,0)),"","Used")</f>
        <v/>
      </c>
    </row>
    <row r="190" spans="1:5">
      <c r="A190" t="s">
        <v>479</v>
      </c>
      <c r="B190" s="198">
        <f t="shared" si="4"/>
        <v>9575</v>
      </c>
      <c r="C190">
        <f t="shared" si="5"/>
        <v>50261895</v>
      </c>
      <c r="D190" s="463" t="s">
        <v>2281</v>
      </c>
      <c r="E190" t="str">
        <f>IF(ISERROR(MATCH(C190,Sales!$D$3:$D$1000,0)),"","Used")</f>
        <v/>
      </c>
    </row>
    <row r="191" spans="1:5">
      <c r="A191" t="s">
        <v>480</v>
      </c>
      <c r="B191" s="198">
        <f t="shared" si="4"/>
        <v>9575</v>
      </c>
      <c r="C191">
        <f t="shared" si="5"/>
        <v>50261903</v>
      </c>
      <c r="D191" s="463" t="s">
        <v>2281</v>
      </c>
      <c r="E191" t="str">
        <f>IF(ISERROR(MATCH(C191,Sales!$D$3:$D$1000,0)),"","Used")</f>
        <v/>
      </c>
    </row>
    <row r="192" spans="1:5">
      <c r="A192" t="s">
        <v>481</v>
      </c>
      <c r="B192" s="198">
        <f t="shared" si="4"/>
        <v>9575</v>
      </c>
      <c r="C192">
        <f t="shared" si="5"/>
        <v>50261911</v>
      </c>
      <c r="D192" s="463" t="s">
        <v>2281</v>
      </c>
      <c r="E192" t="str">
        <f>IF(ISERROR(MATCH(C192,Sales!$D$3:$D$1000,0)),"","Used")</f>
        <v/>
      </c>
    </row>
    <row r="193" spans="1:5">
      <c r="A193" t="s">
        <v>482</v>
      </c>
      <c r="B193" s="198">
        <f t="shared" si="4"/>
        <v>9575</v>
      </c>
      <c r="C193">
        <f t="shared" si="5"/>
        <v>50261929</v>
      </c>
      <c r="E193" t="str">
        <f>IF(ISERROR(MATCH(C193,Sales!$D$3:$D$1000,0)),"","Used")</f>
        <v/>
      </c>
    </row>
    <row r="194" spans="1:5">
      <c r="A194" t="s">
        <v>483</v>
      </c>
      <c r="B194" s="198">
        <f t="shared" si="4"/>
        <v>9575</v>
      </c>
      <c r="C194">
        <f t="shared" si="5"/>
        <v>50261937</v>
      </c>
      <c r="E194" t="str">
        <f>IF(ISERROR(MATCH(C194,Sales!$D$3:$D$1000,0)),"","Used")</f>
        <v/>
      </c>
    </row>
    <row r="195" spans="1:5">
      <c r="A195" t="s">
        <v>484</v>
      </c>
      <c r="B195" s="198">
        <f t="shared" si="4"/>
        <v>9575</v>
      </c>
      <c r="C195">
        <f t="shared" si="5"/>
        <v>50261945</v>
      </c>
      <c r="E195" t="str">
        <f>IF(ISERROR(MATCH(C195,Sales!$D$3:$D$1000,0)),"","Used")</f>
        <v/>
      </c>
    </row>
    <row r="196" spans="1:5">
      <c r="A196" t="s">
        <v>485</v>
      </c>
      <c r="B196" s="198">
        <f t="shared" ref="B196:B259" si="6">VALUE(LEFT(A196,4))</f>
        <v>9575</v>
      </c>
      <c r="C196">
        <f t="shared" ref="C196:C259" si="7">VALUE(RIGHT(A196,8))</f>
        <v>50261952</v>
      </c>
      <c r="E196" t="str">
        <f>IF(ISERROR(MATCH(C196,Sales!$D$3:$D$1000,0)),"","Used")</f>
        <v/>
      </c>
    </row>
    <row r="197" spans="1:5">
      <c r="A197" t="s">
        <v>486</v>
      </c>
      <c r="B197" s="198">
        <f t="shared" si="6"/>
        <v>9575</v>
      </c>
      <c r="C197">
        <f t="shared" si="7"/>
        <v>50261960</v>
      </c>
      <c r="E197" t="str">
        <f>IF(ISERROR(MATCH(C197,Sales!$D$3:$D$1000,0)),"","Used")</f>
        <v/>
      </c>
    </row>
    <row r="198" spans="1:5">
      <c r="A198" t="s">
        <v>487</v>
      </c>
      <c r="B198" s="198">
        <f t="shared" si="6"/>
        <v>9575</v>
      </c>
      <c r="C198">
        <f t="shared" si="7"/>
        <v>50261978</v>
      </c>
      <c r="E198" t="str">
        <f>IF(ISERROR(MATCH(C198,Sales!$D$3:$D$1000,0)),"","Used")</f>
        <v/>
      </c>
    </row>
    <row r="199" spans="1:5">
      <c r="A199" t="s">
        <v>488</v>
      </c>
      <c r="B199" s="198">
        <f t="shared" si="6"/>
        <v>9575</v>
      </c>
      <c r="C199">
        <f t="shared" si="7"/>
        <v>50261986</v>
      </c>
      <c r="E199" t="str">
        <f>IF(ISERROR(MATCH(C199,Sales!$D$3:$D$1000,0)),"","Used")</f>
        <v/>
      </c>
    </row>
    <row r="200" spans="1:5">
      <c r="A200" t="s">
        <v>489</v>
      </c>
      <c r="B200" s="198">
        <f t="shared" si="6"/>
        <v>9575</v>
      </c>
      <c r="C200">
        <f t="shared" si="7"/>
        <v>50261994</v>
      </c>
      <c r="E200" t="str">
        <f>IF(ISERROR(MATCH(C200,Sales!$D$3:$D$1000,0)),"","Used")</f>
        <v/>
      </c>
    </row>
    <row r="201" spans="1:5">
      <c r="A201" t="s">
        <v>490</v>
      </c>
      <c r="B201" s="198">
        <f t="shared" si="6"/>
        <v>9575</v>
      </c>
      <c r="C201">
        <f t="shared" si="7"/>
        <v>50262000</v>
      </c>
      <c r="E201" t="str">
        <f>IF(ISERROR(MATCH(C201,Sales!$D$3:$D$1000,0)),"","Used")</f>
        <v/>
      </c>
    </row>
    <row r="202" spans="1:5">
      <c r="A202" t="s">
        <v>491</v>
      </c>
      <c r="B202" s="198">
        <f t="shared" si="6"/>
        <v>9575</v>
      </c>
      <c r="C202">
        <f t="shared" si="7"/>
        <v>50262018</v>
      </c>
      <c r="E202" t="str">
        <f>IF(ISERROR(MATCH(C202,Sales!$D$3:$D$1000,0)),"","Used")</f>
        <v/>
      </c>
    </row>
    <row r="203" spans="1:5">
      <c r="A203" t="s">
        <v>492</v>
      </c>
      <c r="B203" s="198">
        <f t="shared" si="6"/>
        <v>9575</v>
      </c>
      <c r="C203">
        <f t="shared" si="7"/>
        <v>50262026</v>
      </c>
      <c r="E203" t="str">
        <f>IF(ISERROR(MATCH(C203,Sales!$D$3:$D$1000,0)),"","Used")</f>
        <v/>
      </c>
    </row>
    <row r="204" spans="1:5">
      <c r="A204" t="s">
        <v>493</v>
      </c>
      <c r="B204" s="198">
        <f t="shared" si="6"/>
        <v>9575</v>
      </c>
      <c r="C204">
        <f t="shared" si="7"/>
        <v>50262034</v>
      </c>
      <c r="E204" t="str">
        <f>IF(ISERROR(MATCH(C204,Sales!$D$3:$D$1000,0)),"","Used")</f>
        <v/>
      </c>
    </row>
    <row r="205" spans="1:5">
      <c r="A205" t="s">
        <v>494</v>
      </c>
      <c r="B205" s="198">
        <f t="shared" si="6"/>
        <v>9575</v>
      </c>
      <c r="C205">
        <f t="shared" si="7"/>
        <v>50262042</v>
      </c>
      <c r="E205" t="str">
        <f>IF(ISERROR(MATCH(C205,Sales!$D$3:$D$1000,0)),"","Used")</f>
        <v/>
      </c>
    </row>
    <row r="206" spans="1:5">
      <c r="A206" t="s">
        <v>495</v>
      </c>
      <c r="B206" s="198">
        <f t="shared" si="6"/>
        <v>9575</v>
      </c>
      <c r="C206">
        <f t="shared" si="7"/>
        <v>50262059</v>
      </c>
      <c r="E206" t="str">
        <f>IF(ISERROR(MATCH(C206,Sales!$D$3:$D$1000,0)),"","Used")</f>
        <v/>
      </c>
    </row>
    <row r="207" spans="1:5">
      <c r="A207" t="s">
        <v>496</v>
      </c>
      <c r="B207" s="198">
        <f t="shared" si="6"/>
        <v>9575</v>
      </c>
      <c r="C207">
        <f t="shared" si="7"/>
        <v>50262067</v>
      </c>
      <c r="E207" t="str">
        <f>IF(ISERROR(MATCH(C207,Sales!$D$3:$D$1000,0)),"","Used")</f>
        <v/>
      </c>
    </row>
    <row r="208" spans="1:5">
      <c r="A208" t="s">
        <v>497</v>
      </c>
      <c r="B208" s="198">
        <f t="shared" si="6"/>
        <v>9575</v>
      </c>
      <c r="C208">
        <f t="shared" si="7"/>
        <v>50262075</v>
      </c>
      <c r="E208" t="str">
        <f>IF(ISERROR(MATCH(C208,Sales!$D$3:$D$1000,0)),"","Used")</f>
        <v/>
      </c>
    </row>
    <row r="209" spans="1:5">
      <c r="A209" t="s">
        <v>498</v>
      </c>
      <c r="B209" s="198">
        <f t="shared" si="6"/>
        <v>9575</v>
      </c>
      <c r="C209">
        <f t="shared" si="7"/>
        <v>50262083</v>
      </c>
      <c r="E209" t="str">
        <f>IF(ISERROR(MATCH(C209,Sales!$D$3:$D$1000,0)),"","Used")</f>
        <v/>
      </c>
    </row>
    <row r="210" spans="1:5">
      <c r="A210" t="s">
        <v>499</v>
      </c>
      <c r="B210" s="198">
        <f t="shared" si="6"/>
        <v>9575</v>
      </c>
      <c r="C210">
        <f t="shared" si="7"/>
        <v>50262091</v>
      </c>
      <c r="E210" t="str">
        <f>IF(ISERROR(MATCH(C210,Sales!$D$3:$D$1000,0)),"","Used")</f>
        <v/>
      </c>
    </row>
    <row r="211" spans="1:5">
      <c r="A211" t="s">
        <v>500</v>
      </c>
      <c r="B211" s="198">
        <f t="shared" si="6"/>
        <v>9575</v>
      </c>
      <c r="C211">
        <f t="shared" si="7"/>
        <v>50262109</v>
      </c>
      <c r="E211" t="str">
        <f>IF(ISERROR(MATCH(C211,Sales!$D$3:$D$1000,0)),"","Used")</f>
        <v/>
      </c>
    </row>
    <row r="212" spans="1:5">
      <c r="A212" t="s">
        <v>501</v>
      </c>
      <c r="B212" s="198">
        <f t="shared" si="6"/>
        <v>9575</v>
      </c>
      <c r="C212">
        <f t="shared" si="7"/>
        <v>50262117</v>
      </c>
      <c r="E212" t="str">
        <f>IF(ISERROR(MATCH(C212,Sales!$D$3:$D$1000,0)),"","Used")</f>
        <v/>
      </c>
    </row>
    <row r="213" spans="1:5">
      <c r="A213" t="s">
        <v>502</v>
      </c>
      <c r="B213" s="198">
        <f t="shared" si="6"/>
        <v>9575</v>
      </c>
      <c r="C213">
        <f t="shared" si="7"/>
        <v>50262125</v>
      </c>
      <c r="E213" t="str">
        <f>IF(ISERROR(MATCH(C213,Sales!$D$3:$D$1000,0)),"","Used")</f>
        <v/>
      </c>
    </row>
    <row r="214" spans="1:5">
      <c r="A214" t="s">
        <v>503</v>
      </c>
      <c r="B214" s="198">
        <f t="shared" si="6"/>
        <v>9575</v>
      </c>
      <c r="C214">
        <f t="shared" si="7"/>
        <v>50262133</v>
      </c>
      <c r="E214" t="str">
        <f>IF(ISERROR(MATCH(C214,Sales!$D$3:$D$1000,0)),"","Used")</f>
        <v/>
      </c>
    </row>
    <row r="215" spans="1:5">
      <c r="A215" t="s">
        <v>504</v>
      </c>
      <c r="B215" s="198">
        <f t="shared" si="6"/>
        <v>9575</v>
      </c>
      <c r="C215">
        <f t="shared" si="7"/>
        <v>50262141</v>
      </c>
      <c r="E215" t="str">
        <f>IF(ISERROR(MATCH(C215,Sales!$D$3:$D$1000,0)),"","Used")</f>
        <v/>
      </c>
    </row>
    <row r="216" spans="1:5">
      <c r="A216" t="s">
        <v>505</v>
      </c>
      <c r="B216" s="198">
        <f t="shared" si="6"/>
        <v>9575</v>
      </c>
      <c r="C216">
        <f t="shared" si="7"/>
        <v>50262158</v>
      </c>
      <c r="E216" t="str">
        <f>IF(ISERROR(MATCH(C216,Sales!$D$3:$D$1000,0)),"","Used")</f>
        <v/>
      </c>
    </row>
    <row r="217" spans="1:5">
      <c r="A217" t="s">
        <v>506</v>
      </c>
      <c r="B217" s="198">
        <f t="shared" si="6"/>
        <v>9575</v>
      </c>
      <c r="C217">
        <f t="shared" si="7"/>
        <v>50262166</v>
      </c>
      <c r="E217" t="str">
        <f>IF(ISERROR(MATCH(C217,Sales!$D$3:$D$1000,0)),"","Used")</f>
        <v/>
      </c>
    </row>
    <row r="218" spans="1:5">
      <c r="A218" t="s">
        <v>507</v>
      </c>
      <c r="B218" s="198">
        <f t="shared" si="6"/>
        <v>9575</v>
      </c>
      <c r="C218">
        <f t="shared" si="7"/>
        <v>50262174</v>
      </c>
      <c r="E218" t="str">
        <f>IF(ISERROR(MATCH(C218,Sales!$D$3:$D$1000,0)),"","Used")</f>
        <v/>
      </c>
    </row>
    <row r="219" spans="1:5">
      <c r="A219" t="s">
        <v>508</v>
      </c>
      <c r="B219" s="198">
        <f t="shared" si="6"/>
        <v>9575</v>
      </c>
      <c r="C219">
        <f t="shared" si="7"/>
        <v>50262182</v>
      </c>
      <c r="E219" t="str">
        <f>IF(ISERROR(MATCH(C219,Sales!$D$3:$D$1000,0)),"","Used")</f>
        <v/>
      </c>
    </row>
    <row r="220" spans="1:5">
      <c r="A220" t="s">
        <v>509</v>
      </c>
      <c r="B220" s="198">
        <f t="shared" si="6"/>
        <v>9575</v>
      </c>
      <c r="C220">
        <f t="shared" si="7"/>
        <v>50262190</v>
      </c>
      <c r="E220" t="str">
        <f>IF(ISERROR(MATCH(C220,Sales!$D$3:$D$1000,0)),"","Used")</f>
        <v/>
      </c>
    </row>
    <row r="221" spans="1:5">
      <c r="A221" t="s">
        <v>510</v>
      </c>
      <c r="B221" s="198">
        <f t="shared" si="6"/>
        <v>9575</v>
      </c>
      <c r="C221">
        <f t="shared" si="7"/>
        <v>50262208</v>
      </c>
      <c r="E221" t="str">
        <f>IF(ISERROR(MATCH(C221,Sales!$D$3:$D$1000,0)),"","Used")</f>
        <v/>
      </c>
    </row>
    <row r="222" spans="1:5">
      <c r="A222" t="s">
        <v>511</v>
      </c>
      <c r="B222" s="198">
        <f t="shared" si="6"/>
        <v>9575</v>
      </c>
      <c r="C222">
        <f t="shared" si="7"/>
        <v>50262216</v>
      </c>
      <c r="E222" t="str">
        <f>IF(ISERROR(MATCH(C222,Sales!$D$3:$D$1000,0)),"","Used")</f>
        <v/>
      </c>
    </row>
    <row r="223" spans="1:5">
      <c r="A223" t="s">
        <v>512</v>
      </c>
      <c r="B223" s="198">
        <f t="shared" si="6"/>
        <v>9575</v>
      </c>
      <c r="C223">
        <f t="shared" si="7"/>
        <v>50262224</v>
      </c>
      <c r="E223" t="str">
        <f>IF(ISERROR(MATCH(C223,Sales!$D$3:$D$1000,0)),"","Used")</f>
        <v/>
      </c>
    </row>
    <row r="224" spans="1:5">
      <c r="A224" t="s">
        <v>513</v>
      </c>
      <c r="B224" s="198">
        <f t="shared" si="6"/>
        <v>9575</v>
      </c>
      <c r="C224">
        <f t="shared" si="7"/>
        <v>50262232</v>
      </c>
      <c r="E224" t="str">
        <f>IF(ISERROR(MATCH(C224,Sales!$D$3:$D$1000,0)),"","Used")</f>
        <v/>
      </c>
    </row>
    <row r="225" spans="1:5">
      <c r="A225" t="s">
        <v>514</v>
      </c>
      <c r="B225" s="198">
        <f t="shared" si="6"/>
        <v>9575</v>
      </c>
      <c r="C225">
        <f t="shared" si="7"/>
        <v>50262240</v>
      </c>
      <c r="E225" t="str">
        <f>IF(ISERROR(MATCH(C225,Sales!$D$3:$D$1000,0)),"","Used")</f>
        <v/>
      </c>
    </row>
    <row r="226" spans="1:5">
      <c r="A226" t="s">
        <v>515</v>
      </c>
      <c r="B226" s="198">
        <f t="shared" si="6"/>
        <v>9575</v>
      </c>
      <c r="C226">
        <f t="shared" si="7"/>
        <v>50262257</v>
      </c>
      <c r="E226" t="str">
        <f>IF(ISERROR(MATCH(C226,Sales!$D$3:$D$1000,0)),"","Used")</f>
        <v/>
      </c>
    </row>
    <row r="227" spans="1:5">
      <c r="A227" t="s">
        <v>516</v>
      </c>
      <c r="B227" s="198">
        <f t="shared" si="6"/>
        <v>9575</v>
      </c>
      <c r="C227">
        <f t="shared" si="7"/>
        <v>50262265</v>
      </c>
      <c r="E227" t="str">
        <f>IF(ISERROR(MATCH(C227,Sales!$D$3:$D$1000,0)),"","Used")</f>
        <v/>
      </c>
    </row>
    <row r="228" spans="1:5">
      <c r="A228" t="s">
        <v>517</v>
      </c>
      <c r="B228" s="198">
        <f t="shared" si="6"/>
        <v>9575</v>
      </c>
      <c r="C228">
        <f t="shared" si="7"/>
        <v>50262273</v>
      </c>
      <c r="E228" t="str">
        <f>IF(ISERROR(MATCH(C228,Sales!$D$3:$D$1000,0)),"","Used")</f>
        <v/>
      </c>
    </row>
    <row r="229" spans="1:5">
      <c r="A229" t="s">
        <v>518</v>
      </c>
      <c r="B229" s="198">
        <f t="shared" si="6"/>
        <v>9575</v>
      </c>
      <c r="C229">
        <f t="shared" si="7"/>
        <v>50262281</v>
      </c>
      <c r="E229" t="str">
        <f>IF(ISERROR(MATCH(C229,Sales!$D$3:$D$1000,0)),"","Used")</f>
        <v/>
      </c>
    </row>
    <row r="230" spans="1:5">
      <c r="A230" t="s">
        <v>519</v>
      </c>
      <c r="B230" s="198">
        <f t="shared" si="6"/>
        <v>9575</v>
      </c>
      <c r="C230">
        <f t="shared" si="7"/>
        <v>50262299</v>
      </c>
      <c r="E230" t="str">
        <f>IF(ISERROR(MATCH(C230,Sales!$D$3:$D$1000,0)),"","Used")</f>
        <v/>
      </c>
    </row>
    <row r="231" spans="1:5">
      <c r="A231" t="s">
        <v>520</v>
      </c>
      <c r="B231" s="198">
        <f t="shared" si="6"/>
        <v>9575</v>
      </c>
      <c r="C231">
        <f t="shared" si="7"/>
        <v>50262307</v>
      </c>
      <c r="E231" t="str">
        <f>IF(ISERROR(MATCH(C231,Sales!$D$3:$D$1000,0)),"","Used")</f>
        <v/>
      </c>
    </row>
    <row r="232" spans="1:5">
      <c r="A232" t="s">
        <v>521</v>
      </c>
      <c r="B232" s="198">
        <f t="shared" si="6"/>
        <v>9575</v>
      </c>
      <c r="C232">
        <f t="shared" si="7"/>
        <v>50262315</v>
      </c>
      <c r="E232" t="str">
        <f>IF(ISERROR(MATCH(C232,Sales!$D$3:$D$1000,0)),"","Used")</f>
        <v/>
      </c>
    </row>
    <row r="233" spans="1:5">
      <c r="A233" t="s">
        <v>522</v>
      </c>
      <c r="B233" s="198">
        <f t="shared" si="6"/>
        <v>9575</v>
      </c>
      <c r="C233">
        <f t="shared" si="7"/>
        <v>50262323</v>
      </c>
      <c r="E233" t="str">
        <f>IF(ISERROR(MATCH(C233,Sales!$D$3:$D$1000,0)),"","Used")</f>
        <v/>
      </c>
    </row>
    <row r="234" spans="1:5">
      <c r="A234" t="s">
        <v>523</v>
      </c>
      <c r="B234" s="198">
        <f t="shared" si="6"/>
        <v>9575</v>
      </c>
      <c r="C234">
        <f t="shared" si="7"/>
        <v>50262331</v>
      </c>
      <c r="E234" t="str">
        <f>IF(ISERROR(MATCH(C234,Sales!$D$3:$D$1000,0)),"","Used")</f>
        <v/>
      </c>
    </row>
    <row r="235" spans="1:5">
      <c r="A235" t="s">
        <v>524</v>
      </c>
      <c r="B235" s="198">
        <f t="shared" si="6"/>
        <v>9575</v>
      </c>
      <c r="C235">
        <f t="shared" si="7"/>
        <v>50262349</v>
      </c>
      <c r="E235" t="str">
        <f>IF(ISERROR(MATCH(C235,Sales!$D$3:$D$1000,0)),"","Used")</f>
        <v/>
      </c>
    </row>
    <row r="236" spans="1:5">
      <c r="A236" t="s">
        <v>525</v>
      </c>
      <c r="B236" s="198">
        <f t="shared" si="6"/>
        <v>9575</v>
      </c>
      <c r="C236">
        <f t="shared" si="7"/>
        <v>50262356</v>
      </c>
      <c r="E236" t="str">
        <f>IF(ISERROR(MATCH(C236,Sales!$D$3:$D$1000,0)),"","Used")</f>
        <v/>
      </c>
    </row>
    <row r="237" spans="1:5">
      <c r="A237" t="s">
        <v>526</v>
      </c>
      <c r="B237" s="198">
        <f t="shared" si="6"/>
        <v>9575</v>
      </c>
      <c r="C237">
        <f t="shared" si="7"/>
        <v>50262364</v>
      </c>
      <c r="E237" t="str">
        <f>IF(ISERROR(MATCH(C237,Sales!$D$3:$D$1000,0)),"","Used")</f>
        <v/>
      </c>
    </row>
    <row r="238" spans="1:5">
      <c r="A238" t="s">
        <v>527</v>
      </c>
      <c r="B238" s="198">
        <f t="shared" si="6"/>
        <v>9575</v>
      </c>
      <c r="C238">
        <f t="shared" si="7"/>
        <v>50262372</v>
      </c>
      <c r="E238" t="str">
        <f>IF(ISERROR(MATCH(C238,Sales!$D$3:$D$1000,0)),"","Used")</f>
        <v/>
      </c>
    </row>
    <row r="239" spans="1:5">
      <c r="A239" t="s">
        <v>528</v>
      </c>
      <c r="B239" s="198">
        <f t="shared" si="6"/>
        <v>9575</v>
      </c>
      <c r="C239">
        <f t="shared" si="7"/>
        <v>50262380</v>
      </c>
      <c r="E239" t="str">
        <f>IF(ISERROR(MATCH(C239,Sales!$D$3:$D$1000,0)),"","Used")</f>
        <v/>
      </c>
    </row>
    <row r="240" spans="1:5">
      <c r="A240" t="s">
        <v>529</v>
      </c>
      <c r="B240" s="198">
        <f t="shared" si="6"/>
        <v>9575</v>
      </c>
      <c r="C240">
        <f t="shared" si="7"/>
        <v>50262398</v>
      </c>
      <c r="E240" t="str">
        <f>IF(ISERROR(MATCH(C240,Sales!$D$3:$D$1000,0)),"","Used")</f>
        <v/>
      </c>
    </row>
    <row r="241" spans="1:5">
      <c r="A241" t="s">
        <v>530</v>
      </c>
      <c r="B241" s="198">
        <f t="shared" si="6"/>
        <v>9575</v>
      </c>
      <c r="C241">
        <f t="shared" si="7"/>
        <v>50262406</v>
      </c>
      <c r="E241" t="str">
        <f>IF(ISERROR(MATCH(C241,Sales!$D$3:$D$1000,0)),"","Used")</f>
        <v/>
      </c>
    </row>
    <row r="242" spans="1:5">
      <c r="A242" t="s">
        <v>531</v>
      </c>
      <c r="B242" s="198">
        <f t="shared" si="6"/>
        <v>9575</v>
      </c>
      <c r="C242">
        <f t="shared" si="7"/>
        <v>50262414</v>
      </c>
      <c r="E242" t="str">
        <f>IF(ISERROR(MATCH(C242,Sales!$D$3:$D$1000,0)),"","Used")</f>
        <v/>
      </c>
    </row>
    <row r="243" spans="1:5">
      <c r="A243" t="s">
        <v>532</v>
      </c>
      <c r="B243" s="198">
        <f t="shared" si="6"/>
        <v>9575</v>
      </c>
      <c r="C243">
        <f t="shared" si="7"/>
        <v>50262422</v>
      </c>
      <c r="E243" t="str">
        <f>IF(ISERROR(MATCH(C243,Sales!$D$3:$D$1000,0)),"","Used")</f>
        <v/>
      </c>
    </row>
    <row r="244" spans="1:5">
      <c r="A244" t="s">
        <v>533</v>
      </c>
      <c r="B244" s="198">
        <f t="shared" si="6"/>
        <v>9575</v>
      </c>
      <c r="C244">
        <f t="shared" si="7"/>
        <v>50262430</v>
      </c>
      <c r="E244" t="str">
        <f>IF(ISERROR(MATCH(C244,Sales!$D$3:$D$1000,0)),"","Used")</f>
        <v/>
      </c>
    </row>
    <row r="245" spans="1:5">
      <c r="A245" t="s">
        <v>534</v>
      </c>
      <c r="B245" s="198">
        <f t="shared" si="6"/>
        <v>9575</v>
      </c>
      <c r="C245">
        <f t="shared" si="7"/>
        <v>50262448</v>
      </c>
      <c r="E245" t="str">
        <f>IF(ISERROR(MATCH(C245,Sales!$D$3:$D$1000,0)),"","Used")</f>
        <v/>
      </c>
    </row>
    <row r="246" spans="1:5">
      <c r="A246" t="s">
        <v>535</v>
      </c>
      <c r="B246" s="198">
        <f t="shared" si="6"/>
        <v>9575</v>
      </c>
      <c r="C246">
        <f t="shared" si="7"/>
        <v>50262455</v>
      </c>
      <c r="E246" t="str">
        <f>IF(ISERROR(MATCH(C246,Sales!$D$3:$D$1000,0)),"","Used")</f>
        <v/>
      </c>
    </row>
    <row r="247" spans="1:5">
      <c r="A247" t="s">
        <v>536</v>
      </c>
      <c r="B247" s="198">
        <f t="shared" si="6"/>
        <v>9575</v>
      </c>
      <c r="C247">
        <f t="shared" si="7"/>
        <v>50262463</v>
      </c>
      <c r="E247" t="str">
        <f>IF(ISERROR(MATCH(C247,Sales!$D$3:$D$1000,0)),"","Used")</f>
        <v/>
      </c>
    </row>
    <row r="248" spans="1:5">
      <c r="A248" t="s">
        <v>537</v>
      </c>
      <c r="B248" s="198">
        <f t="shared" si="6"/>
        <v>9575</v>
      </c>
      <c r="C248">
        <f t="shared" si="7"/>
        <v>50262471</v>
      </c>
      <c r="E248" t="str">
        <f>IF(ISERROR(MATCH(C248,Sales!$D$3:$D$1000,0)),"","Used")</f>
        <v/>
      </c>
    </row>
    <row r="249" spans="1:5">
      <c r="A249" t="s">
        <v>538</v>
      </c>
      <c r="B249" s="198">
        <f t="shared" si="6"/>
        <v>9575</v>
      </c>
      <c r="C249">
        <f t="shared" si="7"/>
        <v>50262489</v>
      </c>
      <c r="E249" t="str">
        <f>IF(ISERROR(MATCH(C249,Sales!$D$3:$D$1000,0)),"","Used")</f>
        <v/>
      </c>
    </row>
    <row r="250" spans="1:5">
      <c r="A250" t="s">
        <v>539</v>
      </c>
      <c r="B250" s="198">
        <f t="shared" si="6"/>
        <v>9575</v>
      </c>
      <c r="C250">
        <f t="shared" si="7"/>
        <v>50262497</v>
      </c>
      <c r="E250" t="str">
        <f>IF(ISERROR(MATCH(C250,Sales!$D$3:$D$1000,0)),"","Used")</f>
        <v/>
      </c>
    </row>
    <row r="251" spans="1:5">
      <c r="A251" t="s">
        <v>540</v>
      </c>
      <c r="B251" s="198">
        <f t="shared" si="6"/>
        <v>9575</v>
      </c>
      <c r="C251">
        <f t="shared" si="7"/>
        <v>50262505</v>
      </c>
      <c r="E251" t="str">
        <f>IF(ISERROR(MATCH(C251,Sales!$D$3:$D$1000,0)),"","Used")</f>
        <v/>
      </c>
    </row>
    <row r="252" spans="1:5">
      <c r="A252" t="s">
        <v>541</v>
      </c>
      <c r="B252" s="198">
        <f t="shared" si="6"/>
        <v>9575</v>
      </c>
      <c r="C252">
        <f t="shared" si="7"/>
        <v>50262513</v>
      </c>
      <c r="E252" t="str">
        <f>IF(ISERROR(MATCH(C252,Sales!$D$3:$D$1000,0)),"","Used")</f>
        <v/>
      </c>
    </row>
    <row r="253" spans="1:5">
      <c r="A253" t="s">
        <v>542</v>
      </c>
      <c r="B253" s="198">
        <f t="shared" si="6"/>
        <v>9575</v>
      </c>
      <c r="C253">
        <f t="shared" si="7"/>
        <v>50262521</v>
      </c>
      <c r="E253" t="str">
        <f>IF(ISERROR(MATCH(C253,Sales!$D$3:$D$1000,0)),"","Used")</f>
        <v/>
      </c>
    </row>
    <row r="254" spans="1:5">
      <c r="A254" t="s">
        <v>543</v>
      </c>
      <c r="B254" s="198">
        <f t="shared" si="6"/>
        <v>9575</v>
      </c>
      <c r="C254">
        <f t="shared" si="7"/>
        <v>50262539</v>
      </c>
      <c r="E254" t="str">
        <f>IF(ISERROR(MATCH(C254,Sales!$D$3:$D$1000,0)),"","Used")</f>
        <v/>
      </c>
    </row>
    <row r="255" spans="1:5">
      <c r="A255" t="s">
        <v>544</v>
      </c>
      <c r="B255" s="198">
        <f t="shared" si="6"/>
        <v>9575</v>
      </c>
      <c r="C255">
        <f t="shared" si="7"/>
        <v>50262547</v>
      </c>
      <c r="E255" t="str">
        <f>IF(ISERROR(MATCH(C255,Sales!$D$3:$D$1000,0)),"","Used")</f>
        <v/>
      </c>
    </row>
    <row r="256" spans="1:5">
      <c r="A256" t="s">
        <v>545</v>
      </c>
      <c r="B256" s="198">
        <f t="shared" si="6"/>
        <v>9575</v>
      </c>
      <c r="C256">
        <f t="shared" si="7"/>
        <v>50262554</v>
      </c>
      <c r="E256" t="str">
        <f>IF(ISERROR(MATCH(C256,Sales!$D$3:$D$1000,0)),"","Used")</f>
        <v/>
      </c>
    </row>
    <row r="257" spans="1:5">
      <c r="A257" t="s">
        <v>546</v>
      </c>
      <c r="B257" s="198">
        <f t="shared" si="6"/>
        <v>9575</v>
      </c>
      <c r="C257">
        <f t="shared" si="7"/>
        <v>50262562</v>
      </c>
      <c r="E257" t="str">
        <f>IF(ISERROR(MATCH(C257,Sales!$D$3:$D$1000,0)),"","Used")</f>
        <v/>
      </c>
    </row>
    <row r="258" spans="1:5">
      <c r="A258" t="s">
        <v>547</v>
      </c>
      <c r="B258" s="198">
        <f t="shared" si="6"/>
        <v>9575</v>
      </c>
      <c r="C258">
        <f t="shared" si="7"/>
        <v>50262570</v>
      </c>
      <c r="E258" t="str">
        <f>IF(ISERROR(MATCH(C258,Sales!$D$3:$D$1000,0)),"","Used")</f>
        <v/>
      </c>
    </row>
    <row r="259" spans="1:5">
      <c r="A259" t="s">
        <v>548</v>
      </c>
      <c r="B259" s="198">
        <f t="shared" si="6"/>
        <v>9575</v>
      </c>
      <c r="C259">
        <f t="shared" si="7"/>
        <v>50262588</v>
      </c>
      <c r="E259" t="str">
        <f>IF(ISERROR(MATCH(C259,Sales!$D$3:$D$1000,0)),"","Used")</f>
        <v/>
      </c>
    </row>
    <row r="260" spans="1:5">
      <c r="A260" t="s">
        <v>549</v>
      </c>
      <c r="B260" s="198">
        <f t="shared" ref="B260:B323" si="8">VALUE(LEFT(A260,4))</f>
        <v>9575</v>
      </c>
      <c r="C260">
        <f t="shared" ref="C260:C323" si="9">VALUE(RIGHT(A260,8))</f>
        <v>50262596</v>
      </c>
      <c r="E260" t="str">
        <f>IF(ISERROR(MATCH(C260,Sales!$D$3:$D$1000,0)),"","Used")</f>
        <v/>
      </c>
    </row>
    <row r="261" spans="1:5">
      <c r="A261" t="s">
        <v>550</v>
      </c>
      <c r="B261" s="198">
        <f t="shared" si="8"/>
        <v>9575</v>
      </c>
      <c r="C261">
        <f t="shared" si="9"/>
        <v>50262604</v>
      </c>
      <c r="E261" t="str">
        <f>IF(ISERROR(MATCH(C261,Sales!$D$3:$D$1000,0)),"","Used")</f>
        <v/>
      </c>
    </row>
    <row r="262" spans="1:5">
      <c r="A262" t="s">
        <v>551</v>
      </c>
      <c r="B262" s="198">
        <f t="shared" si="8"/>
        <v>9575</v>
      </c>
      <c r="C262">
        <f t="shared" si="9"/>
        <v>50262612</v>
      </c>
      <c r="E262" t="str">
        <f>IF(ISERROR(MATCH(C262,Sales!$D$3:$D$1000,0)),"","Used")</f>
        <v/>
      </c>
    </row>
    <row r="263" spans="1:5">
      <c r="A263" t="s">
        <v>552</v>
      </c>
      <c r="B263" s="198">
        <f t="shared" si="8"/>
        <v>9575</v>
      </c>
      <c r="C263">
        <f t="shared" si="9"/>
        <v>50262620</v>
      </c>
      <c r="E263" t="str">
        <f>IF(ISERROR(MATCH(C263,Sales!$D$3:$D$1000,0)),"","Used")</f>
        <v/>
      </c>
    </row>
    <row r="264" spans="1:5">
      <c r="A264" t="s">
        <v>553</v>
      </c>
      <c r="B264" s="198">
        <f t="shared" si="8"/>
        <v>9575</v>
      </c>
      <c r="C264">
        <f t="shared" si="9"/>
        <v>50262638</v>
      </c>
      <c r="E264" t="str">
        <f>IF(ISERROR(MATCH(C264,Sales!$D$3:$D$1000,0)),"","Used")</f>
        <v/>
      </c>
    </row>
    <row r="265" spans="1:5">
      <c r="A265" t="s">
        <v>554</v>
      </c>
      <c r="B265" s="198">
        <f t="shared" si="8"/>
        <v>9575</v>
      </c>
      <c r="C265">
        <f t="shared" si="9"/>
        <v>50262646</v>
      </c>
      <c r="E265" t="str">
        <f>IF(ISERROR(MATCH(C265,Sales!$D$3:$D$1000,0)),"","Used")</f>
        <v/>
      </c>
    </row>
    <row r="266" spans="1:5">
      <c r="A266" t="s">
        <v>555</v>
      </c>
      <c r="B266" s="198">
        <f t="shared" si="8"/>
        <v>9575</v>
      </c>
      <c r="C266">
        <f t="shared" si="9"/>
        <v>50262653</v>
      </c>
      <c r="E266" t="str">
        <f>IF(ISERROR(MATCH(C266,Sales!$D$3:$D$1000,0)),"","Used")</f>
        <v/>
      </c>
    </row>
    <row r="267" spans="1:5">
      <c r="A267" t="s">
        <v>556</v>
      </c>
      <c r="B267" s="198">
        <f t="shared" si="8"/>
        <v>9575</v>
      </c>
      <c r="C267">
        <f t="shared" si="9"/>
        <v>50262661</v>
      </c>
      <c r="E267" t="str">
        <f>IF(ISERROR(MATCH(C267,Sales!$D$3:$D$1000,0)),"","Used")</f>
        <v/>
      </c>
    </row>
    <row r="268" spans="1:5">
      <c r="A268" t="s">
        <v>557</v>
      </c>
      <c r="B268" s="198">
        <f t="shared" si="8"/>
        <v>9575</v>
      </c>
      <c r="C268">
        <f t="shared" si="9"/>
        <v>50262679</v>
      </c>
      <c r="E268" t="str">
        <f>IF(ISERROR(MATCH(C268,Sales!$D$3:$D$1000,0)),"","Used")</f>
        <v/>
      </c>
    </row>
    <row r="269" spans="1:5">
      <c r="A269" t="s">
        <v>558</v>
      </c>
      <c r="B269" s="198">
        <f t="shared" si="8"/>
        <v>9575</v>
      </c>
      <c r="C269">
        <f t="shared" si="9"/>
        <v>50262687</v>
      </c>
      <c r="E269" t="str">
        <f>IF(ISERROR(MATCH(C269,Sales!$D$3:$D$1000,0)),"","Used")</f>
        <v/>
      </c>
    </row>
    <row r="270" spans="1:5">
      <c r="A270" t="s">
        <v>559</v>
      </c>
      <c r="B270" s="198">
        <f t="shared" si="8"/>
        <v>9575</v>
      </c>
      <c r="C270">
        <f t="shared" si="9"/>
        <v>50262695</v>
      </c>
      <c r="E270" t="str">
        <f>IF(ISERROR(MATCH(C270,Sales!$D$3:$D$1000,0)),"","Used")</f>
        <v/>
      </c>
    </row>
    <row r="271" spans="1:5">
      <c r="A271" t="s">
        <v>560</v>
      </c>
      <c r="B271" s="198">
        <f t="shared" si="8"/>
        <v>9575</v>
      </c>
      <c r="C271">
        <f t="shared" si="9"/>
        <v>50262703</v>
      </c>
      <c r="E271" t="str">
        <f>IF(ISERROR(MATCH(C271,Sales!$D$3:$D$1000,0)),"","Used")</f>
        <v/>
      </c>
    </row>
    <row r="272" spans="1:5">
      <c r="A272" t="s">
        <v>561</v>
      </c>
      <c r="B272" s="198">
        <f t="shared" si="8"/>
        <v>9575</v>
      </c>
      <c r="C272">
        <f t="shared" si="9"/>
        <v>50262711</v>
      </c>
      <c r="E272" t="str">
        <f>IF(ISERROR(MATCH(C272,Sales!$D$3:$D$1000,0)),"","Used")</f>
        <v/>
      </c>
    </row>
    <row r="273" spans="1:5">
      <c r="A273" t="s">
        <v>562</v>
      </c>
      <c r="B273" s="198">
        <f t="shared" si="8"/>
        <v>9575</v>
      </c>
      <c r="C273">
        <f t="shared" si="9"/>
        <v>50262729</v>
      </c>
      <c r="E273" t="str">
        <f>IF(ISERROR(MATCH(C273,Sales!$D$3:$D$1000,0)),"","Used")</f>
        <v/>
      </c>
    </row>
    <row r="274" spans="1:5">
      <c r="A274" t="s">
        <v>563</v>
      </c>
      <c r="B274" s="198">
        <f t="shared" si="8"/>
        <v>9575</v>
      </c>
      <c r="C274">
        <f t="shared" si="9"/>
        <v>50262737</v>
      </c>
      <c r="E274" t="str">
        <f>IF(ISERROR(MATCH(C274,Sales!$D$3:$D$1000,0)),"","Used")</f>
        <v/>
      </c>
    </row>
    <row r="275" spans="1:5">
      <c r="A275" t="s">
        <v>564</v>
      </c>
      <c r="B275" s="198">
        <f t="shared" si="8"/>
        <v>9575</v>
      </c>
      <c r="C275">
        <f t="shared" si="9"/>
        <v>50262745</v>
      </c>
      <c r="E275" t="str">
        <f>IF(ISERROR(MATCH(C275,Sales!$D$3:$D$1000,0)),"","Used")</f>
        <v/>
      </c>
    </row>
    <row r="276" spans="1:5">
      <c r="A276" t="s">
        <v>565</v>
      </c>
      <c r="B276" s="198">
        <f t="shared" si="8"/>
        <v>9575</v>
      </c>
      <c r="C276">
        <f t="shared" si="9"/>
        <v>50262752</v>
      </c>
      <c r="E276" t="str">
        <f>IF(ISERROR(MATCH(C276,Sales!$D$3:$D$1000,0)),"","Used")</f>
        <v/>
      </c>
    </row>
    <row r="277" spans="1:5">
      <c r="A277" t="s">
        <v>566</v>
      </c>
      <c r="B277" s="198">
        <f t="shared" si="8"/>
        <v>9575</v>
      </c>
      <c r="C277">
        <f t="shared" si="9"/>
        <v>50262760</v>
      </c>
      <c r="E277" t="str">
        <f>IF(ISERROR(MATCH(C277,Sales!$D$3:$D$1000,0)),"","Used")</f>
        <v/>
      </c>
    </row>
    <row r="278" spans="1:5">
      <c r="A278" t="s">
        <v>567</v>
      </c>
      <c r="B278" s="198">
        <f t="shared" si="8"/>
        <v>9575</v>
      </c>
      <c r="C278">
        <f t="shared" si="9"/>
        <v>50262778</v>
      </c>
      <c r="E278" t="str">
        <f>IF(ISERROR(MATCH(C278,Sales!$D$3:$D$1000,0)),"","Used")</f>
        <v/>
      </c>
    </row>
    <row r="279" spans="1:5">
      <c r="A279" t="s">
        <v>568</v>
      </c>
      <c r="B279" s="198">
        <f t="shared" si="8"/>
        <v>9575</v>
      </c>
      <c r="C279">
        <f t="shared" si="9"/>
        <v>50262786</v>
      </c>
      <c r="E279" t="str">
        <f>IF(ISERROR(MATCH(C279,Sales!$D$3:$D$1000,0)),"","Used")</f>
        <v/>
      </c>
    </row>
    <row r="280" spans="1:5">
      <c r="A280" t="s">
        <v>569</v>
      </c>
      <c r="B280" s="198">
        <f t="shared" si="8"/>
        <v>9575</v>
      </c>
      <c r="C280">
        <f t="shared" si="9"/>
        <v>50262794</v>
      </c>
      <c r="E280" t="str">
        <f>IF(ISERROR(MATCH(C280,Sales!$D$3:$D$1000,0)),"","Used")</f>
        <v/>
      </c>
    </row>
    <row r="281" spans="1:5">
      <c r="A281" t="s">
        <v>570</v>
      </c>
      <c r="B281" s="198">
        <f t="shared" si="8"/>
        <v>9575</v>
      </c>
      <c r="C281">
        <f t="shared" si="9"/>
        <v>50262802</v>
      </c>
      <c r="E281" t="str">
        <f>IF(ISERROR(MATCH(C281,Sales!$D$3:$D$1000,0)),"","Used")</f>
        <v/>
      </c>
    </row>
    <row r="282" spans="1:5">
      <c r="A282" t="s">
        <v>571</v>
      </c>
      <c r="B282" s="198">
        <f t="shared" si="8"/>
        <v>9575</v>
      </c>
      <c r="C282">
        <f t="shared" si="9"/>
        <v>50262810</v>
      </c>
      <c r="E282" t="str">
        <f>IF(ISERROR(MATCH(C282,Sales!$D$3:$D$1000,0)),"","Used")</f>
        <v/>
      </c>
    </row>
    <row r="283" spans="1:5">
      <c r="A283" t="s">
        <v>572</v>
      </c>
      <c r="B283" s="198">
        <f t="shared" si="8"/>
        <v>9575</v>
      </c>
      <c r="C283">
        <f t="shared" si="9"/>
        <v>50262828</v>
      </c>
      <c r="E283" t="str">
        <f>IF(ISERROR(MATCH(C283,Sales!$D$3:$D$1000,0)),"","Used")</f>
        <v/>
      </c>
    </row>
    <row r="284" spans="1:5">
      <c r="A284" t="s">
        <v>573</v>
      </c>
      <c r="B284" s="198">
        <f t="shared" si="8"/>
        <v>9575</v>
      </c>
      <c r="C284">
        <f t="shared" si="9"/>
        <v>50262836</v>
      </c>
      <c r="E284" t="str">
        <f>IF(ISERROR(MATCH(C284,Sales!$D$3:$D$1000,0)),"","Used")</f>
        <v/>
      </c>
    </row>
    <row r="285" spans="1:5">
      <c r="A285" t="s">
        <v>574</v>
      </c>
      <c r="B285" s="198">
        <f t="shared" si="8"/>
        <v>9575</v>
      </c>
      <c r="C285">
        <f t="shared" si="9"/>
        <v>50262844</v>
      </c>
      <c r="E285" t="str">
        <f>IF(ISERROR(MATCH(C285,Sales!$D$3:$D$1000,0)),"","Used")</f>
        <v/>
      </c>
    </row>
    <row r="286" spans="1:5">
      <c r="A286" t="s">
        <v>575</v>
      </c>
      <c r="B286" s="198">
        <f t="shared" si="8"/>
        <v>9575</v>
      </c>
      <c r="C286">
        <f t="shared" si="9"/>
        <v>50262851</v>
      </c>
      <c r="E286" t="str">
        <f>IF(ISERROR(MATCH(C286,Sales!$D$3:$D$1000,0)),"","Used")</f>
        <v/>
      </c>
    </row>
    <row r="287" spans="1:5">
      <c r="A287" t="s">
        <v>576</v>
      </c>
      <c r="B287" s="198">
        <f t="shared" si="8"/>
        <v>9575</v>
      </c>
      <c r="C287">
        <f t="shared" si="9"/>
        <v>50262869</v>
      </c>
      <c r="E287" t="str">
        <f>IF(ISERROR(MATCH(C287,Sales!$D$3:$D$1000,0)),"","Used")</f>
        <v/>
      </c>
    </row>
    <row r="288" spans="1:5">
      <c r="A288" t="s">
        <v>577</v>
      </c>
      <c r="B288" s="198">
        <f t="shared" si="8"/>
        <v>9575</v>
      </c>
      <c r="C288">
        <f t="shared" si="9"/>
        <v>50262877</v>
      </c>
      <c r="E288" t="str">
        <f>IF(ISERROR(MATCH(C288,Sales!$D$3:$D$1000,0)),"","Used")</f>
        <v/>
      </c>
    </row>
    <row r="289" spans="1:5">
      <c r="A289" t="s">
        <v>578</v>
      </c>
      <c r="B289" s="198">
        <f t="shared" si="8"/>
        <v>9575</v>
      </c>
      <c r="C289">
        <f t="shared" si="9"/>
        <v>50262885</v>
      </c>
      <c r="E289" t="str">
        <f>IF(ISERROR(MATCH(C289,Sales!$D$3:$D$1000,0)),"","Used")</f>
        <v/>
      </c>
    </row>
    <row r="290" spans="1:5">
      <c r="A290" t="s">
        <v>579</v>
      </c>
      <c r="B290" s="198">
        <f t="shared" si="8"/>
        <v>9575</v>
      </c>
      <c r="C290">
        <f t="shared" si="9"/>
        <v>50262893</v>
      </c>
      <c r="E290" t="str">
        <f>IF(ISERROR(MATCH(C290,Sales!$D$3:$D$1000,0)),"","Used")</f>
        <v/>
      </c>
    </row>
    <row r="291" spans="1:5">
      <c r="A291" t="s">
        <v>580</v>
      </c>
      <c r="B291" s="198">
        <f t="shared" si="8"/>
        <v>9575</v>
      </c>
      <c r="C291">
        <f t="shared" si="9"/>
        <v>50262901</v>
      </c>
      <c r="E291" t="str">
        <f>IF(ISERROR(MATCH(C291,Sales!$D$3:$D$1000,0)),"","Used")</f>
        <v/>
      </c>
    </row>
    <row r="292" spans="1:5">
      <c r="A292" t="s">
        <v>581</v>
      </c>
      <c r="B292" s="198">
        <f t="shared" si="8"/>
        <v>9575</v>
      </c>
      <c r="C292">
        <f t="shared" si="9"/>
        <v>50262919</v>
      </c>
      <c r="E292" t="str">
        <f>IF(ISERROR(MATCH(C292,Sales!$D$3:$D$1000,0)),"","Used")</f>
        <v/>
      </c>
    </row>
    <row r="293" spans="1:5">
      <c r="A293" t="s">
        <v>582</v>
      </c>
      <c r="B293" s="198">
        <f t="shared" si="8"/>
        <v>9575</v>
      </c>
      <c r="C293">
        <f t="shared" si="9"/>
        <v>50262927</v>
      </c>
      <c r="E293" t="str">
        <f>IF(ISERROR(MATCH(C293,Sales!$D$3:$D$1000,0)),"","Used")</f>
        <v/>
      </c>
    </row>
    <row r="294" spans="1:5">
      <c r="A294" t="s">
        <v>583</v>
      </c>
      <c r="B294" s="198">
        <f t="shared" si="8"/>
        <v>9575</v>
      </c>
      <c r="C294">
        <f t="shared" si="9"/>
        <v>50262935</v>
      </c>
      <c r="E294" t="str">
        <f>IF(ISERROR(MATCH(C294,Sales!$D$3:$D$1000,0)),"","Used")</f>
        <v/>
      </c>
    </row>
    <row r="295" spans="1:5">
      <c r="A295" t="s">
        <v>584</v>
      </c>
      <c r="B295" s="198">
        <f t="shared" si="8"/>
        <v>9575</v>
      </c>
      <c r="C295">
        <f t="shared" si="9"/>
        <v>50262943</v>
      </c>
      <c r="E295" t="str">
        <f>IF(ISERROR(MATCH(C295,Sales!$D$3:$D$1000,0)),"","Used")</f>
        <v/>
      </c>
    </row>
    <row r="296" spans="1:5">
      <c r="A296" t="s">
        <v>585</v>
      </c>
      <c r="B296" s="198">
        <f t="shared" si="8"/>
        <v>9575</v>
      </c>
      <c r="C296">
        <f t="shared" si="9"/>
        <v>50262950</v>
      </c>
      <c r="E296" t="str">
        <f>IF(ISERROR(MATCH(C296,Sales!$D$3:$D$1000,0)),"","Used")</f>
        <v/>
      </c>
    </row>
    <row r="297" spans="1:5">
      <c r="A297" t="s">
        <v>586</v>
      </c>
      <c r="B297" s="198">
        <f t="shared" si="8"/>
        <v>9575</v>
      </c>
      <c r="C297">
        <f t="shared" si="9"/>
        <v>50262968</v>
      </c>
      <c r="E297" t="str">
        <f>IF(ISERROR(MATCH(C297,Sales!$D$3:$D$1000,0)),"","Used")</f>
        <v/>
      </c>
    </row>
    <row r="298" spans="1:5">
      <c r="A298" t="s">
        <v>587</v>
      </c>
      <c r="B298" s="198">
        <f t="shared" si="8"/>
        <v>9575</v>
      </c>
      <c r="C298">
        <f t="shared" si="9"/>
        <v>50262976</v>
      </c>
      <c r="E298" t="str">
        <f>IF(ISERROR(MATCH(C298,Sales!$D$3:$D$1000,0)),"","Used")</f>
        <v/>
      </c>
    </row>
    <row r="299" spans="1:5">
      <c r="A299" t="s">
        <v>588</v>
      </c>
      <c r="B299" s="198">
        <f t="shared" si="8"/>
        <v>9575</v>
      </c>
      <c r="C299">
        <f t="shared" si="9"/>
        <v>50262984</v>
      </c>
      <c r="E299" t="str">
        <f>IF(ISERROR(MATCH(C299,Sales!$D$3:$D$1000,0)),"","Used")</f>
        <v/>
      </c>
    </row>
    <row r="300" spans="1:5">
      <c r="A300" t="s">
        <v>589</v>
      </c>
      <c r="B300" s="198">
        <f t="shared" si="8"/>
        <v>9575</v>
      </c>
      <c r="C300">
        <f t="shared" si="9"/>
        <v>50262992</v>
      </c>
      <c r="E300" t="str">
        <f>IF(ISERROR(MATCH(C300,Sales!$D$3:$D$1000,0)),"","Used")</f>
        <v/>
      </c>
    </row>
    <row r="301" spans="1:5">
      <c r="A301" t="s">
        <v>590</v>
      </c>
      <c r="B301" s="198">
        <f t="shared" si="8"/>
        <v>9575</v>
      </c>
      <c r="C301">
        <f t="shared" si="9"/>
        <v>50263008</v>
      </c>
      <c r="E301" t="str">
        <f>IF(ISERROR(MATCH(C301,Sales!$D$3:$D$1000,0)),"","Used")</f>
        <v/>
      </c>
    </row>
    <row r="302" spans="1:5">
      <c r="A302" t="s">
        <v>591</v>
      </c>
      <c r="B302" s="198">
        <f t="shared" si="8"/>
        <v>9575</v>
      </c>
      <c r="C302">
        <f t="shared" si="9"/>
        <v>50263016</v>
      </c>
      <c r="E302" t="str">
        <f>IF(ISERROR(MATCH(C302,Sales!$D$3:$D$1000,0)),"","Used")</f>
        <v/>
      </c>
    </row>
    <row r="303" spans="1:5">
      <c r="A303" t="s">
        <v>592</v>
      </c>
      <c r="B303" s="198">
        <f t="shared" si="8"/>
        <v>9575</v>
      </c>
      <c r="C303">
        <f t="shared" si="9"/>
        <v>50263024</v>
      </c>
      <c r="E303" t="str">
        <f>IF(ISERROR(MATCH(C303,Sales!$D$3:$D$1000,0)),"","Used")</f>
        <v/>
      </c>
    </row>
    <row r="304" spans="1:5">
      <c r="A304" t="s">
        <v>593</v>
      </c>
      <c r="B304" s="198">
        <f t="shared" si="8"/>
        <v>9575</v>
      </c>
      <c r="C304">
        <f t="shared" si="9"/>
        <v>50263032</v>
      </c>
      <c r="E304" t="str">
        <f>IF(ISERROR(MATCH(C304,Sales!$D$3:$D$1000,0)),"","Used")</f>
        <v/>
      </c>
    </row>
    <row r="305" spans="1:5">
      <c r="A305" t="s">
        <v>594</v>
      </c>
      <c r="B305" s="198">
        <f t="shared" si="8"/>
        <v>9575</v>
      </c>
      <c r="C305">
        <f t="shared" si="9"/>
        <v>50263040</v>
      </c>
      <c r="E305" t="str">
        <f>IF(ISERROR(MATCH(C305,Sales!$D$3:$D$1000,0)),"","Used")</f>
        <v/>
      </c>
    </row>
    <row r="306" spans="1:5">
      <c r="A306" t="s">
        <v>595</v>
      </c>
      <c r="B306" s="198">
        <f t="shared" si="8"/>
        <v>9575</v>
      </c>
      <c r="C306">
        <f t="shared" si="9"/>
        <v>50263057</v>
      </c>
      <c r="E306" t="str">
        <f>IF(ISERROR(MATCH(C306,Sales!$D$3:$D$1000,0)),"","Used")</f>
        <v/>
      </c>
    </row>
    <row r="307" spans="1:5">
      <c r="A307" t="s">
        <v>596</v>
      </c>
      <c r="B307" s="198">
        <f t="shared" si="8"/>
        <v>9575</v>
      </c>
      <c r="C307">
        <f t="shared" si="9"/>
        <v>50263065</v>
      </c>
      <c r="E307" t="str">
        <f>IF(ISERROR(MATCH(C307,Sales!$D$3:$D$1000,0)),"","Used")</f>
        <v/>
      </c>
    </row>
    <row r="308" spans="1:5">
      <c r="A308" t="s">
        <v>597</v>
      </c>
      <c r="B308" s="198">
        <f t="shared" si="8"/>
        <v>9575</v>
      </c>
      <c r="C308">
        <f t="shared" si="9"/>
        <v>50263073</v>
      </c>
      <c r="E308" t="str">
        <f>IF(ISERROR(MATCH(C308,Sales!$D$3:$D$1000,0)),"","Used")</f>
        <v/>
      </c>
    </row>
    <row r="309" spans="1:5">
      <c r="A309" t="s">
        <v>598</v>
      </c>
      <c r="B309" s="198">
        <f t="shared" si="8"/>
        <v>9575</v>
      </c>
      <c r="C309">
        <f t="shared" si="9"/>
        <v>50263081</v>
      </c>
      <c r="E309" t="str">
        <f>IF(ISERROR(MATCH(C309,Sales!$D$3:$D$1000,0)),"","Used")</f>
        <v/>
      </c>
    </row>
    <row r="310" spans="1:5">
      <c r="A310" t="s">
        <v>599</v>
      </c>
      <c r="B310" s="198">
        <f t="shared" si="8"/>
        <v>9575</v>
      </c>
      <c r="C310">
        <f t="shared" si="9"/>
        <v>50263099</v>
      </c>
      <c r="E310" t="str">
        <f>IF(ISERROR(MATCH(C310,Sales!$D$3:$D$1000,0)),"","Used")</f>
        <v/>
      </c>
    </row>
    <row r="311" spans="1:5">
      <c r="A311" t="s">
        <v>600</v>
      </c>
      <c r="B311" s="198">
        <f t="shared" si="8"/>
        <v>9575</v>
      </c>
      <c r="C311">
        <f t="shared" si="9"/>
        <v>50263107</v>
      </c>
      <c r="E311" t="str">
        <f>IF(ISERROR(MATCH(C311,Sales!$D$3:$D$1000,0)),"","Used")</f>
        <v/>
      </c>
    </row>
    <row r="312" spans="1:5">
      <c r="A312" t="s">
        <v>601</v>
      </c>
      <c r="B312" s="198">
        <f t="shared" si="8"/>
        <v>9575</v>
      </c>
      <c r="C312">
        <f t="shared" si="9"/>
        <v>50263115</v>
      </c>
      <c r="E312" t="str">
        <f>IF(ISERROR(MATCH(C312,Sales!$D$3:$D$1000,0)),"","Used")</f>
        <v/>
      </c>
    </row>
    <row r="313" spans="1:5">
      <c r="A313" t="s">
        <v>602</v>
      </c>
      <c r="B313" s="198">
        <f t="shared" si="8"/>
        <v>9575</v>
      </c>
      <c r="C313">
        <f t="shared" si="9"/>
        <v>50263123</v>
      </c>
      <c r="E313" t="str">
        <f>IF(ISERROR(MATCH(C313,Sales!$D$3:$D$1000,0)),"","Used")</f>
        <v/>
      </c>
    </row>
    <row r="314" spans="1:5">
      <c r="A314" t="s">
        <v>603</v>
      </c>
      <c r="B314" s="198">
        <f t="shared" si="8"/>
        <v>9575</v>
      </c>
      <c r="C314">
        <f t="shared" si="9"/>
        <v>50263131</v>
      </c>
      <c r="E314" t="str">
        <f>IF(ISERROR(MATCH(C314,Sales!$D$3:$D$1000,0)),"","Used")</f>
        <v/>
      </c>
    </row>
    <row r="315" spans="1:5">
      <c r="A315" t="s">
        <v>604</v>
      </c>
      <c r="B315" s="198">
        <f t="shared" si="8"/>
        <v>9575</v>
      </c>
      <c r="C315">
        <f t="shared" si="9"/>
        <v>50263149</v>
      </c>
      <c r="E315" t="str">
        <f>IF(ISERROR(MATCH(C315,Sales!$D$3:$D$1000,0)),"","Used")</f>
        <v/>
      </c>
    </row>
    <row r="316" spans="1:5">
      <c r="A316" t="s">
        <v>605</v>
      </c>
      <c r="B316" s="198">
        <f t="shared" si="8"/>
        <v>9575</v>
      </c>
      <c r="C316">
        <f t="shared" si="9"/>
        <v>50263156</v>
      </c>
      <c r="E316" t="str">
        <f>IF(ISERROR(MATCH(C316,Sales!$D$3:$D$1000,0)),"","Used")</f>
        <v/>
      </c>
    </row>
    <row r="317" spans="1:5">
      <c r="A317" t="s">
        <v>606</v>
      </c>
      <c r="B317" s="198">
        <f t="shared" si="8"/>
        <v>9575</v>
      </c>
      <c r="C317">
        <f t="shared" si="9"/>
        <v>50263164</v>
      </c>
      <c r="E317" t="str">
        <f>IF(ISERROR(MATCH(C317,Sales!$D$3:$D$1000,0)),"","Used")</f>
        <v/>
      </c>
    </row>
    <row r="318" spans="1:5">
      <c r="A318" t="s">
        <v>607</v>
      </c>
      <c r="B318" s="198">
        <f t="shared" si="8"/>
        <v>9575</v>
      </c>
      <c r="C318">
        <f t="shared" si="9"/>
        <v>50263172</v>
      </c>
      <c r="E318" t="str">
        <f>IF(ISERROR(MATCH(C318,Sales!$D$3:$D$1000,0)),"","Used")</f>
        <v/>
      </c>
    </row>
    <row r="319" spans="1:5">
      <c r="A319" t="s">
        <v>608</v>
      </c>
      <c r="B319" s="198">
        <f t="shared" si="8"/>
        <v>9575</v>
      </c>
      <c r="C319">
        <f t="shared" si="9"/>
        <v>50263180</v>
      </c>
      <c r="E319" t="str">
        <f>IF(ISERROR(MATCH(C319,Sales!$D$3:$D$1000,0)),"","Used")</f>
        <v/>
      </c>
    </row>
    <row r="320" spans="1:5">
      <c r="A320" t="s">
        <v>609</v>
      </c>
      <c r="B320" s="198">
        <f t="shared" si="8"/>
        <v>9575</v>
      </c>
      <c r="C320">
        <f t="shared" si="9"/>
        <v>50263198</v>
      </c>
      <c r="E320" t="str">
        <f>IF(ISERROR(MATCH(C320,Sales!$D$3:$D$1000,0)),"","Used")</f>
        <v/>
      </c>
    </row>
    <row r="321" spans="1:5">
      <c r="A321" t="s">
        <v>610</v>
      </c>
      <c r="B321" s="198">
        <f t="shared" si="8"/>
        <v>9575</v>
      </c>
      <c r="C321">
        <f t="shared" si="9"/>
        <v>50263206</v>
      </c>
      <c r="E321" t="str">
        <f>IF(ISERROR(MATCH(C321,Sales!$D$3:$D$1000,0)),"","Used")</f>
        <v/>
      </c>
    </row>
    <row r="322" spans="1:5">
      <c r="A322" t="s">
        <v>611</v>
      </c>
      <c r="B322" s="198">
        <f t="shared" si="8"/>
        <v>9575</v>
      </c>
      <c r="C322">
        <f t="shared" si="9"/>
        <v>50263214</v>
      </c>
      <c r="E322" t="str">
        <f>IF(ISERROR(MATCH(C322,Sales!$D$3:$D$1000,0)),"","Used")</f>
        <v/>
      </c>
    </row>
    <row r="323" spans="1:5">
      <c r="A323" t="s">
        <v>612</v>
      </c>
      <c r="B323" s="198">
        <f t="shared" si="8"/>
        <v>9575</v>
      </c>
      <c r="C323">
        <f t="shared" si="9"/>
        <v>50263222</v>
      </c>
      <c r="E323" t="str">
        <f>IF(ISERROR(MATCH(C323,Sales!$D$3:$D$1000,0)),"","Used")</f>
        <v/>
      </c>
    </row>
    <row r="324" spans="1:5">
      <c r="A324" t="s">
        <v>613</v>
      </c>
      <c r="B324" s="198">
        <f t="shared" ref="B324:B387" si="10">VALUE(LEFT(A324,4))</f>
        <v>9575</v>
      </c>
      <c r="C324">
        <f t="shared" ref="C324:C387" si="11">VALUE(RIGHT(A324,8))</f>
        <v>50263230</v>
      </c>
      <c r="E324" t="str">
        <f>IF(ISERROR(MATCH(C324,Sales!$D$3:$D$1000,0)),"","Used")</f>
        <v/>
      </c>
    </row>
    <row r="325" spans="1:5">
      <c r="A325" t="s">
        <v>614</v>
      </c>
      <c r="B325" s="198">
        <f t="shared" si="10"/>
        <v>9575</v>
      </c>
      <c r="C325">
        <f t="shared" si="11"/>
        <v>50263248</v>
      </c>
      <c r="E325" t="str">
        <f>IF(ISERROR(MATCH(C325,Sales!$D$3:$D$1000,0)),"","Used")</f>
        <v/>
      </c>
    </row>
    <row r="326" spans="1:5">
      <c r="A326" t="s">
        <v>615</v>
      </c>
      <c r="B326" s="198">
        <f t="shared" si="10"/>
        <v>9575</v>
      </c>
      <c r="C326">
        <f t="shared" si="11"/>
        <v>50263255</v>
      </c>
      <c r="E326" t="str">
        <f>IF(ISERROR(MATCH(C326,Sales!$D$3:$D$1000,0)),"","Used")</f>
        <v/>
      </c>
    </row>
    <row r="327" spans="1:5">
      <c r="A327" t="s">
        <v>616</v>
      </c>
      <c r="B327" s="198">
        <f t="shared" si="10"/>
        <v>9575</v>
      </c>
      <c r="C327">
        <f t="shared" si="11"/>
        <v>50263263</v>
      </c>
      <c r="E327" t="str">
        <f>IF(ISERROR(MATCH(C327,Sales!$D$3:$D$1000,0)),"","Used")</f>
        <v/>
      </c>
    </row>
    <row r="328" spans="1:5">
      <c r="A328" t="s">
        <v>617</v>
      </c>
      <c r="B328" s="198">
        <f t="shared" si="10"/>
        <v>9575</v>
      </c>
      <c r="C328">
        <f t="shared" si="11"/>
        <v>50263271</v>
      </c>
      <c r="E328" t="str">
        <f>IF(ISERROR(MATCH(C328,Sales!$D$3:$D$1000,0)),"","Used")</f>
        <v/>
      </c>
    </row>
    <row r="329" spans="1:5">
      <c r="A329" t="s">
        <v>618</v>
      </c>
      <c r="B329" s="198">
        <f t="shared" si="10"/>
        <v>9575</v>
      </c>
      <c r="C329">
        <f t="shared" si="11"/>
        <v>50263289</v>
      </c>
      <c r="E329" t="str">
        <f>IF(ISERROR(MATCH(C329,Sales!$D$3:$D$1000,0)),"","Used")</f>
        <v/>
      </c>
    </row>
    <row r="330" spans="1:5">
      <c r="A330" t="s">
        <v>619</v>
      </c>
      <c r="B330" s="198">
        <f t="shared" si="10"/>
        <v>9575</v>
      </c>
      <c r="C330">
        <f t="shared" si="11"/>
        <v>50263297</v>
      </c>
      <c r="E330" t="str">
        <f>IF(ISERROR(MATCH(C330,Sales!$D$3:$D$1000,0)),"","Used")</f>
        <v/>
      </c>
    </row>
    <row r="331" spans="1:5">
      <c r="A331" t="s">
        <v>620</v>
      </c>
      <c r="B331" s="198">
        <f t="shared" si="10"/>
        <v>9575</v>
      </c>
      <c r="C331">
        <f t="shared" si="11"/>
        <v>50263305</v>
      </c>
      <c r="E331" t="str">
        <f>IF(ISERROR(MATCH(C331,Sales!$D$3:$D$1000,0)),"","Used")</f>
        <v/>
      </c>
    </row>
    <row r="332" spans="1:5">
      <c r="A332" t="s">
        <v>621</v>
      </c>
      <c r="B332" s="198">
        <f t="shared" si="10"/>
        <v>9575</v>
      </c>
      <c r="C332">
        <f t="shared" si="11"/>
        <v>50263313</v>
      </c>
      <c r="E332" t="str">
        <f>IF(ISERROR(MATCH(C332,Sales!$D$3:$D$1000,0)),"","Used")</f>
        <v/>
      </c>
    </row>
    <row r="333" spans="1:5">
      <c r="A333" t="s">
        <v>622</v>
      </c>
      <c r="B333" s="198">
        <f t="shared" si="10"/>
        <v>9575</v>
      </c>
      <c r="C333">
        <f t="shared" si="11"/>
        <v>50263321</v>
      </c>
      <c r="E333" t="str">
        <f>IF(ISERROR(MATCH(C333,Sales!$D$3:$D$1000,0)),"","Used")</f>
        <v/>
      </c>
    </row>
    <row r="334" spans="1:5">
      <c r="A334" t="s">
        <v>623</v>
      </c>
      <c r="B334" s="198">
        <f t="shared" si="10"/>
        <v>9575</v>
      </c>
      <c r="C334">
        <f t="shared" si="11"/>
        <v>50263339</v>
      </c>
      <c r="E334" t="str">
        <f>IF(ISERROR(MATCH(C334,Sales!$D$3:$D$1000,0)),"","Used")</f>
        <v/>
      </c>
    </row>
    <row r="335" spans="1:5">
      <c r="A335" t="s">
        <v>624</v>
      </c>
      <c r="B335" s="198">
        <f t="shared" si="10"/>
        <v>9575</v>
      </c>
      <c r="C335">
        <f t="shared" si="11"/>
        <v>50263347</v>
      </c>
      <c r="E335" t="str">
        <f>IF(ISERROR(MATCH(C335,Sales!$D$3:$D$1000,0)),"","Used")</f>
        <v/>
      </c>
    </row>
    <row r="336" spans="1:5">
      <c r="A336" t="s">
        <v>625</v>
      </c>
      <c r="B336" s="198">
        <f t="shared" si="10"/>
        <v>9575</v>
      </c>
      <c r="C336">
        <f t="shared" si="11"/>
        <v>50263354</v>
      </c>
      <c r="E336" t="str">
        <f>IF(ISERROR(MATCH(C336,Sales!$D$3:$D$1000,0)),"","Used")</f>
        <v/>
      </c>
    </row>
    <row r="337" spans="1:5">
      <c r="A337" t="s">
        <v>626</v>
      </c>
      <c r="B337" s="198">
        <f t="shared" si="10"/>
        <v>9575</v>
      </c>
      <c r="C337">
        <f t="shared" si="11"/>
        <v>50263362</v>
      </c>
      <c r="E337" t="str">
        <f>IF(ISERROR(MATCH(C337,Sales!$D$3:$D$1000,0)),"","Used")</f>
        <v/>
      </c>
    </row>
    <row r="338" spans="1:5">
      <c r="A338" t="s">
        <v>627</v>
      </c>
      <c r="B338" s="198">
        <f t="shared" si="10"/>
        <v>9575</v>
      </c>
      <c r="C338">
        <f t="shared" si="11"/>
        <v>50263370</v>
      </c>
      <c r="E338" t="str">
        <f>IF(ISERROR(MATCH(C338,Sales!$D$3:$D$1000,0)),"","Used")</f>
        <v/>
      </c>
    </row>
    <row r="339" spans="1:5">
      <c r="A339" t="s">
        <v>628</v>
      </c>
      <c r="B339" s="198">
        <f t="shared" si="10"/>
        <v>9575</v>
      </c>
      <c r="C339">
        <f t="shared" si="11"/>
        <v>50263388</v>
      </c>
      <c r="E339" t="str">
        <f>IF(ISERROR(MATCH(C339,Sales!$D$3:$D$1000,0)),"","Used")</f>
        <v/>
      </c>
    </row>
    <row r="340" spans="1:5">
      <c r="A340" t="s">
        <v>629</v>
      </c>
      <c r="B340" s="198">
        <f t="shared" si="10"/>
        <v>9575</v>
      </c>
      <c r="C340">
        <f t="shared" si="11"/>
        <v>50263396</v>
      </c>
      <c r="E340" t="str">
        <f>IF(ISERROR(MATCH(C340,Sales!$D$3:$D$1000,0)),"","Used")</f>
        <v/>
      </c>
    </row>
    <row r="341" spans="1:5">
      <c r="A341" t="s">
        <v>630</v>
      </c>
      <c r="B341" s="198">
        <f t="shared" si="10"/>
        <v>9575</v>
      </c>
      <c r="C341">
        <f t="shared" si="11"/>
        <v>50263404</v>
      </c>
      <c r="E341" t="str">
        <f>IF(ISERROR(MATCH(C341,Sales!$D$3:$D$1000,0)),"","Used")</f>
        <v/>
      </c>
    </row>
    <row r="342" spans="1:5">
      <c r="A342" t="s">
        <v>631</v>
      </c>
      <c r="B342" s="198">
        <f t="shared" si="10"/>
        <v>9575</v>
      </c>
      <c r="C342">
        <f t="shared" si="11"/>
        <v>50263412</v>
      </c>
      <c r="E342" t="str">
        <f>IF(ISERROR(MATCH(C342,Sales!$D$3:$D$1000,0)),"","Used")</f>
        <v/>
      </c>
    </row>
    <row r="343" spans="1:5">
      <c r="A343" t="s">
        <v>632</v>
      </c>
      <c r="B343" s="198">
        <f t="shared" si="10"/>
        <v>9575</v>
      </c>
      <c r="C343">
        <f t="shared" si="11"/>
        <v>50263420</v>
      </c>
      <c r="E343" t="str">
        <f>IF(ISERROR(MATCH(C343,Sales!$D$3:$D$1000,0)),"","Used")</f>
        <v/>
      </c>
    </row>
    <row r="344" spans="1:5">
      <c r="A344" t="s">
        <v>633</v>
      </c>
      <c r="B344" s="198">
        <f t="shared" si="10"/>
        <v>9575</v>
      </c>
      <c r="C344">
        <f t="shared" si="11"/>
        <v>50263438</v>
      </c>
      <c r="E344" t="str">
        <f>IF(ISERROR(MATCH(C344,Sales!$D$3:$D$1000,0)),"","Used")</f>
        <v/>
      </c>
    </row>
    <row r="345" spans="1:5">
      <c r="A345" t="s">
        <v>634</v>
      </c>
      <c r="B345" s="198">
        <f t="shared" si="10"/>
        <v>9575</v>
      </c>
      <c r="C345">
        <f t="shared" si="11"/>
        <v>50263446</v>
      </c>
      <c r="E345" t="str">
        <f>IF(ISERROR(MATCH(C345,Sales!$D$3:$D$1000,0)),"","Used")</f>
        <v/>
      </c>
    </row>
    <row r="346" spans="1:5">
      <c r="A346" t="s">
        <v>635</v>
      </c>
      <c r="B346" s="198">
        <f t="shared" si="10"/>
        <v>9575</v>
      </c>
      <c r="C346">
        <f t="shared" si="11"/>
        <v>50263453</v>
      </c>
      <c r="E346" t="str">
        <f>IF(ISERROR(MATCH(C346,Sales!$D$3:$D$1000,0)),"","Used")</f>
        <v/>
      </c>
    </row>
    <row r="347" spans="1:5">
      <c r="A347" t="s">
        <v>636</v>
      </c>
      <c r="B347" s="198">
        <f t="shared" si="10"/>
        <v>9575</v>
      </c>
      <c r="C347">
        <f t="shared" si="11"/>
        <v>50263461</v>
      </c>
      <c r="E347" t="str">
        <f>IF(ISERROR(MATCH(C347,Sales!$D$3:$D$1000,0)),"","Used")</f>
        <v/>
      </c>
    </row>
    <row r="348" spans="1:5">
      <c r="A348" t="s">
        <v>637</v>
      </c>
      <c r="B348" s="198">
        <f t="shared" si="10"/>
        <v>9575</v>
      </c>
      <c r="C348">
        <f t="shared" si="11"/>
        <v>50263479</v>
      </c>
      <c r="E348" t="str">
        <f>IF(ISERROR(MATCH(C348,Sales!$D$3:$D$1000,0)),"","Used")</f>
        <v/>
      </c>
    </row>
    <row r="349" spans="1:5">
      <c r="A349" t="s">
        <v>638</v>
      </c>
      <c r="B349" s="198">
        <f t="shared" si="10"/>
        <v>9575</v>
      </c>
      <c r="C349">
        <f t="shared" si="11"/>
        <v>50263487</v>
      </c>
      <c r="E349" t="str">
        <f>IF(ISERROR(MATCH(C349,Sales!$D$3:$D$1000,0)),"","Used")</f>
        <v/>
      </c>
    </row>
    <row r="350" spans="1:5">
      <c r="A350" t="s">
        <v>639</v>
      </c>
      <c r="B350" s="198">
        <f t="shared" si="10"/>
        <v>9575</v>
      </c>
      <c r="C350">
        <f t="shared" si="11"/>
        <v>50263495</v>
      </c>
      <c r="E350" t="str">
        <f>IF(ISERROR(MATCH(C350,Sales!$D$3:$D$1000,0)),"","Used")</f>
        <v/>
      </c>
    </row>
    <row r="351" spans="1:5">
      <c r="A351" t="s">
        <v>640</v>
      </c>
      <c r="B351" s="198">
        <f t="shared" si="10"/>
        <v>9575</v>
      </c>
      <c r="C351">
        <f t="shared" si="11"/>
        <v>50263503</v>
      </c>
      <c r="E351" t="str">
        <f>IF(ISERROR(MATCH(C351,Sales!$D$3:$D$1000,0)),"","Used")</f>
        <v/>
      </c>
    </row>
    <row r="352" spans="1:5">
      <c r="A352" t="s">
        <v>641</v>
      </c>
      <c r="B352" s="198">
        <f t="shared" si="10"/>
        <v>9575</v>
      </c>
      <c r="C352">
        <f t="shared" si="11"/>
        <v>50263511</v>
      </c>
      <c r="E352" t="str">
        <f>IF(ISERROR(MATCH(C352,Sales!$D$3:$D$1000,0)),"","Used")</f>
        <v/>
      </c>
    </row>
    <row r="353" spans="1:5">
      <c r="A353" t="s">
        <v>642</v>
      </c>
      <c r="B353" s="198">
        <f t="shared" si="10"/>
        <v>9575</v>
      </c>
      <c r="C353">
        <f t="shared" si="11"/>
        <v>50263529</v>
      </c>
      <c r="E353" t="str">
        <f>IF(ISERROR(MATCH(C353,Sales!$D$3:$D$1000,0)),"","Used")</f>
        <v/>
      </c>
    </row>
    <row r="354" spans="1:5">
      <c r="A354" t="s">
        <v>643</v>
      </c>
      <c r="B354" s="198">
        <f t="shared" si="10"/>
        <v>9575</v>
      </c>
      <c r="C354">
        <f t="shared" si="11"/>
        <v>50263537</v>
      </c>
      <c r="E354" t="str">
        <f>IF(ISERROR(MATCH(C354,Sales!$D$3:$D$1000,0)),"","Used")</f>
        <v/>
      </c>
    </row>
    <row r="355" spans="1:5">
      <c r="A355" t="s">
        <v>644</v>
      </c>
      <c r="B355" s="198">
        <f t="shared" si="10"/>
        <v>9575</v>
      </c>
      <c r="C355">
        <f t="shared" si="11"/>
        <v>50263545</v>
      </c>
      <c r="E355" t="str">
        <f>IF(ISERROR(MATCH(C355,Sales!$D$3:$D$1000,0)),"","Used")</f>
        <v/>
      </c>
    </row>
    <row r="356" spans="1:5">
      <c r="A356" t="s">
        <v>645</v>
      </c>
      <c r="B356" s="198">
        <f t="shared" si="10"/>
        <v>9575</v>
      </c>
      <c r="C356">
        <f t="shared" si="11"/>
        <v>50263552</v>
      </c>
      <c r="E356" t="str">
        <f>IF(ISERROR(MATCH(C356,Sales!$D$3:$D$1000,0)),"","Used")</f>
        <v/>
      </c>
    </row>
    <row r="357" spans="1:5">
      <c r="A357" t="s">
        <v>646</v>
      </c>
      <c r="B357" s="198">
        <f t="shared" si="10"/>
        <v>9575</v>
      </c>
      <c r="C357">
        <f t="shared" si="11"/>
        <v>50263560</v>
      </c>
      <c r="E357" t="str">
        <f>IF(ISERROR(MATCH(C357,Sales!$D$3:$D$1000,0)),"","Used")</f>
        <v/>
      </c>
    </row>
    <row r="358" spans="1:5">
      <c r="A358" t="s">
        <v>647</v>
      </c>
      <c r="B358" s="198">
        <f t="shared" si="10"/>
        <v>9575</v>
      </c>
      <c r="C358">
        <f t="shared" si="11"/>
        <v>50263578</v>
      </c>
      <c r="E358" t="str">
        <f>IF(ISERROR(MATCH(C358,Sales!$D$3:$D$1000,0)),"","Used")</f>
        <v/>
      </c>
    </row>
    <row r="359" spans="1:5">
      <c r="A359" t="s">
        <v>648</v>
      </c>
      <c r="B359" s="198">
        <f t="shared" si="10"/>
        <v>9575</v>
      </c>
      <c r="C359">
        <f t="shared" si="11"/>
        <v>50263586</v>
      </c>
      <c r="E359" t="str">
        <f>IF(ISERROR(MATCH(C359,Sales!$D$3:$D$1000,0)),"","Used")</f>
        <v/>
      </c>
    </row>
    <row r="360" spans="1:5">
      <c r="A360" t="s">
        <v>649</v>
      </c>
      <c r="B360" s="198">
        <f t="shared" si="10"/>
        <v>9575</v>
      </c>
      <c r="C360">
        <f t="shared" si="11"/>
        <v>50263594</v>
      </c>
      <c r="E360" t="str">
        <f>IF(ISERROR(MATCH(C360,Sales!$D$3:$D$1000,0)),"","Used")</f>
        <v/>
      </c>
    </row>
    <row r="361" spans="1:5">
      <c r="A361" t="s">
        <v>650</v>
      </c>
      <c r="B361" s="198">
        <f t="shared" si="10"/>
        <v>9575</v>
      </c>
      <c r="C361">
        <f t="shared" si="11"/>
        <v>50263602</v>
      </c>
      <c r="E361" t="str">
        <f>IF(ISERROR(MATCH(C361,Sales!$D$3:$D$1000,0)),"","Used")</f>
        <v/>
      </c>
    </row>
    <row r="362" spans="1:5">
      <c r="A362" t="s">
        <v>651</v>
      </c>
      <c r="B362" s="198">
        <f t="shared" si="10"/>
        <v>9575</v>
      </c>
      <c r="C362">
        <f t="shared" si="11"/>
        <v>50263610</v>
      </c>
      <c r="E362" t="str">
        <f>IF(ISERROR(MATCH(C362,Sales!$D$3:$D$1000,0)),"","Used")</f>
        <v/>
      </c>
    </row>
    <row r="363" spans="1:5">
      <c r="A363" t="s">
        <v>652</v>
      </c>
      <c r="B363" s="198">
        <f t="shared" si="10"/>
        <v>9575</v>
      </c>
      <c r="C363">
        <f t="shared" si="11"/>
        <v>50263628</v>
      </c>
      <c r="E363" t="str">
        <f>IF(ISERROR(MATCH(C363,Sales!$D$3:$D$1000,0)),"","Used")</f>
        <v/>
      </c>
    </row>
    <row r="364" spans="1:5">
      <c r="A364" t="s">
        <v>653</v>
      </c>
      <c r="B364" s="198">
        <f t="shared" si="10"/>
        <v>9575</v>
      </c>
      <c r="C364">
        <f t="shared" si="11"/>
        <v>50263636</v>
      </c>
      <c r="E364" t="str">
        <f>IF(ISERROR(MATCH(C364,Sales!$D$3:$D$1000,0)),"","Used")</f>
        <v/>
      </c>
    </row>
    <row r="365" spans="1:5">
      <c r="A365" t="s">
        <v>654</v>
      </c>
      <c r="B365" s="198">
        <f t="shared" si="10"/>
        <v>9575</v>
      </c>
      <c r="C365">
        <f t="shared" si="11"/>
        <v>50263644</v>
      </c>
      <c r="E365" t="str">
        <f>IF(ISERROR(MATCH(C365,Sales!$D$3:$D$1000,0)),"","Used")</f>
        <v/>
      </c>
    </row>
    <row r="366" spans="1:5">
      <c r="A366" t="s">
        <v>655</v>
      </c>
      <c r="B366" s="198">
        <f t="shared" si="10"/>
        <v>9575</v>
      </c>
      <c r="C366">
        <f t="shared" si="11"/>
        <v>50263651</v>
      </c>
      <c r="E366" t="str">
        <f>IF(ISERROR(MATCH(C366,Sales!$D$3:$D$1000,0)),"","Used")</f>
        <v/>
      </c>
    </row>
    <row r="367" spans="1:5">
      <c r="A367" t="s">
        <v>656</v>
      </c>
      <c r="B367" s="198">
        <f t="shared" si="10"/>
        <v>9575</v>
      </c>
      <c r="C367">
        <f t="shared" si="11"/>
        <v>50263669</v>
      </c>
      <c r="E367" t="str">
        <f>IF(ISERROR(MATCH(C367,Sales!$D$3:$D$1000,0)),"","Used")</f>
        <v/>
      </c>
    </row>
    <row r="368" spans="1:5">
      <c r="A368" t="s">
        <v>657</v>
      </c>
      <c r="B368" s="198">
        <f t="shared" si="10"/>
        <v>9575</v>
      </c>
      <c r="C368">
        <f t="shared" si="11"/>
        <v>50263677</v>
      </c>
      <c r="E368" t="str">
        <f>IF(ISERROR(MATCH(C368,Sales!$D$3:$D$1000,0)),"","Used")</f>
        <v/>
      </c>
    </row>
    <row r="369" spans="1:5">
      <c r="A369" t="s">
        <v>658</v>
      </c>
      <c r="B369" s="198">
        <f t="shared" si="10"/>
        <v>9575</v>
      </c>
      <c r="C369">
        <f t="shared" si="11"/>
        <v>50263685</v>
      </c>
      <c r="E369" t="str">
        <f>IF(ISERROR(MATCH(C369,Sales!$D$3:$D$1000,0)),"","Used")</f>
        <v/>
      </c>
    </row>
    <row r="370" spans="1:5">
      <c r="A370" t="s">
        <v>659</v>
      </c>
      <c r="B370" s="198">
        <f t="shared" si="10"/>
        <v>9575</v>
      </c>
      <c r="C370">
        <f t="shared" si="11"/>
        <v>50263693</v>
      </c>
      <c r="E370" t="str">
        <f>IF(ISERROR(MATCH(C370,Sales!$D$3:$D$1000,0)),"","Used")</f>
        <v/>
      </c>
    </row>
    <row r="371" spans="1:5">
      <c r="A371" t="s">
        <v>660</v>
      </c>
      <c r="B371" s="198">
        <f t="shared" si="10"/>
        <v>9575</v>
      </c>
      <c r="C371">
        <f t="shared" si="11"/>
        <v>50263701</v>
      </c>
      <c r="E371" t="str">
        <f>IF(ISERROR(MATCH(C371,Sales!$D$3:$D$1000,0)),"","Used")</f>
        <v/>
      </c>
    </row>
    <row r="372" spans="1:5">
      <c r="A372" t="s">
        <v>661</v>
      </c>
      <c r="B372" s="198">
        <f t="shared" si="10"/>
        <v>9575</v>
      </c>
      <c r="C372">
        <f t="shared" si="11"/>
        <v>50263719</v>
      </c>
      <c r="E372" t="str">
        <f>IF(ISERROR(MATCH(C372,Sales!$D$3:$D$1000,0)),"","Used")</f>
        <v/>
      </c>
    </row>
    <row r="373" spans="1:5">
      <c r="A373" t="s">
        <v>662</v>
      </c>
      <c r="B373" s="198">
        <f t="shared" si="10"/>
        <v>9575</v>
      </c>
      <c r="C373">
        <f t="shared" si="11"/>
        <v>50263727</v>
      </c>
      <c r="E373" t="str">
        <f>IF(ISERROR(MATCH(C373,Sales!$D$3:$D$1000,0)),"","Used")</f>
        <v/>
      </c>
    </row>
    <row r="374" spans="1:5">
      <c r="A374" t="s">
        <v>663</v>
      </c>
      <c r="B374" s="198">
        <f t="shared" si="10"/>
        <v>9575</v>
      </c>
      <c r="C374">
        <f t="shared" si="11"/>
        <v>50263735</v>
      </c>
      <c r="E374" t="str">
        <f>IF(ISERROR(MATCH(C374,Sales!$D$3:$D$1000,0)),"","Used")</f>
        <v/>
      </c>
    </row>
    <row r="375" spans="1:5">
      <c r="A375" t="s">
        <v>664</v>
      </c>
      <c r="B375" s="198">
        <f t="shared" si="10"/>
        <v>9575</v>
      </c>
      <c r="C375">
        <f t="shared" si="11"/>
        <v>50263743</v>
      </c>
      <c r="E375" t="str">
        <f>IF(ISERROR(MATCH(C375,Sales!$D$3:$D$1000,0)),"","Used")</f>
        <v/>
      </c>
    </row>
    <row r="376" spans="1:5">
      <c r="A376" t="s">
        <v>665</v>
      </c>
      <c r="B376" s="198">
        <f t="shared" si="10"/>
        <v>9575</v>
      </c>
      <c r="C376">
        <f t="shared" si="11"/>
        <v>50263750</v>
      </c>
      <c r="E376" t="str">
        <f>IF(ISERROR(MATCH(C376,Sales!$D$3:$D$1000,0)),"","Used")</f>
        <v/>
      </c>
    </row>
    <row r="377" spans="1:5">
      <c r="A377" t="s">
        <v>666</v>
      </c>
      <c r="B377" s="198">
        <f t="shared" si="10"/>
        <v>9575</v>
      </c>
      <c r="C377">
        <f t="shared" si="11"/>
        <v>50263768</v>
      </c>
      <c r="E377" t="str">
        <f>IF(ISERROR(MATCH(C377,Sales!$D$3:$D$1000,0)),"","Used")</f>
        <v/>
      </c>
    </row>
    <row r="378" spans="1:5">
      <c r="A378" t="s">
        <v>667</v>
      </c>
      <c r="B378" s="198">
        <f t="shared" si="10"/>
        <v>9575</v>
      </c>
      <c r="C378">
        <f t="shared" si="11"/>
        <v>50263776</v>
      </c>
      <c r="E378" t="str">
        <f>IF(ISERROR(MATCH(C378,Sales!$D$3:$D$1000,0)),"","Used")</f>
        <v/>
      </c>
    </row>
    <row r="379" spans="1:5">
      <c r="A379" t="s">
        <v>668</v>
      </c>
      <c r="B379" s="198">
        <f t="shared" si="10"/>
        <v>9575</v>
      </c>
      <c r="C379">
        <f t="shared" si="11"/>
        <v>50263784</v>
      </c>
      <c r="E379" t="str">
        <f>IF(ISERROR(MATCH(C379,Sales!$D$3:$D$1000,0)),"","Used")</f>
        <v/>
      </c>
    </row>
    <row r="380" spans="1:5">
      <c r="A380" t="s">
        <v>669</v>
      </c>
      <c r="B380" s="198">
        <f t="shared" si="10"/>
        <v>9575</v>
      </c>
      <c r="C380">
        <f t="shared" si="11"/>
        <v>50263792</v>
      </c>
      <c r="E380" t="str">
        <f>IF(ISERROR(MATCH(C380,Sales!$D$3:$D$1000,0)),"","Used")</f>
        <v/>
      </c>
    </row>
    <row r="381" spans="1:5">
      <c r="A381" t="s">
        <v>670</v>
      </c>
      <c r="B381" s="198">
        <f t="shared" si="10"/>
        <v>9575</v>
      </c>
      <c r="C381">
        <f t="shared" si="11"/>
        <v>50263800</v>
      </c>
      <c r="E381" t="str">
        <f>IF(ISERROR(MATCH(C381,Sales!$D$3:$D$1000,0)),"","Used")</f>
        <v/>
      </c>
    </row>
    <row r="382" spans="1:5">
      <c r="A382" t="s">
        <v>671</v>
      </c>
      <c r="B382" s="198">
        <f t="shared" si="10"/>
        <v>9575</v>
      </c>
      <c r="C382">
        <f t="shared" si="11"/>
        <v>50263818</v>
      </c>
      <c r="E382" t="str">
        <f>IF(ISERROR(MATCH(C382,Sales!$D$3:$D$1000,0)),"","Used")</f>
        <v/>
      </c>
    </row>
    <row r="383" spans="1:5">
      <c r="A383" t="s">
        <v>672</v>
      </c>
      <c r="B383" s="198">
        <f t="shared" si="10"/>
        <v>9575</v>
      </c>
      <c r="C383">
        <f t="shared" si="11"/>
        <v>50263826</v>
      </c>
      <c r="E383" t="str">
        <f>IF(ISERROR(MATCH(C383,Sales!$D$3:$D$1000,0)),"","Used")</f>
        <v/>
      </c>
    </row>
    <row r="384" spans="1:5">
      <c r="A384" t="s">
        <v>673</v>
      </c>
      <c r="B384" s="198">
        <f t="shared" si="10"/>
        <v>9575</v>
      </c>
      <c r="C384">
        <f t="shared" si="11"/>
        <v>50263834</v>
      </c>
      <c r="E384" t="str">
        <f>IF(ISERROR(MATCH(C384,Sales!$D$3:$D$1000,0)),"","Used")</f>
        <v/>
      </c>
    </row>
    <row r="385" spans="1:5">
      <c r="A385" t="s">
        <v>674</v>
      </c>
      <c r="B385" s="198">
        <f t="shared" si="10"/>
        <v>9575</v>
      </c>
      <c r="C385">
        <f t="shared" si="11"/>
        <v>50263842</v>
      </c>
      <c r="E385" t="str">
        <f>IF(ISERROR(MATCH(C385,Sales!$D$3:$D$1000,0)),"","Used")</f>
        <v/>
      </c>
    </row>
    <row r="386" spans="1:5">
      <c r="A386" t="s">
        <v>675</v>
      </c>
      <c r="B386" s="198">
        <f t="shared" si="10"/>
        <v>9575</v>
      </c>
      <c r="C386">
        <f t="shared" si="11"/>
        <v>50263859</v>
      </c>
      <c r="E386" t="str">
        <f>IF(ISERROR(MATCH(C386,Sales!$D$3:$D$1000,0)),"","Used")</f>
        <v/>
      </c>
    </row>
    <row r="387" spans="1:5">
      <c r="A387" t="s">
        <v>676</v>
      </c>
      <c r="B387" s="198">
        <f t="shared" si="10"/>
        <v>9575</v>
      </c>
      <c r="C387">
        <f t="shared" si="11"/>
        <v>50263867</v>
      </c>
      <c r="E387" t="str">
        <f>IF(ISERROR(MATCH(C387,Sales!$D$3:$D$1000,0)),"","Used")</f>
        <v/>
      </c>
    </row>
    <row r="388" spans="1:5">
      <c r="A388" t="s">
        <v>677</v>
      </c>
      <c r="B388" s="198">
        <f t="shared" ref="B388:B451" si="12">VALUE(LEFT(A388,4))</f>
        <v>9575</v>
      </c>
      <c r="C388">
        <f t="shared" ref="C388:C451" si="13">VALUE(RIGHT(A388,8))</f>
        <v>50263875</v>
      </c>
      <c r="E388" t="str">
        <f>IF(ISERROR(MATCH(C388,Sales!$D$3:$D$1000,0)),"","Used")</f>
        <v/>
      </c>
    </row>
    <row r="389" spans="1:5">
      <c r="A389" t="s">
        <v>678</v>
      </c>
      <c r="B389" s="198">
        <f t="shared" si="12"/>
        <v>9575</v>
      </c>
      <c r="C389">
        <f t="shared" si="13"/>
        <v>50263883</v>
      </c>
      <c r="E389" t="str">
        <f>IF(ISERROR(MATCH(C389,Sales!$D$3:$D$1000,0)),"","Used")</f>
        <v/>
      </c>
    </row>
    <row r="390" spans="1:5">
      <c r="A390" t="s">
        <v>679</v>
      </c>
      <c r="B390" s="198">
        <f t="shared" si="12"/>
        <v>9575</v>
      </c>
      <c r="C390">
        <f t="shared" si="13"/>
        <v>50263891</v>
      </c>
      <c r="E390" t="str">
        <f>IF(ISERROR(MATCH(C390,Sales!$D$3:$D$1000,0)),"","Used")</f>
        <v/>
      </c>
    </row>
    <row r="391" spans="1:5">
      <c r="A391" t="s">
        <v>680</v>
      </c>
      <c r="B391" s="198">
        <f t="shared" si="12"/>
        <v>9575</v>
      </c>
      <c r="C391">
        <f t="shared" si="13"/>
        <v>50263909</v>
      </c>
      <c r="E391" t="str">
        <f>IF(ISERROR(MATCH(C391,Sales!$D$3:$D$1000,0)),"","Used")</f>
        <v/>
      </c>
    </row>
    <row r="392" spans="1:5">
      <c r="A392" t="s">
        <v>681</v>
      </c>
      <c r="B392" s="198">
        <f t="shared" si="12"/>
        <v>9575</v>
      </c>
      <c r="C392">
        <f t="shared" si="13"/>
        <v>50263917</v>
      </c>
      <c r="E392" t="str">
        <f>IF(ISERROR(MATCH(C392,Sales!$D$3:$D$1000,0)),"","Used")</f>
        <v/>
      </c>
    </row>
    <row r="393" spans="1:5">
      <c r="A393" t="s">
        <v>682</v>
      </c>
      <c r="B393" s="198">
        <f t="shared" si="12"/>
        <v>9575</v>
      </c>
      <c r="C393">
        <f t="shared" si="13"/>
        <v>50263925</v>
      </c>
      <c r="E393" t="str">
        <f>IF(ISERROR(MATCH(C393,Sales!$D$3:$D$1000,0)),"","Used")</f>
        <v/>
      </c>
    </row>
    <row r="394" spans="1:5">
      <c r="A394" t="s">
        <v>683</v>
      </c>
      <c r="B394" s="198">
        <f t="shared" si="12"/>
        <v>9575</v>
      </c>
      <c r="C394">
        <f t="shared" si="13"/>
        <v>50263933</v>
      </c>
      <c r="E394" t="str">
        <f>IF(ISERROR(MATCH(C394,Sales!$D$3:$D$1000,0)),"","Used")</f>
        <v/>
      </c>
    </row>
    <row r="395" spans="1:5">
      <c r="A395" t="s">
        <v>684</v>
      </c>
      <c r="B395" s="198">
        <f t="shared" si="12"/>
        <v>9575</v>
      </c>
      <c r="C395">
        <f t="shared" si="13"/>
        <v>50263941</v>
      </c>
      <c r="E395" t="str">
        <f>IF(ISERROR(MATCH(C395,Sales!$D$3:$D$1000,0)),"","Used")</f>
        <v/>
      </c>
    </row>
    <row r="396" spans="1:5">
      <c r="A396" t="s">
        <v>685</v>
      </c>
      <c r="B396" s="198">
        <f t="shared" si="12"/>
        <v>9575</v>
      </c>
      <c r="C396">
        <f t="shared" si="13"/>
        <v>50263958</v>
      </c>
      <c r="E396" t="str">
        <f>IF(ISERROR(MATCH(C396,Sales!$D$3:$D$1000,0)),"","Used")</f>
        <v/>
      </c>
    </row>
    <row r="397" spans="1:5">
      <c r="A397" t="s">
        <v>686</v>
      </c>
      <c r="B397" s="198">
        <f t="shared" si="12"/>
        <v>9575</v>
      </c>
      <c r="C397">
        <f t="shared" si="13"/>
        <v>50263966</v>
      </c>
      <c r="E397" t="str">
        <f>IF(ISERROR(MATCH(C397,Sales!$D$3:$D$1000,0)),"","Used")</f>
        <v/>
      </c>
    </row>
    <row r="398" spans="1:5">
      <c r="A398" t="s">
        <v>687</v>
      </c>
      <c r="B398" s="198">
        <f t="shared" si="12"/>
        <v>9575</v>
      </c>
      <c r="C398">
        <f t="shared" si="13"/>
        <v>50263974</v>
      </c>
      <c r="E398" t="str">
        <f>IF(ISERROR(MATCH(C398,Sales!$D$3:$D$1000,0)),"","Used")</f>
        <v/>
      </c>
    </row>
    <row r="399" spans="1:5">
      <c r="A399" t="s">
        <v>688</v>
      </c>
      <c r="B399" s="198">
        <f t="shared" si="12"/>
        <v>9575</v>
      </c>
      <c r="C399">
        <f t="shared" si="13"/>
        <v>50263982</v>
      </c>
      <c r="E399" t="str">
        <f>IF(ISERROR(MATCH(C399,Sales!$D$3:$D$1000,0)),"","Used")</f>
        <v/>
      </c>
    </row>
    <row r="400" spans="1:5">
      <c r="A400" t="s">
        <v>689</v>
      </c>
      <c r="B400" s="198">
        <f t="shared" si="12"/>
        <v>9575</v>
      </c>
      <c r="C400">
        <f t="shared" si="13"/>
        <v>50263990</v>
      </c>
      <c r="E400" t="str">
        <f>IF(ISERROR(MATCH(C400,Sales!$D$3:$D$1000,0)),"","Used")</f>
        <v/>
      </c>
    </row>
    <row r="401" spans="1:5">
      <c r="A401" t="s">
        <v>690</v>
      </c>
      <c r="B401" s="198">
        <f t="shared" si="12"/>
        <v>9575</v>
      </c>
      <c r="C401">
        <f t="shared" si="13"/>
        <v>50264006</v>
      </c>
      <c r="E401" t="str">
        <f>IF(ISERROR(MATCH(C401,Sales!$D$3:$D$1000,0)),"","Used")</f>
        <v/>
      </c>
    </row>
    <row r="402" spans="1:5">
      <c r="A402" t="s">
        <v>691</v>
      </c>
      <c r="B402" s="198">
        <f t="shared" si="12"/>
        <v>9575</v>
      </c>
      <c r="C402">
        <f t="shared" si="13"/>
        <v>50264014</v>
      </c>
      <c r="E402" t="str">
        <f>IF(ISERROR(MATCH(C402,Sales!$D$3:$D$1000,0)),"","Used")</f>
        <v/>
      </c>
    </row>
    <row r="403" spans="1:5">
      <c r="A403" t="s">
        <v>692</v>
      </c>
      <c r="B403" s="198">
        <f t="shared" si="12"/>
        <v>9575</v>
      </c>
      <c r="C403">
        <f t="shared" si="13"/>
        <v>50264022</v>
      </c>
      <c r="E403" t="str">
        <f>IF(ISERROR(MATCH(C403,Sales!$D$3:$D$1000,0)),"","Used")</f>
        <v/>
      </c>
    </row>
    <row r="404" spans="1:5">
      <c r="A404" t="s">
        <v>693</v>
      </c>
      <c r="B404" s="198">
        <f t="shared" si="12"/>
        <v>9575</v>
      </c>
      <c r="C404">
        <f t="shared" si="13"/>
        <v>50264030</v>
      </c>
      <c r="E404" t="str">
        <f>IF(ISERROR(MATCH(C404,Sales!$D$3:$D$1000,0)),"","Used")</f>
        <v/>
      </c>
    </row>
    <row r="405" spans="1:5">
      <c r="A405" t="s">
        <v>694</v>
      </c>
      <c r="B405" s="198">
        <f t="shared" si="12"/>
        <v>9575</v>
      </c>
      <c r="C405">
        <f t="shared" si="13"/>
        <v>50264048</v>
      </c>
      <c r="E405" t="str">
        <f>IF(ISERROR(MATCH(C405,Sales!$D$3:$D$1000,0)),"","Used")</f>
        <v/>
      </c>
    </row>
    <row r="406" spans="1:5">
      <c r="A406" t="s">
        <v>695</v>
      </c>
      <c r="B406" s="198">
        <f t="shared" si="12"/>
        <v>9575</v>
      </c>
      <c r="C406">
        <f t="shared" si="13"/>
        <v>50264055</v>
      </c>
      <c r="E406" t="str">
        <f>IF(ISERROR(MATCH(C406,Sales!$D$3:$D$1000,0)),"","Used")</f>
        <v/>
      </c>
    </row>
    <row r="407" spans="1:5">
      <c r="A407" t="s">
        <v>696</v>
      </c>
      <c r="B407" s="198">
        <f t="shared" si="12"/>
        <v>9575</v>
      </c>
      <c r="C407">
        <f t="shared" si="13"/>
        <v>50264063</v>
      </c>
      <c r="E407" t="str">
        <f>IF(ISERROR(MATCH(C407,Sales!$D$3:$D$1000,0)),"","Used")</f>
        <v/>
      </c>
    </row>
    <row r="408" spans="1:5">
      <c r="A408" t="s">
        <v>697</v>
      </c>
      <c r="B408" s="198">
        <f t="shared" si="12"/>
        <v>9575</v>
      </c>
      <c r="C408">
        <f t="shared" si="13"/>
        <v>50264071</v>
      </c>
      <c r="E408" t="str">
        <f>IF(ISERROR(MATCH(C408,Sales!$D$3:$D$1000,0)),"","Used")</f>
        <v/>
      </c>
    </row>
    <row r="409" spans="1:5">
      <c r="A409" t="s">
        <v>698</v>
      </c>
      <c r="B409" s="198">
        <f t="shared" si="12"/>
        <v>9575</v>
      </c>
      <c r="C409">
        <f t="shared" si="13"/>
        <v>50264089</v>
      </c>
      <c r="E409" t="str">
        <f>IF(ISERROR(MATCH(C409,Sales!$D$3:$D$1000,0)),"","Used")</f>
        <v/>
      </c>
    </row>
    <row r="410" spans="1:5">
      <c r="A410" t="s">
        <v>699</v>
      </c>
      <c r="B410" s="198">
        <f t="shared" si="12"/>
        <v>9575</v>
      </c>
      <c r="C410">
        <f t="shared" si="13"/>
        <v>50264097</v>
      </c>
      <c r="E410" t="str">
        <f>IF(ISERROR(MATCH(C410,Sales!$D$3:$D$1000,0)),"","Used")</f>
        <v/>
      </c>
    </row>
    <row r="411" spans="1:5">
      <c r="A411" t="s">
        <v>700</v>
      </c>
      <c r="B411" s="198">
        <f t="shared" si="12"/>
        <v>9575</v>
      </c>
      <c r="C411">
        <f t="shared" si="13"/>
        <v>50264105</v>
      </c>
      <c r="E411" t="str">
        <f>IF(ISERROR(MATCH(C411,Sales!$D$3:$D$1000,0)),"","Used")</f>
        <v/>
      </c>
    </row>
    <row r="412" spans="1:5">
      <c r="A412" t="s">
        <v>701</v>
      </c>
      <c r="B412" s="198">
        <f t="shared" si="12"/>
        <v>9575</v>
      </c>
      <c r="C412">
        <f t="shared" si="13"/>
        <v>50264113</v>
      </c>
      <c r="E412" t="str">
        <f>IF(ISERROR(MATCH(C412,Sales!$D$3:$D$1000,0)),"","Used")</f>
        <v/>
      </c>
    </row>
    <row r="413" spans="1:5">
      <c r="A413" t="s">
        <v>702</v>
      </c>
      <c r="B413" s="198">
        <f t="shared" si="12"/>
        <v>9575</v>
      </c>
      <c r="C413">
        <f t="shared" si="13"/>
        <v>50264121</v>
      </c>
      <c r="E413" t="str">
        <f>IF(ISERROR(MATCH(C413,Sales!$D$3:$D$1000,0)),"","Used")</f>
        <v/>
      </c>
    </row>
    <row r="414" spans="1:5">
      <c r="A414" t="s">
        <v>703</v>
      </c>
      <c r="B414" s="198">
        <f t="shared" si="12"/>
        <v>9575</v>
      </c>
      <c r="C414">
        <f t="shared" si="13"/>
        <v>50264139</v>
      </c>
      <c r="E414" t="str">
        <f>IF(ISERROR(MATCH(C414,Sales!$D$3:$D$1000,0)),"","Used")</f>
        <v/>
      </c>
    </row>
    <row r="415" spans="1:5">
      <c r="A415" t="s">
        <v>704</v>
      </c>
      <c r="B415" s="198">
        <f t="shared" si="12"/>
        <v>9575</v>
      </c>
      <c r="C415">
        <f t="shared" si="13"/>
        <v>50264147</v>
      </c>
      <c r="E415" t="str">
        <f>IF(ISERROR(MATCH(C415,Sales!$D$3:$D$1000,0)),"","Used")</f>
        <v/>
      </c>
    </row>
    <row r="416" spans="1:5">
      <c r="A416" t="s">
        <v>705</v>
      </c>
      <c r="B416" s="198">
        <f t="shared" si="12"/>
        <v>9575</v>
      </c>
      <c r="C416">
        <f t="shared" si="13"/>
        <v>50264154</v>
      </c>
      <c r="E416" t="str">
        <f>IF(ISERROR(MATCH(C416,Sales!$D$3:$D$1000,0)),"","Used")</f>
        <v/>
      </c>
    </row>
    <row r="417" spans="1:5">
      <c r="A417" t="s">
        <v>706</v>
      </c>
      <c r="B417" s="198">
        <f t="shared" si="12"/>
        <v>9575</v>
      </c>
      <c r="C417">
        <f t="shared" si="13"/>
        <v>50264162</v>
      </c>
      <c r="E417" t="str">
        <f>IF(ISERROR(MATCH(C417,Sales!$D$3:$D$1000,0)),"","Used")</f>
        <v/>
      </c>
    </row>
    <row r="418" spans="1:5">
      <c r="A418" t="s">
        <v>707</v>
      </c>
      <c r="B418" s="198">
        <f t="shared" si="12"/>
        <v>9575</v>
      </c>
      <c r="C418">
        <f t="shared" si="13"/>
        <v>50264170</v>
      </c>
      <c r="E418" t="str">
        <f>IF(ISERROR(MATCH(C418,Sales!$D$3:$D$1000,0)),"","Used")</f>
        <v/>
      </c>
    </row>
    <row r="419" spans="1:5">
      <c r="A419" t="s">
        <v>708</v>
      </c>
      <c r="B419" s="198">
        <f t="shared" si="12"/>
        <v>9575</v>
      </c>
      <c r="C419">
        <f t="shared" si="13"/>
        <v>50264188</v>
      </c>
      <c r="E419" t="str">
        <f>IF(ISERROR(MATCH(C419,Sales!$D$3:$D$1000,0)),"","Used")</f>
        <v/>
      </c>
    </row>
    <row r="420" spans="1:5">
      <c r="A420" t="s">
        <v>709</v>
      </c>
      <c r="B420" s="198">
        <f t="shared" si="12"/>
        <v>9575</v>
      </c>
      <c r="C420">
        <f t="shared" si="13"/>
        <v>50264196</v>
      </c>
      <c r="E420" t="str">
        <f>IF(ISERROR(MATCH(C420,Sales!$D$3:$D$1000,0)),"","Used")</f>
        <v/>
      </c>
    </row>
    <row r="421" spans="1:5">
      <c r="A421" t="s">
        <v>710</v>
      </c>
      <c r="B421" s="198">
        <f t="shared" si="12"/>
        <v>9575</v>
      </c>
      <c r="C421">
        <f t="shared" si="13"/>
        <v>50264204</v>
      </c>
      <c r="E421" t="str">
        <f>IF(ISERROR(MATCH(C421,Sales!$D$3:$D$1000,0)),"","Used")</f>
        <v/>
      </c>
    </row>
    <row r="422" spans="1:5">
      <c r="A422" t="s">
        <v>711</v>
      </c>
      <c r="B422" s="198">
        <f t="shared" si="12"/>
        <v>9575</v>
      </c>
      <c r="C422">
        <f t="shared" si="13"/>
        <v>50264212</v>
      </c>
      <c r="E422" t="str">
        <f>IF(ISERROR(MATCH(C422,Sales!$D$3:$D$1000,0)),"","Used")</f>
        <v/>
      </c>
    </row>
    <row r="423" spans="1:5">
      <c r="A423" t="s">
        <v>712</v>
      </c>
      <c r="B423" s="198">
        <f t="shared" si="12"/>
        <v>9575</v>
      </c>
      <c r="C423">
        <f t="shared" si="13"/>
        <v>50264220</v>
      </c>
      <c r="E423" t="str">
        <f>IF(ISERROR(MATCH(C423,Sales!$D$3:$D$1000,0)),"","Used")</f>
        <v/>
      </c>
    </row>
    <row r="424" spans="1:5">
      <c r="A424" t="s">
        <v>713</v>
      </c>
      <c r="B424" s="198">
        <f t="shared" si="12"/>
        <v>9575</v>
      </c>
      <c r="C424">
        <f t="shared" si="13"/>
        <v>50264238</v>
      </c>
      <c r="E424" t="str">
        <f>IF(ISERROR(MATCH(C424,Sales!$D$3:$D$1000,0)),"","Used")</f>
        <v/>
      </c>
    </row>
    <row r="425" spans="1:5">
      <c r="A425" t="s">
        <v>714</v>
      </c>
      <c r="B425" s="198">
        <f t="shared" si="12"/>
        <v>9575</v>
      </c>
      <c r="C425">
        <f t="shared" si="13"/>
        <v>50264246</v>
      </c>
      <c r="E425" t="str">
        <f>IF(ISERROR(MATCH(C425,Sales!$D$3:$D$1000,0)),"","Used")</f>
        <v/>
      </c>
    </row>
    <row r="426" spans="1:5">
      <c r="A426" t="s">
        <v>715</v>
      </c>
      <c r="B426" s="198">
        <f t="shared" si="12"/>
        <v>9575</v>
      </c>
      <c r="C426">
        <f t="shared" si="13"/>
        <v>50264253</v>
      </c>
      <c r="E426" t="str">
        <f>IF(ISERROR(MATCH(C426,Sales!$D$3:$D$1000,0)),"","Used")</f>
        <v/>
      </c>
    </row>
    <row r="427" spans="1:5">
      <c r="A427" t="s">
        <v>716</v>
      </c>
      <c r="B427" s="198">
        <f t="shared" si="12"/>
        <v>9575</v>
      </c>
      <c r="C427">
        <f t="shared" si="13"/>
        <v>50264261</v>
      </c>
      <c r="E427" t="str">
        <f>IF(ISERROR(MATCH(C427,Sales!$D$3:$D$1000,0)),"","Used")</f>
        <v/>
      </c>
    </row>
    <row r="428" spans="1:5">
      <c r="A428" t="s">
        <v>717</v>
      </c>
      <c r="B428" s="198">
        <f t="shared" si="12"/>
        <v>9575</v>
      </c>
      <c r="C428">
        <f t="shared" si="13"/>
        <v>50264279</v>
      </c>
      <c r="E428" t="str">
        <f>IF(ISERROR(MATCH(C428,Sales!$D$3:$D$1000,0)),"","Used")</f>
        <v/>
      </c>
    </row>
    <row r="429" spans="1:5">
      <c r="A429" t="s">
        <v>718</v>
      </c>
      <c r="B429" s="198">
        <f t="shared" si="12"/>
        <v>9575</v>
      </c>
      <c r="C429">
        <f t="shared" si="13"/>
        <v>50264287</v>
      </c>
      <c r="E429" t="str">
        <f>IF(ISERROR(MATCH(C429,Sales!$D$3:$D$1000,0)),"","Used")</f>
        <v/>
      </c>
    </row>
    <row r="430" spans="1:5">
      <c r="A430" t="s">
        <v>719</v>
      </c>
      <c r="B430" s="198">
        <f t="shared" si="12"/>
        <v>9575</v>
      </c>
      <c r="C430">
        <f t="shared" si="13"/>
        <v>50264295</v>
      </c>
      <c r="E430" t="str">
        <f>IF(ISERROR(MATCH(C430,Sales!$D$3:$D$1000,0)),"","Used")</f>
        <v/>
      </c>
    </row>
    <row r="431" spans="1:5">
      <c r="A431" t="s">
        <v>720</v>
      </c>
      <c r="B431" s="198">
        <f t="shared" si="12"/>
        <v>9575</v>
      </c>
      <c r="C431">
        <f t="shared" si="13"/>
        <v>50264303</v>
      </c>
      <c r="E431" t="str">
        <f>IF(ISERROR(MATCH(C431,Sales!$D$3:$D$1000,0)),"","Used")</f>
        <v/>
      </c>
    </row>
    <row r="432" spans="1:5">
      <c r="A432" t="s">
        <v>721</v>
      </c>
      <c r="B432" s="198">
        <f t="shared" si="12"/>
        <v>9575</v>
      </c>
      <c r="C432">
        <f t="shared" si="13"/>
        <v>50264311</v>
      </c>
      <c r="E432" t="str">
        <f>IF(ISERROR(MATCH(C432,Sales!$D$3:$D$1000,0)),"","Used")</f>
        <v/>
      </c>
    </row>
    <row r="433" spans="1:5">
      <c r="A433" t="s">
        <v>722</v>
      </c>
      <c r="B433" s="198">
        <f t="shared" si="12"/>
        <v>9575</v>
      </c>
      <c r="C433">
        <f t="shared" si="13"/>
        <v>50264329</v>
      </c>
      <c r="E433" t="str">
        <f>IF(ISERROR(MATCH(C433,Sales!$D$3:$D$1000,0)),"","Used")</f>
        <v/>
      </c>
    </row>
    <row r="434" spans="1:5">
      <c r="A434" t="s">
        <v>723</v>
      </c>
      <c r="B434" s="198">
        <f t="shared" si="12"/>
        <v>9575</v>
      </c>
      <c r="C434">
        <f t="shared" si="13"/>
        <v>50264337</v>
      </c>
      <c r="E434" t="str">
        <f>IF(ISERROR(MATCH(C434,Sales!$D$3:$D$1000,0)),"","Used")</f>
        <v/>
      </c>
    </row>
    <row r="435" spans="1:5">
      <c r="A435" t="s">
        <v>724</v>
      </c>
      <c r="B435" s="198">
        <f t="shared" si="12"/>
        <v>9575</v>
      </c>
      <c r="C435">
        <f t="shared" si="13"/>
        <v>50264345</v>
      </c>
      <c r="E435" t="str">
        <f>IF(ISERROR(MATCH(C435,Sales!$D$3:$D$1000,0)),"","Used")</f>
        <v/>
      </c>
    </row>
    <row r="436" spans="1:5">
      <c r="A436" t="s">
        <v>725</v>
      </c>
      <c r="B436" s="198">
        <f t="shared" si="12"/>
        <v>9575</v>
      </c>
      <c r="C436">
        <f t="shared" si="13"/>
        <v>50264352</v>
      </c>
      <c r="E436" t="str">
        <f>IF(ISERROR(MATCH(C436,Sales!$D$3:$D$1000,0)),"","Used")</f>
        <v/>
      </c>
    </row>
    <row r="437" spans="1:5">
      <c r="A437" t="s">
        <v>726</v>
      </c>
      <c r="B437" s="198">
        <f t="shared" si="12"/>
        <v>9575</v>
      </c>
      <c r="C437">
        <f t="shared" si="13"/>
        <v>50264360</v>
      </c>
      <c r="E437" t="str">
        <f>IF(ISERROR(MATCH(C437,Sales!$D$3:$D$1000,0)),"","Used")</f>
        <v/>
      </c>
    </row>
    <row r="438" spans="1:5">
      <c r="A438" t="s">
        <v>727</v>
      </c>
      <c r="B438" s="198">
        <f t="shared" si="12"/>
        <v>9575</v>
      </c>
      <c r="C438">
        <f t="shared" si="13"/>
        <v>50264378</v>
      </c>
      <c r="E438" t="str">
        <f>IF(ISERROR(MATCH(C438,Sales!$D$3:$D$1000,0)),"","Used")</f>
        <v/>
      </c>
    </row>
    <row r="439" spans="1:5">
      <c r="A439" t="s">
        <v>728</v>
      </c>
      <c r="B439" s="198">
        <f t="shared" si="12"/>
        <v>9575</v>
      </c>
      <c r="C439">
        <f t="shared" si="13"/>
        <v>50264386</v>
      </c>
      <c r="E439" t="str">
        <f>IF(ISERROR(MATCH(C439,Sales!$D$3:$D$1000,0)),"","Used")</f>
        <v/>
      </c>
    </row>
    <row r="440" spans="1:5">
      <c r="A440" t="s">
        <v>729</v>
      </c>
      <c r="B440" s="198">
        <f t="shared" si="12"/>
        <v>9575</v>
      </c>
      <c r="C440">
        <f t="shared" si="13"/>
        <v>50264394</v>
      </c>
      <c r="E440" t="str">
        <f>IF(ISERROR(MATCH(C440,Sales!$D$3:$D$1000,0)),"","Used")</f>
        <v/>
      </c>
    </row>
    <row r="441" spans="1:5">
      <c r="A441" t="s">
        <v>730</v>
      </c>
      <c r="B441" s="198">
        <f t="shared" si="12"/>
        <v>9575</v>
      </c>
      <c r="C441">
        <f t="shared" si="13"/>
        <v>50264402</v>
      </c>
      <c r="E441" t="str">
        <f>IF(ISERROR(MATCH(C441,Sales!$D$3:$D$1000,0)),"","Used")</f>
        <v/>
      </c>
    </row>
    <row r="442" spans="1:5">
      <c r="A442" t="s">
        <v>731</v>
      </c>
      <c r="B442" s="198">
        <f t="shared" si="12"/>
        <v>9575</v>
      </c>
      <c r="C442">
        <f t="shared" si="13"/>
        <v>50264410</v>
      </c>
      <c r="E442" t="str">
        <f>IF(ISERROR(MATCH(C442,Sales!$D$3:$D$1000,0)),"","Used")</f>
        <v/>
      </c>
    </row>
    <row r="443" spans="1:5">
      <c r="A443" t="s">
        <v>732</v>
      </c>
      <c r="B443" s="198">
        <f t="shared" si="12"/>
        <v>9575</v>
      </c>
      <c r="C443">
        <f t="shared" si="13"/>
        <v>50264428</v>
      </c>
      <c r="E443" t="str">
        <f>IF(ISERROR(MATCH(C443,Sales!$D$3:$D$1000,0)),"","Used")</f>
        <v/>
      </c>
    </row>
    <row r="444" spans="1:5">
      <c r="A444" t="s">
        <v>733</v>
      </c>
      <c r="B444" s="198">
        <f t="shared" si="12"/>
        <v>9575</v>
      </c>
      <c r="C444">
        <f t="shared" si="13"/>
        <v>50264436</v>
      </c>
      <c r="E444" t="str">
        <f>IF(ISERROR(MATCH(C444,Sales!$D$3:$D$1000,0)),"","Used")</f>
        <v/>
      </c>
    </row>
    <row r="445" spans="1:5">
      <c r="A445" t="s">
        <v>734</v>
      </c>
      <c r="B445" s="198">
        <f t="shared" si="12"/>
        <v>9575</v>
      </c>
      <c r="C445">
        <f t="shared" si="13"/>
        <v>50264444</v>
      </c>
      <c r="E445" t="str">
        <f>IF(ISERROR(MATCH(C445,Sales!$D$3:$D$1000,0)),"","Used")</f>
        <v/>
      </c>
    </row>
    <row r="446" spans="1:5">
      <c r="A446" t="s">
        <v>735</v>
      </c>
      <c r="B446" s="198">
        <f t="shared" si="12"/>
        <v>9575</v>
      </c>
      <c r="C446">
        <f t="shared" si="13"/>
        <v>50264451</v>
      </c>
      <c r="E446" t="str">
        <f>IF(ISERROR(MATCH(C446,Sales!$D$3:$D$1000,0)),"","Used")</f>
        <v/>
      </c>
    </row>
    <row r="447" spans="1:5">
      <c r="A447" t="s">
        <v>736</v>
      </c>
      <c r="B447" s="198">
        <f t="shared" si="12"/>
        <v>9575</v>
      </c>
      <c r="C447">
        <f t="shared" si="13"/>
        <v>50264469</v>
      </c>
      <c r="E447" t="str">
        <f>IF(ISERROR(MATCH(C447,Sales!$D$3:$D$1000,0)),"","Used")</f>
        <v/>
      </c>
    </row>
    <row r="448" spans="1:5">
      <c r="A448" t="s">
        <v>737</v>
      </c>
      <c r="B448" s="198">
        <f t="shared" si="12"/>
        <v>9575</v>
      </c>
      <c r="C448">
        <f t="shared" si="13"/>
        <v>50264477</v>
      </c>
      <c r="E448" t="str">
        <f>IF(ISERROR(MATCH(C448,Sales!$D$3:$D$1000,0)),"","Used")</f>
        <v/>
      </c>
    </row>
    <row r="449" spans="1:5">
      <c r="A449" t="s">
        <v>738</v>
      </c>
      <c r="B449" s="198">
        <f t="shared" si="12"/>
        <v>9575</v>
      </c>
      <c r="C449">
        <f t="shared" si="13"/>
        <v>50264485</v>
      </c>
      <c r="E449" t="str">
        <f>IF(ISERROR(MATCH(C449,Sales!$D$3:$D$1000,0)),"","Used")</f>
        <v/>
      </c>
    </row>
    <row r="450" spans="1:5">
      <c r="A450" t="s">
        <v>739</v>
      </c>
      <c r="B450" s="198">
        <f t="shared" si="12"/>
        <v>9575</v>
      </c>
      <c r="C450">
        <f t="shared" si="13"/>
        <v>50264493</v>
      </c>
      <c r="E450" t="str">
        <f>IF(ISERROR(MATCH(C450,Sales!$D$3:$D$1000,0)),"","Used")</f>
        <v/>
      </c>
    </row>
    <row r="451" spans="1:5">
      <c r="A451" t="s">
        <v>740</v>
      </c>
      <c r="B451" s="198">
        <f t="shared" si="12"/>
        <v>9575</v>
      </c>
      <c r="C451">
        <f t="shared" si="13"/>
        <v>50264501</v>
      </c>
      <c r="E451" t="str">
        <f>IF(ISERROR(MATCH(C451,Sales!$D$3:$D$1000,0)),"","Used")</f>
        <v/>
      </c>
    </row>
    <row r="452" spans="1:5">
      <c r="A452" t="s">
        <v>741</v>
      </c>
      <c r="B452" s="198">
        <f t="shared" ref="B452:B515" si="14">VALUE(LEFT(A452,4))</f>
        <v>9575</v>
      </c>
      <c r="C452">
        <f t="shared" ref="C452:C515" si="15">VALUE(RIGHT(A452,8))</f>
        <v>50264519</v>
      </c>
      <c r="E452" t="str">
        <f>IF(ISERROR(MATCH(C452,Sales!$D$3:$D$1000,0)),"","Used")</f>
        <v/>
      </c>
    </row>
    <row r="453" spans="1:5">
      <c r="A453" t="s">
        <v>742</v>
      </c>
      <c r="B453" s="198">
        <f t="shared" si="14"/>
        <v>9575</v>
      </c>
      <c r="C453">
        <f t="shared" si="15"/>
        <v>50264527</v>
      </c>
      <c r="E453" t="str">
        <f>IF(ISERROR(MATCH(C453,Sales!$D$3:$D$1000,0)),"","Used")</f>
        <v/>
      </c>
    </row>
    <row r="454" spans="1:5">
      <c r="A454" t="s">
        <v>743</v>
      </c>
      <c r="B454" s="198">
        <f t="shared" si="14"/>
        <v>9575</v>
      </c>
      <c r="C454">
        <f t="shared" si="15"/>
        <v>50264535</v>
      </c>
      <c r="E454" t="str">
        <f>IF(ISERROR(MATCH(C454,Sales!$D$3:$D$1000,0)),"","Used")</f>
        <v/>
      </c>
    </row>
    <row r="455" spans="1:5">
      <c r="A455" t="s">
        <v>744</v>
      </c>
      <c r="B455" s="198">
        <f t="shared" si="14"/>
        <v>9575</v>
      </c>
      <c r="C455">
        <f t="shared" si="15"/>
        <v>50264543</v>
      </c>
      <c r="E455" t="str">
        <f>IF(ISERROR(MATCH(C455,Sales!$D$3:$D$1000,0)),"","Used")</f>
        <v/>
      </c>
    </row>
    <row r="456" spans="1:5">
      <c r="A456" t="s">
        <v>745</v>
      </c>
      <c r="B456" s="198">
        <f t="shared" si="14"/>
        <v>9575</v>
      </c>
      <c r="C456">
        <f t="shared" si="15"/>
        <v>50264550</v>
      </c>
      <c r="E456" t="str">
        <f>IF(ISERROR(MATCH(C456,Sales!$D$3:$D$1000,0)),"","Used")</f>
        <v/>
      </c>
    </row>
    <row r="457" spans="1:5">
      <c r="A457" t="s">
        <v>746</v>
      </c>
      <c r="B457" s="198">
        <f t="shared" si="14"/>
        <v>9575</v>
      </c>
      <c r="C457">
        <f t="shared" si="15"/>
        <v>50264568</v>
      </c>
      <c r="E457" t="str">
        <f>IF(ISERROR(MATCH(C457,Sales!$D$3:$D$1000,0)),"","Used")</f>
        <v/>
      </c>
    </row>
    <row r="458" spans="1:5">
      <c r="A458" t="s">
        <v>747</v>
      </c>
      <c r="B458" s="198">
        <f t="shared" si="14"/>
        <v>9575</v>
      </c>
      <c r="C458">
        <f t="shared" si="15"/>
        <v>50264576</v>
      </c>
      <c r="E458" t="str">
        <f>IF(ISERROR(MATCH(C458,Sales!$D$3:$D$1000,0)),"","Used")</f>
        <v/>
      </c>
    </row>
    <row r="459" spans="1:5">
      <c r="A459" t="s">
        <v>748</v>
      </c>
      <c r="B459" s="198">
        <f t="shared" si="14"/>
        <v>9575</v>
      </c>
      <c r="C459">
        <f t="shared" si="15"/>
        <v>50264584</v>
      </c>
      <c r="E459" t="str">
        <f>IF(ISERROR(MATCH(C459,Sales!$D$3:$D$1000,0)),"","Used")</f>
        <v/>
      </c>
    </row>
    <row r="460" spans="1:5">
      <c r="A460" t="s">
        <v>749</v>
      </c>
      <c r="B460" s="198">
        <f t="shared" si="14"/>
        <v>9575</v>
      </c>
      <c r="C460">
        <f t="shared" si="15"/>
        <v>50264592</v>
      </c>
      <c r="E460" t="str">
        <f>IF(ISERROR(MATCH(C460,Sales!$D$3:$D$1000,0)),"","Used")</f>
        <v/>
      </c>
    </row>
    <row r="461" spans="1:5">
      <c r="A461" t="s">
        <v>750</v>
      </c>
      <c r="B461" s="198">
        <f t="shared" si="14"/>
        <v>9575</v>
      </c>
      <c r="C461">
        <f t="shared" si="15"/>
        <v>50264600</v>
      </c>
      <c r="E461" t="str">
        <f>IF(ISERROR(MATCH(C461,Sales!$D$3:$D$1000,0)),"","Used")</f>
        <v/>
      </c>
    </row>
    <row r="462" spans="1:5">
      <c r="A462" t="s">
        <v>751</v>
      </c>
      <c r="B462" s="198">
        <f t="shared" si="14"/>
        <v>9575</v>
      </c>
      <c r="C462">
        <f t="shared" si="15"/>
        <v>50264618</v>
      </c>
      <c r="E462" t="str">
        <f>IF(ISERROR(MATCH(C462,Sales!$D$3:$D$1000,0)),"","Used")</f>
        <v/>
      </c>
    </row>
    <row r="463" spans="1:5">
      <c r="A463" t="s">
        <v>752</v>
      </c>
      <c r="B463" s="198">
        <f t="shared" si="14"/>
        <v>9575</v>
      </c>
      <c r="C463">
        <f t="shared" si="15"/>
        <v>50264626</v>
      </c>
      <c r="E463" t="str">
        <f>IF(ISERROR(MATCH(C463,Sales!$D$3:$D$1000,0)),"","Used")</f>
        <v/>
      </c>
    </row>
    <row r="464" spans="1:5">
      <c r="A464" t="s">
        <v>753</v>
      </c>
      <c r="B464" s="198">
        <f t="shared" si="14"/>
        <v>9575</v>
      </c>
      <c r="C464">
        <f t="shared" si="15"/>
        <v>50264634</v>
      </c>
      <c r="E464" t="str">
        <f>IF(ISERROR(MATCH(C464,Sales!$D$3:$D$1000,0)),"","Used")</f>
        <v/>
      </c>
    </row>
    <row r="465" spans="1:5">
      <c r="A465" t="s">
        <v>754</v>
      </c>
      <c r="B465" s="198">
        <f t="shared" si="14"/>
        <v>9575</v>
      </c>
      <c r="C465">
        <f t="shared" si="15"/>
        <v>50264642</v>
      </c>
      <c r="E465" t="str">
        <f>IF(ISERROR(MATCH(C465,Sales!$D$3:$D$1000,0)),"","Used")</f>
        <v/>
      </c>
    </row>
    <row r="466" spans="1:5">
      <c r="A466" t="s">
        <v>755</v>
      </c>
      <c r="B466" s="198">
        <f t="shared" si="14"/>
        <v>9575</v>
      </c>
      <c r="C466">
        <f t="shared" si="15"/>
        <v>50264659</v>
      </c>
      <c r="E466" t="str">
        <f>IF(ISERROR(MATCH(C466,Sales!$D$3:$D$1000,0)),"","Used")</f>
        <v/>
      </c>
    </row>
    <row r="467" spans="1:5">
      <c r="A467" t="s">
        <v>756</v>
      </c>
      <c r="B467" s="198">
        <f t="shared" si="14"/>
        <v>9575</v>
      </c>
      <c r="C467">
        <f t="shared" si="15"/>
        <v>50264667</v>
      </c>
      <c r="E467" t="str">
        <f>IF(ISERROR(MATCH(C467,Sales!$D$3:$D$1000,0)),"","Used")</f>
        <v/>
      </c>
    </row>
    <row r="468" spans="1:5">
      <c r="A468" t="s">
        <v>757</v>
      </c>
      <c r="B468" s="198">
        <f t="shared" si="14"/>
        <v>9575</v>
      </c>
      <c r="C468">
        <f t="shared" si="15"/>
        <v>50264675</v>
      </c>
      <c r="E468" t="str">
        <f>IF(ISERROR(MATCH(C468,Sales!$D$3:$D$1000,0)),"","Used")</f>
        <v/>
      </c>
    </row>
    <row r="469" spans="1:5">
      <c r="A469" t="s">
        <v>758</v>
      </c>
      <c r="B469" s="198">
        <f t="shared" si="14"/>
        <v>9575</v>
      </c>
      <c r="C469">
        <f t="shared" si="15"/>
        <v>50264683</v>
      </c>
      <c r="E469" t="str">
        <f>IF(ISERROR(MATCH(C469,Sales!$D$3:$D$1000,0)),"","Used")</f>
        <v/>
      </c>
    </row>
    <row r="470" spans="1:5">
      <c r="A470" t="s">
        <v>759</v>
      </c>
      <c r="B470" s="198">
        <f t="shared" si="14"/>
        <v>9575</v>
      </c>
      <c r="C470">
        <f t="shared" si="15"/>
        <v>50264691</v>
      </c>
      <c r="E470" t="str">
        <f>IF(ISERROR(MATCH(C470,Sales!$D$3:$D$1000,0)),"","Used")</f>
        <v/>
      </c>
    </row>
    <row r="471" spans="1:5">
      <c r="A471" t="s">
        <v>760</v>
      </c>
      <c r="B471" s="198">
        <f t="shared" si="14"/>
        <v>9575</v>
      </c>
      <c r="C471">
        <f t="shared" si="15"/>
        <v>50264709</v>
      </c>
      <c r="E471" t="str">
        <f>IF(ISERROR(MATCH(C471,Sales!$D$3:$D$1000,0)),"","Used")</f>
        <v/>
      </c>
    </row>
    <row r="472" spans="1:5">
      <c r="A472" t="s">
        <v>761</v>
      </c>
      <c r="B472" s="198">
        <f t="shared" si="14"/>
        <v>9575</v>
      </c>
      <c r="C472">
        <f t="shared" si="15"/>
        <v>50264717</v>
      </c>
      <c r="E472" t="str">
        <f>IF(ISERROR(MATCH(C472,Sales!$D$3:$D$1000,0)),"","Used")</f>
        <v/>
      </c>
    </row>
    <row r="473" spans="1:5">
      <c r="A473" t="s">
        <v>762</v>
      </c>
      <c r="B473" s="198">
        <f t="shared" si="14"/>
        <v>9575</v>
      </c>
      <c r="C473">
        <f t="shared" si="15"/>
        <v>50264725</v>
      </c>
      <c r="E473" t="str">
        <f>IF(ISERROR(MATCH(C473,Sales!$D$3:$D$1000,0)),"","Used")</f>
        <v/>
      </c>
    </row>
    <row r="474" spans="1:5">
      <c r="A474" t="s">
        <v>763</v>
      </c>
      <c r="B474" s="198">
        <f t="shared" si="14"/>
        <v>9575</v>
      </c>
      <c r="C474">
        <f t="shared" si="15"/>
        <v>50264733</v>
      </c>
      <c r="E474" t="str">
        <f>IF(ISERROR(MATCH(C474,Sales!$D$3:$D$1000,0)),"","Used")</f>
        <v/>
      </c>
    </row>
    <row r="475" spans="1:5">
      <c r="A475" t="s">
        <v>764</v>
      </c>
      <c r="B475" s="198">
        <f t="shared" si="14"/>
        <v>9575</v>
      </c>
      <c r="C475">
        <f t="shared" si="15"/>
        <v>50264741</v>
      </c>
      <c r="E475" t="str">
        <f>IF(ISERROR(MATCH(C475,Sales!$D$3:$D$1000,0)),"","Used")</f>
        <v/>
      </c>
    </row>
    <row r="476" spans="1:5">
      <c r="A476" t="s">
        <v>765</v>
      </c>
      <c r="B476" s="198">
        <f t="shared" si="14"/>
        <v>9575</v>
      </c>
      <c r="C476">
        <f t="shared" si="15"/>
        <v>50264758</v>
      </c>
      <c r="E476" t="str">
        <f>IF(ISERROR(MATCH(C476,Sales!$D$3:$D$1000,0)),"","Used")</f>
        <v/>
      </c>
    </row>
    <row r="477" spans="1:5">
      <c r="A477" t="s">
        <v>766</v>
      </c>
      <c r="B477" s="198">
        <f t="shared" si="14"/>
        <v>9575</v>
      </c>
      <c r="C477">
        <f t="shared" si="15"/>
        <v>50264766</v>
      </c>
      <c r="E477" t="str">
        <f>IF(ISERROR(MATCH(C477,Sales!$D$3:$D$1000,0)),"","Used")</f>
        <v/>
      </c>
    </row>
    <row r="478" spans="1:5">
      <c r="A478" t="s">
        <v>767</v>
      </c>
      <c r="B478" s="198">
        <f t="shared" si="14"/>
        <v>9575</v>
      </c>
      <c r="C478">
        <f t="shared" si="15"/>
        <v>50264774</v>
      </c>
      <c r="E478" t="str">
        <f>IF(ISERROR(MATCH(C478,Sales!$D$3:$D$1000,0)),"","Used")</f>
        <v/>
      </c>
    </row>
    <row r="479" spans="1:5">
      <c r="A479" t="s">
        <v>768</v>
      </c>
      <c r="B479" s="198">
        <f t="shared" si="14"/>
        <v>9575</v>
      </c>
      <c r="C479">
        <f t="shared" si="15"/>
        <v>50264782</v>
      </c>
      <c r="E479" t="str">
        <f>IF(ISERROR(MATCH(C479,Sales!$D$3:$D$1000,0)),"","Used")</f>
        <v/>
      </c>
    </row>
    <row r="480" spans="1:5">
      <c r="A480" t="s">
        <v>769</v>
      </c>
      <c r="B480" s="198">
        <f t="shared" si="14"/>
        <v>9575</v>
      </c>
      <c r="C480">
        <f t="shared" si="15"/>
        <v>50264790</v>
      </c>
      <c r="E480" t="str">
        <f>IF(ISERROR(MATCH(C480,Sales!$D$3:$D$1000,0)),"","Used")</f>
        <v/>
      </c>
    </row>
    <row r="481" spans="1:5">
      <c r="A481" t="s">
        <v>770</v>
      </c>
      <c r="B481" s="198">
        <f t="shared" si="14"/>
        <v>9575</v>
      </c>
      <c r="C481">
        <f t="shared" si="15"/>
        <v>50264808</v>
      </c>
      <c r="E481" t="str">
        <f>IF(ISERROR(MATCH(C481,Sales!$D$3:$D$1000,0)),"","Used")</f>
        <v/>
      </c>
    </row>
    <row r="482" spans="1:5">
      <c r="A482" t="s">
        <v>771</v>
      </c>
      <c r="B482" s="198">
        <f t="shared" si="14"/>
        <v>9575</v>
      </c>
      <c r="C482">
        <f t="shared" si="15"/>
        <v>50264816</v>
      </c>
      <c r="E482" t="str">
        <f>IF(ISERROR(MATCH(C482,Sales!$D$3:$D$1000,0)),"","Used")</f>
        <v/>
      </c>
    </row>
    <row r="483" spans="1:5">
      <c r="A483" t="s">
        <v>772</v>
      </c>
      <c r="B483" s="198">
        <f t="shared" si="14"/>
        <v>9575</v>
      </c>
      <c r="C483">
        <f t="shared" si="15"/>
        <v>50264824</v>
      </c>
      <c r="E483" t="str">
        <f>IF(ISERROR(MATCH(C483,Sales!$D$3:$D$1000,0)),"","Used")</f>
        <v/>
      </c>
    </row>
    <row r="484" spans="1:5">
      <c r="A484" t="s">
        <v>773</v>
      </c>
      <c r="B484" s="198">
        <f t="shared" si="14"/>
        <v>9575</v>
      </c>
      <c r="C484">
        <f t="shared" si="15"/>
        <v>50264832</v>
      </c>
      <c r="E484" t="str">
        <f>IF(ISERROR(MATCH(C484,Sales!$D$3:$D$1000,0)),"","Used")</f>
        <v/>
      </c>
    </row>
    <row r="485" spans="1:5">
      <c r="A485" t="s">
        <v>774</v>
      </c>
      <c r="B485" s="198">
        <f t="shared" si="14"/>
        <v>9575</v>
      </c>
      <c r="C485">
        <f t="shared" si="15"/>
        <v>50264840</v>
      </c>
      <c r="E485" t="str">
        <f>IF(ISERROR(MATCH(C485,Sales!$D$3:$D$1000,0)),"","Used")</f>
        <v/>
      </c>
    </row>
    <row r="486" spans="1:5">
      <c r="A486" t="s">
        <v>775</v>
      </c>
      <c r="B486" s="198">
        <f t="shared" si="14"/>
        <v>9575</v>
      </c>
      <c r="C486">
        <f t="shared" si="15"/>
        <v>50264857</v>
      </c>
      <c r="E486" t="str">
        <f>IF(ISERROR(MATCH(C486,Sales!$D$3:$D$1000,0)),"","Used")</f>
        <v/>
      </c>
    </row>
    <row r="487" spans="1:5">
      <c r="A487" t="s">
        <v>776</v>
      </c>
      <c r="B487" s="198">
        <f t="shared" si="14"/>
        <v>9575</v>
      </c>
      <c r="C487">
        <f t="shared" si="15"/>
        <v>50264865</v>
      </c>
      <c r="E487" t="str">
        <f>IF(ISERROR(MATCH(C487,Sales!$D$3:$D$1000,0)),"","Used")</f>
        <v/>
      </c>
    </row>
    <row r="488" spans="1:5">
      <c r="A488" t="s">
        <v>777</v>
      </c>
      <c r="B488" s="198">
        <f t="shared" si="14"/>
        <v>9575</v>
      </c>
      <c r="C488">
        <f t="shared" si="15"/>
        <v>50264873</v>
      </c>
      <c r="E488" t="str">
        <f>IF(ISERROR(MATCH(C488,Sales!$D$3:$D$1000,0)),"","Used")</f>
        <v/>
      </c>
    </row>
    <row r="489" spans="1:5">
      <c r="A489" t="s">
        <v>778</v>
      </c>
      <c r="B489" s="198">
        <f t="shared" si="14"/>
        <v>9575</v>
      </c>
      <c r="C489">
        <f t="shared" si="15"/>
        <v>50264881</v>
      </c>
      <c r="E489" t="str">
        <f>IF(ISERROR(MATCH(C489,Sales!$D$3:$D$1000,0)),"","Used")</f>
        <v/>
      </c>
    </row>
    <row r="490" spans="1:5">
      <c r="A490" t="s">
        <v>779</v>
      </c>
      <c r="B490" s="198">
        <f t="shared" si="14"/>
        <v>9575</v>
      </c>
      <c r="C490">
        <f t="shared" si="15"/>
        <v>50264899</v>
      </c>
      <c r="E490" t="str">
        <f>IF(ISERROR(MATCH(C490,Sales!$D$3:$D$1000,0)),"","Used")</f>
        <v/>
      </c>
    </row>
    <row r="491" spans="1:5">
      <c r="A491" t="s">
        <v>780</v>
      </c>
      <c r="B491" s="198">
        <f t="shared" si="14"/>
        <v>9575</v>
      </c>
      <c r="C491">
        <f t="shared" si="15"/>
        <v>50264907</v>
      </c>
      <c r="E491" t="str">
        <f>IF(ISERROR(MATCH(C491,Sales!$D$3:$D$1000,0)),"","Used")</f>
        <v/>
      </c>
    </row>
    <row r="492" spans="1:5">
      <c r="A492" t="s">
        <v>781</v>
      </c>
      <c r="B492" s="198">
        <f t="shared" si="14"/>
        <v>9575</v>
      </c>
      <c r="C492">
        <f t="shared" si="15"/>
        <v>50264915</v>
      </c>
      <c r="E492" t="str">
        <f>IF(ISERROR(MATCH(C492,Sales!$D$3:$D$1000,0)),"","Used")</f>
        <v/>
      </c>
    </row>
    <row r="493" spans="1:5">
      <c r="A493" t="s">
        <v>782</v>
      </c>
      <c r="B493" s="198">
        <f t="shared" si="14"/>
        <v>9575</v>
      </c>
      <c r="C493">
        <f t="shared" si="15"/>
        <v>50264923</v>
      </c>
      <c r="E493" t="str">
        <f>IF(ISERROR(MATCH(C493,Sales!$D$3:$D$1000,0)),"","Used")</f>
        <v/>
      </c>
    </row>
    <row r="494" spans="1:5">
      <c r="A494" t="s">
        <v>783</v>
      </c>
      <c r="B494" s="198">
        <f t="shared" si="14"/>
        <v>9575</v>
      </c>
      <c r="C494">
        <f t="shared" si="15"/>
        <v>50264931</v>
      </c>
      <c r="E494" t="str">
        <f>IF(ISERROR(MATCH(C494,Sales!$D$3:$D$1000,0)),"","Used")</f>
        <v/>
      </c>
    </row>
    <row r="495" spans="1:5">
      <c r="A495" t="s">
        <v>784</v>
      </c>
      <c r="B495" s="198">
        <f t="shared" si="14"/>
        <v>9575</v>
      </c>
      <c r="C495">
        <f t="shared" si="15"/>
        <v>50264949</v>
      </c>
      <c r="E495" t="str">
        <f>IF(ISERROR(MATCH(C495,Sales!$D$3:$D$1000,0)),"","Used")</f>
        <v/>
      </c>
    </row>
    <row r="496" spans="1:5">
      <c r="A496" t="s">
        <v>785</v>
      </c>
      <c r="B496" s="198">
        <f t="shared" si="14"/>
        <v>9575</v>
      </c>
      <c r="C496">
        <f t="shared" si="15"/>
        <v>50264956</v>
      </c>
      <c r="E496" t="str">
        <f>IF(ISERROR(MATCH(C496,Sales!$D$3:$D$1000,0)),"","Used")</f>
        <v/>
      </c>
    </row>
    <row r="497" spans="1:5">
      <c r="A497" t="s">
        <v>786</v>
      </c>
      <c r="B497" s="198">
        <f t="shared" si="14"/>
        <v>9575</v>
      </c>
      <c r="C497">
        <f t="shared" si="15"/>
        <v>50264964</v>
      </c>
      <c r="E497" t="str">
        <f>IF(ISERROR(MATCH(C497,Sales!$D$3:$D$1000,0)),"","Used")</f>
        <v/>
      </c>
    </row>
    <row r="498" spans="1:5">
      <c r="A498" t="s">
        <v>787</v>
      </c>
      <c r="B498" s="198">
        <f t="shared" si="14"/>
        <v>9575</v>
      </c>
      <c r="C498">
        <f t="shared" si="15"/>
        <v>50264972</v>
      </c>
      <c r="E498" t="str">
        <f>IF(ISERROR(MATCH(C498,Sales!$D$3:$D$1000,0)),"","Used")</f>
        <v/>
      </c>
    </row>
    <row r="499" spans="1:5">
      <c r="A499" t="s">
        <v>788</v>
      </c>
      <c r="B499" s="198">
        <f t="shared" si="14"/>
        <v>9575</v>
      </c>
      <c r="C499">
        <f t="shared" si="15"/>
        <v>50264980</v>
      </c>
      <c r="E499" t="str">
        <f>IF(ISERROR(MATCH(C499,Sales!$D$3:$D$1000,0)),"","Used")</f>
        <v/>
      </c>
    </row>
    <row r="500" spans="1:5">
      <c r="A500" t="s">
        <v>789</v>
      </c>
      <c r="B500" s="198">
        <f t="shared" si="14"/>
        <v>9575</v>
      </c>
      <c r="C500">
        <f t="shared" si="15"/>
        <v>50264998</v>
      </c>
      <c r="E500" t="str">
        <f>IF(ISERROR(MATCH(C500,Sales!$D$3:$D$1000,0)),"","Used")</f>
        <v/>
      </c>
    </row>
    <row r="501" spans="1:5">
      <c r="A501" t="s">
        <v>790</v>
      </c>
      <c r="B501" s="198">
        <f t="shared" si="14"/>
        <v>9575</v>
      </c>
      <c r="C501">
        <f t="shared" si="15"/>
        <v>50265003</v>
      </c>
      <c r="E501" t="str">
        <f>IF(ISERROR(MATCH(C501,Sales!$D$3:$D$1000,0)),"","Used")</f>
        <v/>
      </c>
    </row>
    <row r="502" spans="1:5">
      <c r="A502" t="s">
        <v>791</v>
      </c>
      <c r="B502" s="198">
        <f t="shared" si="14"/>
        <v>9575</v>
      </c>
      <c r="C502">
        <f t="shared" si="15"/>
        <v>50265011</v>
      </c>
      <c r="E502" t="str">
        <f>IF(ISERROR(MATCH(C502,Sales!$D$3:$D$1000,0)),"","Used")</f>
        <v/>
      </c>
    </row>
    <row r="503" spans="1:5">
      <c r="A503" t="s">
        <v>792</v>
      </c>
      <c r="B503" s="198">
        <f t="shared" si="14"/>
        <v>9575</v>
      </c>
      <c r="C503">
        <f t="shared" si="15"/>
        <v>50265029</v>
      </c>
      <c r="E503" t="str">
        <f>IF(ISERROR(MATCH(C503,Sales!$D$3:$D$1000,0)),"","Used")</f>
        <v/>
      </c>
    </row>
    <row r="504" spans="1:5">
      <c r="A504" t="s">
        <v>793</v>
      </c>
      <c r="B504" s="198">
        <f t="shared" si="14"/>
        <v>9575</v>
      </c>
      <c r="C504">
        <f t="shared" si="15"/>
        <v>50265037</v>
      </c>
      <c r="E504" t="str">
        <f>IF(ISERROR(MATCH(C504,Sales!$D$3:$D$1000,0)),"","Used")</f>
        <v/>
      </c>
    </row>
    <row r="505" spans="1:5">
      <c r="A505" t="s">
        <v>794</v>
      </c>
      <c r="B505" s="198">
        <f t="shared" si="14"/>
        <v>9575</v>
      </c>
      <c r="C505">
        <f t="shared" si="15"/>
        <v>50265045</v>
      </c>
      <c r="E505" t="str">
        <f>IF(ISERROR(MATCH(C505,Sales!$D$3:$D$1000,0)),"","Used")</f>
        <v/>
      </c>
    </row>
    <row r="506" spans="1:5">
      <c r="A506" t="s">
        <v>795</v>
      </c>
      <c r="B506" s="198">
        <f t="shared" si="14"/>
        <v>9575</v>
      </c>
      <c r="C506">
        <f t="shared" si="15"/>
        <v>50265052</v>
      </c>
      <c r="E506" t="str">
        <f>IF(ISERROR(MATCH(C506,Sales!$D$3:$D$1000,0)),"","Used")</f>
        <v/>
      </c>
    </row>
    <row r="507" spans="1:5">
      <c r="A507" t="s">
        <v>796</v>
      </c>
      <c r="B507" s="198">
        <f t="shared" si="14"/>
        <v>9575</v>
      </c>
      <c r="C507">
        <f t="shared" si="15"/>
        <v>50265060</v>
      </c>
      <c r="E507" t="str">
        <f>IF(ISERROR(MATCH(C507,Sales!$D$3:$D$1000,0)),"","Used")</f>
        <v/>
      </c>
    </row>
    <row r="508" spans="1:5">
      <c r="A508" t="s">
        <v>797</v>
      </c>
      <c r="B508" s="198">
        <f t="shared" si="14"/>
        <v>9575</v>
      </c>
      <c r="C508">
        <f t="shared" si="15"/>
        <v>50265078</v>
      </c>
      <c r="E508" t="str">
        <f>IF(ISERROR(MATCH(C508,Sales!$D$3:$D$1000,0)),"","Used")</f>
        <v/>
      </c>
    </row>
    <row r="509" spans="1:5">
      <c r="A509" t="s">
        <v>798</v>
      </c>
      <c r="B509" s="198">
        <f t="shared" si="14"/>
        <v>9575</v>
      </c>
      <c r="C509">
        <f t="shared" si="15"/>
        <v>50265086</v>
      </c>
      <c r="E509" t="str">
        <f>IF(ISERROR(MATCH(C509,Sales!$D$3:$D$1000,0)),"","Used")</f>
        <v/>
      </c>
    </row>
    <row r="510" spans="1:5">
      <c r="A510" t="s">
        <v>799</v>
      </c>
      <c r="B510" s="198">
        <f t="shared" si="14"/>
        <v>9575</v>
      </c>
      <c r="C510">
        <f t="shared" si="15"/>
        <v>50265094</v>
      </c>
      <c r="E510" t="str">
        <f>IF(ISERROR(MATCH(C510,Sales!$D$3:$D$1000,0)),"","Used")</f>
        <v/>
      </c>
    </row>
    <row r="511" spans="1:5">
      <c r="A511" t="s">
        <v>800</v>
      </c>
      <c r="B511" s="198">
        <f t="shared" si="14"/>
        <v>9575</v>
      </c>
      <c r="C511">
        <f t="shared" si="15"/>
        <v>50265102</v>
      </c>
      <c r="E511" t="str">
        <f>IF(ISERROR(MATCH(C511,Sales!$D$3:$D$1000,0)),"","Used")</f>
        <v/>
      </c>
    </row>
    <row r="512" spans="1:5">
      <c r="A512" t="s">
        <v>801</v>
      </c>
      <c r="B512" s="198">
        <f t="shared" si="14"/>
        <v>9575</v>
      </c>
      <c r="C512">
        <f t="shared" si="15"/>
        <v>50265110</v>
      </c>
      <c r="E512" t="str">
        <f>IF(ISERROR(MATCH(C512,Sales!$D$3:$D$1000,0)),"","Used")</f>
        <v/>
      </c>
    </row>
    <row r="513" spans="1:5">
      <c r="A513" t="s">
        <v>802</v>
      </c>
      <c r="B513" s="198">
        <f t="shared" si="14"/>
        <v>9575</v>
      </c>
      <c r="C513">
        <f t="shared" si="15"/>
        <v>50265128</v>
      </c>
      <c r="E513" t="str">
        <f>IF(ISERROR(MATCH(C513,Sales!$D$3:$D$1000,0)),"","Used")</f>
        <v/>
      </c>
    </row>
    <row r="514" spans="1:5">
      <c r="A514" t="s">
        <v>803</v>
      </c>
      <c r="B514" s="198">
        <f t="shared" si="14"/>
        <v>9575</v>
      </c>
      <c r="C514">
        <f t="shared" si="15"/>
        <v>50265136</v>
      </c>
      <c r="E514" t="str">
        <f>IF(ISERROR(MATCH(C514,Sales!$D$3:$D$1000,0)),"","Used")</f>
        <v/>
      </c>
    </row>
    <row r="515" spans="1:5">
      <c r="A515" t="s">
        <v>804</v>
      </c>
      <c r="B515" s="198">
        <f t="shared" si="14"/>
        <v>9575</v>
      </c>
      <c r="C515">
        <f t="shared" si="15"/>
        <v>50265144</v>
      </c>
      <c r="E515" t="str">
        <f>IF(ISERROR(MATCH(C515,Sales!$D$3:$D$1000,0)),"","Used")</f>
        <v/>
      </c>
    </row>
    <row r="516" spans="1:5">
      <c r="A516" t="s">
        <v>805</v>
      </c>
      <c r="B516" s="198">
        <f t="shared" ref="B516:B579" si="16">VALUE(LEFT(A516,4))</f>
        <v>9575</v>
      </c>
      <c r="C516">
        <f t="shared" ref="C516:C579" si="17">VALUE(RIGHT(A516,8))</f>
        <v>50265151</v>
      </c>
      <c r="E516" t="str">
        <f>IF(ISERROR(MATCH(C516,Sales!$D$3:$D$1000,0)),"","Used")</f>
        <v/>
      </c>
    </row>
    <row r="517" spans="1:5">
      <c r="A517" t="s">
        <v>806</v>
      </c>
      <c r="B517" s="198">
        <f t="shared" si="16"/>
        <v>9575</v>
      </c>
      <c r="C517">
        <f t="shared" si="17"/>
        <v>50265169</v>
      </c>
      <c r="E517" t="str">
        <f>IF(ISERROR(MATCH(C517,Sales!$D$3:$D$1000,0)),"","Used")</f>
        <v/>
      </c>
    </row>
    <row r="518" spans="1:5">
      <c r="A518" t="s">
        <v>807</v>
      </c>
      <c r="B518" s="198">
        <f t="shared" si="16"/>
        <v>9575</v>
      </c>
      <c r="C518">
        <f t="shared" si="17"/>
        <v>50265177</v>
      </c>
      <c r="E518" t="str">
        <f>IF(ISERROR(MATCH(C518,Sales!$D$3:$D$1000,0)),"","Used")</f>
        <v/>
      </c>
    </row>
    <row r="519" spans="1:5">
      <c r="A519" t="s">
        <v>808</v>
      </c>
      <c r="B519" s="198">
        <f t="shared" si="16"/>
        <v>9575</v>
      </c>
      <c r="C519">
        <f t="shared" si="17"/>
        <v>50265185</v>
      </c>
      <c r="E519" t="str">
        <f>IF(ISERROR(MATCH(C519,Sales!$D$3:$D$1000,0)),"","Used")</f>
        <v/>
      </c>
    </row>
    <row r="520" spans="1:5">
      <c r="A520" t="s">
        <v>809</v>
      </c>
      <c r="B520" s="198">
        <f t="shared" si="16"/>
        <v>9575</v>
      </c>
      <c r="C520">
        <f t="shared" si="17"/>
        <v>50265193</v>
      </c>
      <c r="E520" t="str">
        <f>IF(ISERROR(MATCH(C520,Sales!$D$3:$D$1000,0)),"","Used")</f>
        <v/>
      </c>
    </row>
    <row r="521" spans="1:5">
      <c r="A521" t="s">
        <v>810</v>
      </c>
      <c r="B521" s="198">
        <f t="shared" si="16"/>
        <v>9575</v>
      </c>
      <c r="C521">
        <f t="shared" si="17"/>
        <v>50265201</v>
      </c>
      <c r="E521" t="str">
        <f>IF(ISERROR(MATCH(C521,Sales!$D$3:$D$1000,0)),"","Used")</f>
        <v/>
      </c>
    </row>
    <row r="522" spans="1:5">
      <c r="A522" t="s">
        <v>811</v>
      </c>
      <c r="B522" s="198">
        <f t="shared" si="16"/>
        <v>9575</v>
      </c>
      <c r="C522">
        <f t="shared" si="17"/>
        <v>50265219</v>
      </c>
      <c r="E522" t="str">
        <f>IF(ISERROR(MATCH(C522,Sales!$D$3:$D$1000,0)),"","Used")</f>
        <v/>
      </c>
    </row>
    <row r="523" spans="1:5">
      <c r="A523" t="s">
        <v>812</v>
      </c>
      <c r="B523" s="198">
        <f t="shared" si="16"/>
        <v>9575</v>
      </c>
      <c r="C523">
        <f t="shared" si="17"/>
        <v>50265227</v>
      </c>
      <c r="E523" t="str">
        <f>IF(ISERROR(MATCH(C523,Sales!$D$3:$D$1000,0)),"","Used")</f>
        <v/>
      </c>
    </row>
    <row r="524" spans="1:5">
      <c r="A524" t="s">
        <v>813</v>
      </c>
      <c r="B524" s="198">
        <f t="shared" si="16"/>
        <v>9575</v>
      </c>
      <c r="C524">
        <f t="shared" si="17"/>
        <v>50265235</v>
      </c>
      <c r="E524" t="str">
        <f>IF(ISERROR(MATCH(C524,Sales!$D$3:$D$1000,0)),"","Used")</f>
        <v/>
      </c>
    </row>
    <row r="525" spans="1:5">
      <c r="A525" t="s">
        <v>814</v>
      </c>
      <c r="B525" s="198">
        <f t="shared" si="16"/>
        <v>9575</v>
      </c>
      <c r="C525">
        <f t="shared" si="17"/>
        <v>50265243</v>
      </c>
      <c r="E525" t="str">
        <f>IF(ISERROR(MATCH(C525,Sales!$D$3:$D$1000,0)),"","Used")</f>
        <v/>
      </c>
    </row>
    <row r="526" spans="1:5">
      <c r="A526" t="s">
        <v>815</v>
      </c>
      <c r="B526" s="198">
        <f t="shared" si="16"/>
        <v>9575</v>
      </c>
      <c r="C526">
        <f t="shared" si="17"/>
        <v>50265250</v>
      </c>
      <c r="E526" t="str">
        <f>IF(ISERROR(MATCH(C526,Sales!$D$3:$D$1000,0)),"","Used")</f>
        <v/>
      </c>
    </row>
    <row r="527" spans="1:5">
      <c r="A527" t="s">
        <v>816</v>
      </c>
      <c r="B527" s="198">
        <f t="shared" si="16"/>
        <v>9575</v>
      </c>
      <c r="C527">
        <f t="shared" si="17"/>
        <v>50265268</v>
      </c>
      <c r="E527" t="str">
        <f>IF(ISERROR(MATCH(C527,Sales!$D$3:$D$1000,0)),"","Used")</f>
        <v/>
      </c>
    </row>
    <row r="528" spans="1:5">
      <c r="A528" t="s">
        <v>817</v>
      </c>
      <c r="B528" s="198">
        <f t="shared" si="16"/>
        <v>9575</v>
      </c>
      <c r="C528">
        <f t="shared" si="17"/>
        <v>50265276</v>
      </c>
      <c r="E528" t="str">
        <f>IF(ISERROR(MATCH(C528,Sales!$D$3:$D$1000,0)),"","Used")</f>
        <v/>
      </c>
    </row>
    <row r="529" spans="1:5">
      <c r="A529" t="s">
        <v>818</v>
      </c>
      <c r="B529" s="198">
        <f t="shared" si="16"/>
        <v>9575</v>
      </c>
      <c r="C529">
        <f t="shared" si="17"/>
        <v>50265284</v>
      </c>
      <c r="E529" t="str">
        <f>IF(ISERROR(MATCH(C529,Sales!$D$3:$D$1000,0)),"","Used")</f>
        <v/>
      </c>
    </row>
    <row r="530" spans="1:5">
      <c r="A530" t="s">
        <v>819</v>
      </c>
      <c r="B530" s="198">
        <f t="shared" si="16"/>
        <v>9575</v>
      </c>
      <c r="C530">
        <f t="shared" si="17"/>
        <v>50265292</v>
      </c>
      <c r="E530" t="str">
        <f>IF(ISERROR(MATCH(C530,Sales!$D$3:$D$1000,0)),"","Used")</f>
        <v/>
      </c>
    </row>
    <row r="531" spans="1:5">
      <c r="A531" t="s">
        <v>820</v>
      </c>
      <c r="B531" s="198">
        <f t="shared" si="16"/>
        <v>9575</v>
      </c>
      <c r="C531">
        <f t="shared" si="17"/>
        <v>50265300</v>
      </c>
      <c r="E531" t="str">
        <f>IF(ISERROR(MATCH(C531,Sales!$D$3:$D$1000,0)),"","Used")</f>
        <v/>
      </c>
    </row>
    <row r="532" spans="1:5">
      <c r="A532" t="s">
        <v>821</v>
      </c>
      <c r="B532" s="198">
        <f t="shared" si="16"/>
        <v>9575</v>
      </c>
      <c r="C532">
        <f t="shared" si="17"/>
        <v>50265318</v>
      </c>
      <c r="E532" t="str">
        <f>IF(ISERROR(MATCH(C532,Sales!$D$3:$D$1000,0)),"","Used")</f>
        <v/>
      </c>
    </row>
    <row r="533" spans="1:5">
      <c r="A533" t="s">
        <v>822</v>
      </c>
      <c r="B533" s="198">
        <f t="shared" si="16"/>
        <v>9575</v>
      </c>
      <c r="C533">
        <f t="shared" si="17"/>
        <v>50265326</v>
      </c>
      <c r="E533" t="str">
        <f>IF(ISERROR(MATCH(C533,Sales!$D$3:$D$1000,0)),"","Used")</f>
        <v/>
      </c>
    </row>
    <row r="534" spans="1:5">
      <c r="A534" t="s">
        <v>823</v>
      </c>
      <c r="B534" s="198">
        <f t="shared" si="16"/>
        <v>9575</v>
      </c>
      <c r="C534">
        <f t="shared" si="17"/>
        <v>50265334</v>
      </c>
      <c r="E534" t="str">
        <f>IF(ISERROR(MATCH(C534,Sales!$D$3:$D$1000,0)),"","Used")</f>
        <v/>
      </c>
    </row>
    <row r="535" spans="1:5">
      <c r="A535" t="s">
        <v>824</v>
      </c>
      <c r="B535" s="198">
        <f t="shared" si="16"/>
        <v>9575</v>
      </c>
      <c r="C535">
        <f t="shared" si="17"/>
        <v>50265342</v>
      </c>
      <c r="E535" t="str">
        <f>IF(ISERROR(MATCH(C535,Sales!$D$3:$D$1000,0)),"","Used")</f>
        <v/>
      </c>
    </row>
    <row r="536" spans="1:5">
      <c r="A536" t="s">
        <v>825</v>
      </c>
      <c r="B536" s="198">
        <f t="shared" si="16"/>
        <v>9575</v>
      </c>
      <c r="C536">
        <f t="shared" si="17"/>
        <v>50265359</v>
      </c>
      <c r="E536" t="str">
        <f>IF(ISERROR(MATCH(C536,Sales!$D$3:$D$1000,0)),"","Used")</f>
        <v/>
      </c>
    </row>
    <row r="537" spans="1:5">
      <c r="A537" t="s">
        <v>826</v>
      </c>
      <c r="B537" s="198">
        <f t="shared" si="16"/>
        <v>9575</v>
      </c>
      <c r="C537">
        <f t="shared" si="17"/>
        <v>50265367</v>
      </c>
      <c r="E537" t="str">
        <f>IF(ISERROR(MATCH(C537,Sales!$D$3:$D$1000,0)),"","Used")</f>
        <v/>
      </c>
    </row>
    <row r="538" spans="1:5">
      <c r="A538" t="s">
        <v>827</v>
      </c>
      <c r="B538" s="198">
        <f t="shared" si="16"/>
        <v>9575</v>
      </c>
      <c r="C538">
        <f t="shared" si="17"/>
        <v>50265375</v>
      </c>
      <c r="E538" t="str">
        <f>IF(ISERROR(MATCH(C538,Sales!$D$3:$D$1000,0)),"","Used")</f>
        <v/>
      </c>
    </row>
    <row r="539" spans="1:5">
      <c r="A539" t="s">
        <v>828</v>
      </c>
      <c r="B539" s="198">
        <f t="shared" si="16"/>
        <v>9575</v>
      </c>
      <c r="C539">
        <f t="shared" si="17"/>
        <v>50265383</v>
      </c>
      <c r="E539" t="str">
        <f>IF(ISERROR(MATCH(C539,Sales!$D$3:$D$1000,0)),"","Used")</f>
        <v/>
      </c>
    </row>
    <row r="540" spans="1:5">
      <c r="A540" t="s">
        <v>829</v>
      </c>
      <c r="B540" s="198">
        <f t="shared" si="16"/>
        <v>9575</v>
      </c>
      <c r="C540">
        <f t="shared" si="17"/>
        <v>50265391</v>
      </c>
      <c r="E540" t="str">
        <f>IF(ISERROR(MATCH(C540,Sales!$D$3:$D$1000,0)),"","Used")</f>
        <v/>
      </c>
    </row>
    <row r="541" spans="1:5">
      <c r="A541" t="s">
        <v>830</v>
      </c>
      <c r="B541" s="198">
        <f t="shared" si="16"/>
        <v>9575</v>
      </c>
      <c r="C541">
        <f t="shared" si="17"/>
        <v>50265409</v>
      </c>
      <c r="E541" t="str">
        <f>IF(ISERROR(MATCH(C541,Sales!$D$3:$D$1000,0)),"","Used")</f>
        <v/>
      </c>
    </row>
    <row r="542" spans="1:5">
      <c r="A542" t="s">
        <v>831</v>
      </c>
      <c r="B542" s="198">
        <f t="shared" si="16"/>
        <v>9575</v>
      </c>
      <c r="C542">
        <f t="shared" si="17"/>
        <v>50265417</v>
      </c>
      <c r="E542" t="str">
        <f>IF(ISERROR(MATCH(C542,Sales!$D$3:$D$1000,0)),"","Used")</f>
        <v/>
      </c>
    </row>
    <row r="543" spans="1:5">
      <c r="A543" t="s">
        <v>832</v>
      </c>
      <c r="B543" s="198">
        <f t="shared" si="16"/>
        <v>9575</v>
      </c>
      <c r="C543">
        <f t="shared" si="17"/>
        <v>50265425</v>
      </c>
      <c r="E543" t="str">
        <f>IF(ISERROR(MATCH(C543,Sales!$D$3:$D$1000,0)),"","Used")</f>
        <v/>
      </c>
    </row>
    <row r="544" spans="1:5">
      <c r="A544" t="s">
        <v>833</v>
      </c>
      <c r="B544" s="198">
        <f t="shared" si="16"/>
        <v>9575</v>
      </c>
      <c r="C544">
        <f t="shared" si="17"/>
        <v>50265433</v>
      </c>
      <c r="E544" t="str">
        <f>IF(ISERROR(MATCH(C544,Sales!$D$3:$D$1000,0)),"","Used")</f>
        <v/>
      </c>
    </row>
    <row r="545" spans="1:5">
      <c r="A545" t="s">
        <v>834</v>
      </c>
      <c r="B545" s="198">
        <f t="shared" si="16"/>
        <v>9575</v>
      </c>
      <c r="C545">
        <f t="shared" si="17"/>
        <v>50265441</v>
      </c>
      <c r="E545" t="str">
        <f>IF(ISERROR(MATCH(C545,Sales!$D$3:$D$1000,0)),"","Used")</f>
        <v/>
      </c>
    </row>
    <row r="546" spans="1:5">
      <c r="A546" t="s">
        <v>835</v>
      </c>
      <c r="B546" s="198">
        <f t="shared" si="16"/>
        <v>9575</v>
      </c>
      <c r="C546">
        <f t="shared" si="17"/>
        <v>50265458</v>
      </c>
      <c r="E546" t="str">
        <f>IF(ISERROR(MATCH(C546,Sales!$D$3:$D$1000,0)),"","Used")</f>
        <v/>
      </c>
    </row>
    <row r="547" spans="1:5">
      <c r="A547" t="s">
        <v>836</v>
      </c>
      <c r="B547" s="198">
        <f t="shared" si="16"/>
        <v>9575</v>
      </c>
      <c r="C547">
        <f t="shared" si="17"/>
        <v>50265466</v>
      </c>
      <c r="E547" t="str">
        <f>IF(ISERROR(MATCH(C547,Sales!$D$3:$D$1000,0)),"","Used")</f>
        <v/>
      </c>
    </row>
    <row r="548" spans="1:5">
      <c r="A548" t="s">
        <v>837</v>
      </c>
      <c r="B548" s="198">
        <f t="shared" si="16"/>
        <v>9575</v>
      </c>
      <c r="C548">
        <f t="shared" si="17"/>
        <v>50265474</v>
      </c>
      <c r="E548" t="str">
        <f>IF(ISERROR(MATCH(C548,Sales!$D$3:$D$1000,0)),"","Used")</f>
        <v/>
      </c>
    </row>
    <row r="549" spans="1:5">
      <c r="A549" t="s">
        <v>838</v>
      </c>
      <c r="B549" s="198">
        <f t="shared" si="16"/>
        <v>9575</v>
      </c>
      <c r="C549">
        <f t="shared" si="17"/>
        <v>50265482</v>
      </c>
      <c r="E549" t="str">
        <f>IF(ISERROR(MATCH(C549,Sales!$D$3:$D$1000,0)),"","Used")</f>
        <v/>
      </c>
    </row>
    <row r="550" spans="1:5">
      <c r="A550" t="s">
        <v>839</v>
      </c>
      <c r="B550" s="198">
        <f t="shared" si="16"/>
        <v>9575</v>
      </c>
      <c r="C550">
        <f t="shared" si="17"/>
        <v>50265490</v>
      </c>
      <c r="E550" t="str">
        <f>IF(ISERROR(MATCH(C550,Sales!$D$3:$D$1000,0)),"","Used")</f>
        <v/>
      </c>
    </row>
    <row r="551" spans="1:5">
      <c r="A551" t="s">
        <v>840</v>
      </c>
      <c r="B551" s="198">
        <f t="shared" si="16"/>
        <v>9575</v>
      </c>
      <c r="C551">
        <f t="shared" si="17"/>
        <v>50265508</v>
      </c>
      <c r="E551" t="str">
        <f>IF(ISERROR(MATCH(C551,Sales!$D$3:$D$1000,0)),"","Used")</f>
        <v/>
      </c>
    </row>
    <row r="552" spans="1:5">
      <c r="A552" t="s">
        <v>841</v>
      </c>
      <c r="B552" s="198">
        <f t="shared" si="16"/>
        <v>9575</v>
      </c>
      <c r="C552">
        <f t="shared" si="17"/>
        <v>50265516</v>
      </c>
      <c r="E552" t="str">
        <f>IF(ISERROR(MATCH(C552,Sales!$D$3:$D$1000,0)),"","Used")</f>
        <v/>
      </c>
    </row>
    <row r="553" spans="1:5">
      <c r="A553" t="s">
        <v>842</v>
      </c>
      <c r="B553" s="198">
        <f t="shared" si="16"/>
        <v>9575</v>
      </c>
      <c r="C553">
        <f t="shared" si="17"/>
        <v>50265524</v>
      </c>
      <c r="E553" t="str">
        <f>IF(ISERROR(MATCH(C553,Sales!$D$3:$D$1000,0)),"","Used")</f>
        <v/>
      </c>
    </row>
    <row r="554" spans="1:5">
      <c r="A554" t="s">
        <v>843</v>
      </c>
      <c r="B554" s="198">
        <f t="shared" si="16"/>
        <v>9575</v>
      </c>
      <c r="C554">
        <f t="shared" si="17"/>
        <v>50265532</v>
      </c>
      <c r="E554" t="str">
        <f>IF(ISERROR(MATCH(C554,Sales!$D$3:$D$1000,0)),"","Used")</f>
        <v/>
      </c>
    </row>
    <row r="555" spans="1:5">
      <c r="A555" t="s">
        <v>844</v>
      </c>
      <c r="B555" s="198">
        <f t="shared" si="16"/>
        <v>9575</v>
      </c>
      <c r="C555">
        <f t="shared" si="17"/>
        <v>50265540</v>
      </c>
      <c r="E555" t="str">
        <f>IF(ISERROR(MATCH(C555,Sales!$D$3:$D$1000,0)),"","Used")</f>
        <v/>
      </c>
    </row>
    <row r="556" spans="1:5">
      <c r="A556" t="s">
        <v>845</v>
      </c>
      <c r="B556" s="198">
        <f t="shared" si="16"/>
        <v>9575</v>
      </c>
      <c r="C556">
        <f t="shared" si="17"/>
        <v>50265557</v>
      </c>
      <c r="E556" t="str">
        <f>IF(ISERROR(MATCH(C556,Sales!$D$3:$D$1000,0)),"","Used")</f>
        <v/>
      </c>
    </row>
    <row r="557" spans="1:5">
      <c r="A557" t="s">
        <v>846</v>
      </c>
      <c r="B557" s="198">
        <f t="shared" si="16"/>
        <v>9575</v>
      </c>
      <c r="C557">
        <f t="shared" si="17"/>
        <v>50265565</v>
      </c>
      <c r="E557" t="str">
        <f>IF(ISERROR(MATCH(C557,Sales!$D$3:$D$1000,0)),"","Used")</f>
        <v/>
      </c>
    </row>
    <row r="558" spans="1:5">
      <c r="A558" t="s">
        <v>847</v>
      </c>
      <c r="B558" s="198">
        <f t="shared" si="16"/>
        <v>9575</v>
      </c>
      <c r="C558">
        <f t="shared" si="17"/>
        <v>50265573</v>
      </c>
      <c r="E558" t="str">
        <f>IF(ISERROR(MATCH(C558,Sales!$D$3:$D$1000,0)),"","Used")</f>
        <v/>
      </c>
    </row>
    <row r="559" spans="1:5">
      <c r="A559" t="s">
        <v>848</v>
      </c>
      <c r="B559" s="198">
        <f t="shared" si="16"/>
        <v>9575</v>
      </c>
      <c r="C559">
        <f t="shared" si="17"/>
        <v>50265581</v>
      </c>
      <c r="E559" t="str">
        <f>IF(ISERROR(MATCH(C559,Sales!$D$3:$D$1000,0)),"","Used")</f>
        <v/>
      </c>
    </row>
    <row r="560" spans="1:5">
      <c r="A560" t="s">
        <v>849</v>
      </c>
      <c r="B560" s="198">
        <f t="shared" si="16"/>
        <v>9575</v>
      </c>
      <c r="C560">
        <f t="shared" si="17"/>
        <v>50265599</v>
      </c>
      <c r="E560" t="str">
        <f>IF(ISERROR(MATCH(C560,Sales!$D$3:$D$1000,0)),"","Used")</f>
        <v/>
      </c>
    </row>
    <row r="561" spans="1:5">
      <c r="A561" t="s">
        <v>850</v>
      </c>
      <c r="B561" s="198">
        <f t="shared" si="16"/>
        <v>9575</v>
      </c>
      <c r="C561">
        <f t="shared" si="17"/>
        <v>50265607</v>
      </c>
      <c r="E561" t="str">
        <f>IF(ISERROR(MATCH(C561,Sales!$D$3:$D$1000,0)),"","Used")</f>
        <v/>
      </c>
    </row>
    <row r="562" spans="1:5">
      <c r="A562" t="s">
        <v>851</v>
      </c>
      <c r="B562" s="198">
        <f t="shared" si="16"/>
        <v>9575</v>
      </c>
      <c r="C562">
        <f t="shared" si="17"/>
        <v>50265615</v>
      </c>
      <c r="E562" t="str">
        <f>IF(ISERROR(MATCH(C562,Sales!$D$3:$D$1000,0)),"","Used")</f>
        <v/>
      </c>
    </row>
    <row r="563" spans="1:5">
      <c r="A563" t="s">
        <v>852</v>
      </c>
      <c r="B563" s="198">
        <f t="shared" si="16"/>
        <v>9575</v>
      </c>
      <c r="C563">
        <f t="shared" si="17"/>
        <v>50265623</v>
      </c>
      <c r="E563" t="str">
        <f>IF(ISERROR(MATCH(C563,Sales!$D$3:$D$1000,0)),"","Used")</f>
        <v/>
      </c>
    </row>
    <row r="564" spans="1:5">
      <c r="A564" t="s">
        <v>853</v>
      </c>
      <c r="B564" s="198">
        <f t="shared" si="16"/>
        <v>9575</v>
      </c>
      <c r="C564">
        <f t="shared" si="17"/>
        <v>50265631</v>
      </c>
      <c r="E564" t="str">
        <f>IF(ISERROR(MATCH(C564,Sales!$D$3:$D$1000,0)),"","Used")</f>
        <v/>
      </c>
    </row>
    <row r="565" spans="1:5">
      <c r="A565" t="s">
        <v>854</v>
      </c>
      <c r="B565" s="198">
        <f t="shared" si="16"/>
        <v>9575</v>
      </c>
      <c r="C565">
        <f t="shared" si="17"/>
        <v>50265649</v>
      </c>
      <c r="E565" t="str">
        <f>IF(ISERROR(MATCH(C565,Sales!$D$3:$D$1000,0)),"","Used")</f>
        <v/>
      </c>
    </row>
    <row r="566" spans="1:5">
      <c r="A566" t="s">
        <v>855</v>
      </c>
      <c r="B566" s="198">
        <f t="shared" si="16"/>
        <v>9575</v>
      </c>
      <c r="C566">
        <f t="shared" si="17"/>
        <v>50265656</v>
      </c>
      <c r="E566" t="str">
        <f>IF(ISERROR(MATCH(C566,Sales!$D$3:$D$1000,0)),"","Used")</f>
        <v/>
      </c>
    </row>
    <row r="567" spans="1:5">
      <c r="A567" t="s">
        <v>856</v>
      </c>
      <c r="B567" s="198">
        <f t="shared" si="16"/>
        <v>9575</v>
      </c>
      <c r="C567">
        <f t="shared" si="17"/>
        <v>50265664</v>
      </c>
      <c r="E567" t="str">
        <f>IF(ISERROR(MATCH(C567,Sales!$D$3:$D$1000,0)),"","Used")</f>
        <v/>
      </c>
    </row>
    <row r="568" spans="1:5">
      <c r="A568" t="s">
        <v>857</v>
      </c>
      <c r="B568" s="198">
        <f t="shared" si="16"/>
        <v>9575</v>
      </c>
      <c r="C568">
        <f t="shared" si="17"/>
        <v>50265672</v>
      </c>
      <c r="E568" t="str">
        <f>IF(ISERROR(MATCH(C568,Sales!$D$3:$D$1000,0)),"","Used")</f>
        <v/>
      </c>
    </row>
    <row r="569" spans="1:5">
      <c r="A569" t="s">
        <v>858</v>
      </c>
      <c r="B569" s="198">
        <f t="shared" si="16"/>
        <v>9575</v>
      </c>
      <c r="C569">
        <f t="shared" si="17"/>
        <v>50265680</v>
      </c>
      <c r="E569" t="str">
        <f>IF(ISERROR(MATCH(C569,Sales!$D$3:$D$1000,0)),"","Used")</f>
        <v/>
      </c>
    </row>
    <row r="570" spans="1:5">
      <c r="A570" t="s">
        <v>859</v>
      </c>
      <c r="B570" s="198">
        <f t="shared" si="16"/>
        <v>9575</v>
      </c>
      <c r="C570">
        <f t="shared" si="17"/>
        <v>50265698</v>
      </c>
      <c r="E570" t="str">
        <f>IF(ISERROR(MATCH(C570,Sales!$D$3:$D$1000,0)),"","Used")</f>
        <v/>
      </c>
    </row>
    <row r="571" spans="1:5">
      <c r="A571" t="s">
        <v>860</v>
      </c>
      <c r="B571" s="198">
        <f t="shared" si="16"/>
        <v>9575</v>
      </c>
      <c r="C571">
        <f t="shared" si="17"/>
        <v>50265706</v>
      </c>
      <c r="E571" t="str">
        <f>IF(ISERROR(MATCH(C571,Sales!$D$3:$D$1000,0)),"","Used")</f>
        <v/>
      </c>
    </row>
    <row r="572" spans="1:5">
      <c r="A572" t="s">
        <v>861</v>
      </c>
      <c r="B572" s="198">
        <f t="shared" si="16"/>
        <v>9575</v>
      </c>
      <c r="C572">
        <f t="shared" si="17"/>
        <v>50265714</v>
      </c>
      <c r="E572" t="str">
        <f>IF(ISERROR(MATCH(C572,Sales!$D$3:$D$1000,0)),"","Used")</f>
        <v/>
      </c>
    </row>
    <row r="573" spans="1:5">
      <c r="A573" t="s">
        <v>862</v>
      </c>
      <c r="B573" s="198">
        <f t="shared" si="16"/>
        <v>9575</v>
      </c>
      <c r="C573">
        <f t="shared" si="17"/>
        <v>50265722</v>
      </c>
      <c r="E573" t="str">
        <f>IF(ISERROR(MATCH(C573,Sales!$D$3:$D$1000,0)),"","Used")</f>
        <v/>
      </c>
    </row>
    <row r="574" spans="1:5">
      <c r="A574" t="s">
        <v>863</v>
      </c>
      <c r="B574" s="198">
        <f t="shared" si="16"/>
        <v>9575</v>
      </c>
      <c r="C574">
        <f t="shared" si="17"/>
        <v>50265730</v>
      </c>
      <c r="E574" t="str">
        <f>IF(ISERROR(MATCH(C574,Sales!$D$3:$D$1000,0)),"","Used")</f>
        <v/>
      </c>
    </row>
    <row r="575" spans="1:5">
      <c r="A575" t="s">
        <v>864</v>
      </c>
      <c r="B575" s="198">
        <f t="shared" si="16"/>
        <v>9575</v>
      </c>
      <c r="C575">
        <f t="shared" si="17"/>
        <v>50265748</v>
      </c>
      <c r="E575" t="str">
        <f>IF(ISERROR(MATCH(C575,Sales!$D$3:$D$1000,0)),"","Used")</f>
        <v/>
      </c>
    </row>
    <row r="576" spans="1:5">
      <c r="A576" t="s">
        <v>865</v>
      </c>
      <c r="B576" s="198">
        <f t="shared" si="16"/>
        <v>9575</v>
      </c>
      <c r="C576">
        <f t="shared" si="17"/>
        <v>50265755</v>
      </c>
      <c r="E576" t="str">
        <f>IF(ISERROR(MATCH(C576,Sales!$D$3:$D$1000,0)),"","Used")</f>
        <v/>
      </c>
    </row>
    <row r="577" spans="1:5">
      <c r="A577" t="s">
        <v>866</v>
      </c>
      <c r="B577" s="198">
        <f t="shared" si="16"/>
        <v>9575</v>
      </c>
      <c r="C577">
        <f t="shared" si="17"/>
        <v>50265763</v>
      </c>
      <c r="E577" t="str">
        <f>IF(ISERROR(MATCH(C577,Sales!$D$3:$D$1000,0)),"","Used")</f>
        <v/>
      </c>
    </row>
    <row r="578" spans="1:5">
      <c r="A578" t="s">
        <v>867</v>
      </c>
      <c r="B578" s="198">
        <f t="shared" si="16"/>
        <v>9575</v>
      </c>
      <c r="C578">
        <f t="shared" si="17"/>
        <v>50265771</v>
      </c>
      <c r="E578" t="str">
        <f>IF(ISERROR(MATCH(C578,Sales!$D$3:$D$1000,0)),"","Used")</f>
        <v/>
      </c>
    </row>
    <row r="579" spans="1:5">
      <c r="A579" t="s">
        <v>868</v>
      </c>
      <c r="B579" s="198">
        <f t="shared" si="16"/>
        <v>9575</v>
      </c>
      <c r="C579">
        <f t="shared" si="17"/>
        <v>50265789</v>
      </c>
      <c r="E579" t="str">
        <f>IF(ISERROR(MATCH(C579,Sales!$D$3:$D$1000,0)),"","Used")</f>
        <v/>
      </c>
    </row>
    <row r="580" spans="1:5">
      <c r="A580" t="s">
        <v>869</v>
      </c>
      <c r="B580" s="198">
        <f t="shared" ref="B580:B643" si="18">VALUE(LEFT(A580,4))</f>
        <v>9575</v>
      </c>
      <c r="C580">
        <f t="shared" ref="C580:C643" si="19">VALUE(RIGHT(A580,8))</f>
        <v>50265797</v>
      </c>
      <c r="E580" t="str">
        <f>IF(ISERROR(MATCH(C580,Sales!$D$3:$D$1000,0)),"","Used")</f>
        <v/>
      </c>
    </row>
    <row r="581" spans="1:5">
      <c r="A581" t="s">
        <v>870</v>
      </c>
      <c r="B581" s="198">
        <f t="shared" si="18"/>
        <v>9575</v>
      </c>
      <c r="C581">
        <f t="shared" si="19"/>
        <v>50265805</v>
      </c>
      <c r="E581" t="str">
        <f>IF(ISERROR(MATCH(C581,Sales!$D$3:$D$1000,0)),"","Used")</f>
        <v/>
      </c>
    </row>
    <row r="582" spans="1:5">
      <c r="A582" t="s">
        <v>871</v>
      </c>
      <c r="B582" s="198">
        <f t="shared" si="18"/>
        <v>9575</v>
      </c>
      <c r="C582">
        <f t="shared" si="19"/>
        <v>50265813</v>
      </c>
      <c r="E582" t="str">
        <f>IF(ISERROR(MATCH(C582,Sales!$D$3:$D$1000,0)),"","Used")</f>
        <v/>
      </c>
    </row>
    <row r="583" spans="1:5">
      <c r="A583" t="s">
        <v>872</v>
      </c>
      <c r="B583" s="198">
        <f t="shared" si="18"/>
        <v>9575</v>
      </c>
      <c r="C583">
        <f t="shared" si="19"/>
        <v>50265821</v>
      </c>
      <c r="E583" t="str">
        <f>IF(ISERROR(MATCH(C583,Sales!$D$3:$D$1000,0)),"","Used")</f>
        <v/>
      </c>
    </row>
    <row r="584" spans="1:5">
      <c r="A584" t="s">
        <v>873</v>
      </c>
      <c r="B584" s="198">
        <f t="shared" si="18"/>
        <v>9575</v>
      </c>
      <c r="C584">
        <f t="shared" si="19"/>
        <v>50265839</v>
      </c>
      <c r="E584" t="str">
        <f>IF(ISERROR(MATCH(C584,Sales!$D$3:$D$1000,0)),"","Used")</f>
        <v/>
      </c>
    </row>
    <row r="585" spans="1:5">
      <c r="A585" t="s">
        <v>874</v>
      </c>
      <c r="B585" s="198">
        <f t="shared" si="18"/>
        <v>9575</v>
      </c>
      <c r="C585">
        <f t="shared" si="19"/>
        <v>50265847</v>
      </c>
      <c r="E585" t="str">
        <f>IF(ISERROR(MATCH(C585,Sales!$D$3:$D$1000,0)),"","Used")</f>
        <v/>
      </c>
    </row>
    <row r="586" spans="1:5">
      <c r="A586" t="s">
        <v>875</v>
      </c>
      <c r="B586" s="198">
        <f t="shared" si="18"/>
        <v>9575</v>
      </c>
      <c r="C586">
        <f t="shared" si="19"/>
        <v>50265854</v>
      </c>
      <c r="E586" t="str">
        <f>IF(ISERROR(MATCH(C586,Sales!$D$3:$D$1000,0)),"","Used")</f>
        <v/>
      </c>
    </row>
    <row r="587" spans="1:5">
      <c r="A587" t="s">
        <v>876</v>
      </c>
      <c r="B587" s="198">
        <f t="shared" si="18"/>
        <v>9575</v>
      </c>
      <c r="C587">
        <f t="shared" si="19"/>
        <v>50265862</v>
      </c>
      <c r="E587" t="str">
        <f>IF(ISERROR(MATCH(C587,Sales!$D$3:$D$1000,0)),"","Used")</f>
        <v/>
      </c>
    </row>
    <row r="588" spans="1:5">
      <c r="A588" t="s">
        <v>877</v>
      </c>
      <c r="B588" s="198">
        <f t="shared" si="18"/>
        <v>9575</v>
      </c>
      <c r="C588">
        <f t="shared" si="19"/>
        <v>50265870</v>
      </c>
      <c r="E588" t="str">
        <f>IF(ISERROR(MATCH(C588,Sales!$D$3:$D$1000,0)),"","Used")</f>
        <v/>
      </c>
    </row>
    <row r="589" spans="1:5">
      <c r="A589" t="s">
        <v>878</v>
      </c>
      <c r="B589" s="198">
        <f t="shared" si="18"/>
        <v>9575</v>
      </c>
      <c r="C589">
        <f t="shared" si="19"/>
        <v>50265888</v>
      </c>
      <c r="E589" t="str">
        <f>IF(ISERROR(MATCH(C589,Sales!$D$3:$D$1000,0)),"","Used")</f>
        <v/>
      </c>
    </row>
    <row r="590" spans="1:5">
      <c r="A590" t="s">
        <v>879</v>
      </c>
      <c r="B590" s="198">
        <f t="shared" si="18"/>
        <v>9575</v>
      </c>
      <c r="C590">
        <f t="shared" si="19"/>
        <v>50265896</v>
      </c>
      <c r="E590" t="str">
        <f>IF(ISERROR(MATCH(C590,Sales!$D$3:$D$1000,0)),"","Used")</f>
        <v/>
      </c>
    </row>
    <row r="591" spans="1:5">
      <c r="A591" t="s">
        <v>880</v>
      </c>
      <c r="B591" s="198">
        <f t="shared" si="18"/>
        <v>9575</v>
      </c>
      <c r="C591">
        <f t="shared" si="19"/>
        <v>50265904</v>
      </c>
      <c r="E591" t="str">
        <f>IF(ISERROR(MATCH(C591,Sales!$D$3:$D$1000,0)),"","Used")</f>
        <v/>
      </c>
    </row>
    <row r="592" spans="1:5">
      <c r="A592" t="s">
        <v>881</v>
      </c>
      <c r="B592" s="198">
        <f t="shared" si="18"/>
        <v>9575</v>
      </c>
      <c r="C592">
        <f t="shared" si="19"/>
        <v>50265912</v>
      </c>
      <c r="E592" t="str">
        <f>IF(ISERROR(MATCH(C592,Sales!$D$3:$D$1000,0)),"","Used")</f>
        <v/>
      </c>
    </row>
    <row r="593" spans="1:5">
      <c r="A593" t="s">
        <v>882</v>
      </c>
      <c r="B593" s="198">
        <f t="shared" si="18"/>
        <v>9575</v>
      </c>
      <c r="C593">
        <f t="shared" si="19"/>
        <v>50265920</v>
      </c>
      <c r="E593" t="str">
        <f>IF(ISERROR(MATCH(C593,Sales!$D$3:$D$1000,0)),"","Used")</f>
        <v/>
      </c>
    </row>
    <row r="594" spans="1:5">
      <c r="A594" t="s">
        <v>883</v>
      </c>
      <c r="B594" s="198">
        <f t="shared" si="18"/>
        <v>9575</v>
      </c>
      <c r="C594">
        <f t="shared" si="19"/>
        <v>50265938</v>
      </c>
      <c r="E594" t="str">
        <f>IF(ISERROR(MATCH(C594,Sales!$D$3:$D$1000,0)),"","Used")</f>
        <v/>
      </c>
    </row>
    <row r="595" spans="1:5">
      <c r="A595" t="s">
        <v>884</v>
      </c>
      <c r="B595" s="198">
        <f t="shared" si="18"/>
        <v>9575</v>
      </c>
      <c r="C595">
        <f t="shared" si="19"/>
        <v>50265946</v>
      </c>
      <c r="E595" t="str">
        <f>IF(ISERROR(MATCH(C595,Sales!$D$3:$D$1000,0)),"","Used")</f>
        <v/>
      </c>
    </row>
    <row r="596" spans="1:5">
      <c r="A596" t="s">
        <v>885</v>
      </c>
      <c r="B596" s="198">
        <f t="shared" si="18"/>
        <v>9575</v>
      </c>
      <c r="C596">
        <f t="shared" si="19"/>
        <v>50265953</v>
      </c>
      <c r="E596" t="str">
        <f>IF(ISERROR(MATCH(C596,Sales!$D$3:$D$1000,0)),"","Used")</f>
        <v/>
      </c>
    </row>
    <row r="597" spans="1:5">
      <c r="A597" t="s">
        <v>886</v>
      </c>
      <c r="B597" s="198">
        <f t="shared" si="18"/>
        <v>9575</v>
      </c>
      <c r="C597">
        <f t="shared" si="19"/>
        <v>50265961</v>
      </c>
      <c r="E597" t="str">
        <f>IF(ISERROR(MATCH(C597,Sales!$D$3:$D$1000,0)),"","Used")</f>
        <v/>
      </c>
    </row>
    <row r="598" spans="1:5">
      <c r="A598" t="s">
        <v>887</v>
      </c>
      <c r="B598" s="198">
        <f t="shared" si="18"/>
        <v>9575</v>
      </c>
      <c r="C598">
        <f t="shared" si="19"/>
        <v>50265979</v>
      </c>
      <c r="E598" t="str">
        <f>IF(ISERROR(MATCH(C598,Sales!$D$3:$D$1000,0)),"","Used")</f>
        <v/>
      </c>
    </row>
    <row r="599" spans="1:5">
      <c r="A599" t="s">
        <v>888</v>
      </c>
      <c r="B599" s="198">
        <f t="shared" si="18"/>
        <v>9575</v>
      </c>
      <c r="C599">
        <f t="shared" si="19"/>
        <v>50265987</v>
      </c>
      <c r="E599" t="str">
        <f>IF(ISERROR(MATCH(C599,Sales!$D$3:$D$1000,0)),"","Used")</f>
        <v/>
      </c>
    </row>
    <row r="600" spans="1:5">
      <c r="A600" t="s">
        <v>889</v>
      </c>
      <c r="B600" s="198">
        <f t="shared" si="18"/>
        <v>9575</v>
      </c>
      <c r="C600">
        <f t="shared" si="19"/>
        <v>50265995</v>
      </c>
      <c r="E600" t="str">
        <f>IF(ISERROR(MATCH(C600,Sales!$D$3:$D$1000,0)),"","Used")</f>
        <v/>
      </c>
    </row>
    <row r="601" spans="1:5">
      <c r="A601" t="s">
        <v>890</v>
      </c>
      <c r="B601" s="198">
        <f t="shared" si="18"/>
        <v>9575</v>
      </c>
      <c r="C601">
        <f t="shared" si="19"/>
        <v>50266001</v>
      </c>
      <c r="E601" t="str">
        <f>IF(ISERROR(MATCH(C601,Sales!$D$3:$D$1000,0)),"","Used")</f>
        <v/>
      </c>
    </row>
    <row r="602" spans="1:5">
      <c r="A602" t="s">
        <v>891</v>
      </c>
      <c r="B602" s="198">
        <f t="shared" si="18"/>
        <v>9575</v>
      </c>
      <c r="C602">
        <f t="shared" si="19"/>
        <v>50266019</v>
      </c>
      <c r="E602" t="str">
        <f>IF(ISERROR(MATCH(C602,Sales!$D$3:$D$1000,0)),"","Used")</f>
        <v/>
      </c>
    </row>
    <row r="603" spans="1:5">
      <c r="A603" t="s">
        <v>892</v>
      </c>
      <c r="B603" s="198">
        <f t="shared" si="18"/>
        <v>9575</v>
      </c>
      <c r="C603">
        <f t="shared" si="19"/>
        <v>50266027</v>
      </c>
      <c r="E603" t="str">
        <f>IF(ISERROR(MATCH(C603,Sales!$D$3:$D$1000,0)),"","Used")</f>
        <v/>
      </c>
    </row>
    <row r="604" spans="1:5">
      <c r="A604" t="s">
        <v>893</v>
      </c>
      <c r="B604" s="198">
        <f t="shared" si="18"/>
        <v>9575</v>
      </c>
      <c r="C604">
        <f t="shared" si="19"/>
        <v>50266035</v>
      </c>
      <c r="E604" t="str">
        <f>IF(ISERROR(MATCH(C604,Sales!$D$3:$D$1000,0)),"","Used")</f>
        <v/>
      </c>
    </row>
    <row r="605" spans="1:5">
      <c r="A605" t="s">
        <v>894</v>
      </c>
      <c r="B605" s="198">
        <f t="shared" si="18"/>
        <v>9575</v>
      </c>
      <c r="C605">
        <f t="shared" si="19"/>
        <v>50266043</v>
      </c>
      <c r="E605" t="str">
        <f>IF(ISERROR(MATCH(C605,Sales!$D$3:$D$1000,0)),"","Used")</f>
        <v/>
      </c>
    </row>
    <row r="606" spans="1:5">
      <c r="A606" t="s">
        <v>895</v>
      </c>
      <c r="B606" s="198">
        <f t="shared" si="18"/>
        <v>9575</v>
      </c>
      <c r="C606">
        <f t="shared" si="19"/>
        <v>50266050</v>
      </c>
      <c r="E606" t="str">
        <f>IF(ISERROR(MATCH(C606,Sales!$D$3:$D$1000,0)),"","Used")</f>
        <v/>
      </c>
    </row>
    <row r="607" spans="1:5">
      <c r="A607" t="s">
        <v>896</v>
      </c>
      <c r="B607" s="198">
        <f t="shared" si="18"/>
        <v>9575</v>
      </c>
      <c r="C607">
        <f t="shared" si="19"/>
        <v>50266068</v>
      </c>
      <c r="E607" t="str">
        <f>IF(ISERROR(MATCH(C607,Sales!$D$3:$D$1000,0)),"","Used")</f>
        <v/>
      </c>
    </row>
    <row r="608" spans="1:5">
      <c r="A608" t="s">
        <v>897</v>
      </c>
      <c r="B608" s="198">
        <f t="shared" si="18"/>
        <v>9575</v>
      </c>
      <c r="C608">
        <f t="shared" si="19"/>
        <v>50266076</v>
      </c>
      <c r="E608" t="str">
        <f>IF(ISERROR(MATCH(C608,Sales!$D$3:$D$1000,0)),"","Used")</f>
        <v/>
      </c>
    </row>
    <row r="609" spans="1:5">
      <c r="A609" t="s">
        <v>898</v>
      </c>
      <c r="B609" s="198">
        <f t="shared" si="18"/>
        <v>9575</v>
      </c>
      <c r="C609">
        <f t="shared" si="19"/>
        <v>50266084</v>
      </c>
      <c r="E609" t="str">
        <f>IF(ISERROR(MATCH(C609,Sales!$D$3:$D$1000,0)),"","Used")</f>
        <v/>
      </c>
    </row>
    <row r="610" spans="1:5">
      <c r="A610" t="s">
        <v>899</v>
      </c>
      <c r="B610" s="198">
        <f t="shared" si="18"/>
        <v>9575</v>
      </c>
      <c r="C610">
        <f t="shared" si="19"/>
        <v>50266092</v>
      </c>
      <c r="E610" t="str">
        <f>IF(ISERROR(MATCH(C610,Sales!$D$3:$D$1000,0)),"","Used")</f>
        <v/>
      </c>
    </row>
    <row r="611" spans="1:5">
      <c r="A611" t="s">
        <v>900</v>
      </c>
      <c r="B611" s="198">
        <f t="shared" si="18"/>
        <v>9575</v>
      </c>
      <c r="C611">
        <f t="shared" si="19"/>
        <v>50266100</v>
      </c>
      <c r="E611" t="str">
        <f>IF(ISERROR(MATCH(C611,Sales!$D$3:$D$1000,0)),"","Used")</f>
        <v/>
      </c>
    </row>
    <row r="612" spans="1:5">
      <c r="A612" t="s">
        <v>901</v>
      </c>
      <c r="B612" s="198">
        <f t="shared" si="18"/>
        <v>9575</v>
      </c>
      <c r="C612">
        <f t="shared" si="19"/>
        <v>50266118</v>
      </c>
      <c r="E612" t="str">
        <f>IF(ISERROR(MATCH(C612,Sales!$D$3:$D$1000,0)),"","Used")</f>
        <v/>
      </c>
    </row>
    <row r="613" spans="1:5">
      <c r="A613" t="s">
        <v>902</v>
      </c>
      <c r="B613" s="198">
        <f t="shared" si="18"/>
        <v>9575</v>
      </c>
      <c r="C613">
        <f t="shared" si="19"/>
        <v>50266126</v>
      </c>
      <c r="E613" t="str">
        <f>IF(ISERROR(MATCH(C613,Sales!$D$3:$D$1000,0)),"","Used")</f>
        <v/>
      </c>
    </row>
    <row r="614" spans="1:5">
      <c r="A614" t="s">
        <v>903</v>
      </c>
      <c r="B614" s="198">
        <f t="shared" si="18"/>
        <v>9575</v>
      </c>
      <c r="C614">
        <f t="shared" si="19"/>
        <v>50266134</v>
      </c>
      <c r="E614" t="str">
        <f>IF(ISERROR(MATCH(C614,Sales!$D$3:$D$1000,0)),"","Used")</f>
        <v/>
      </c>
    </row>
    <row r="615" spans="1:5">
      <c r="A615" t="s">
        <v>904</v>
      </c>
      <c r="B615" s="198">
        <f t="shared" si="18"/>
        <v>9575</v>
      </c>
      <c r="C615">
        <f t="shared" si="19"/>
        <v>50266142</v>
      </c>
      <c r="E615" t="str">
        <f>IF(ISERROR(MATCH(C615,Sales!$D$3:$D$1000,0)),"","Used")</f>
        <v/>
      </c>
    </row>
    <row r="616" spans="1:5">
      <c r="A616" t="s">
        <v>905</v>
      </c>
      <c r="B616" s="198">
        <f t="shared" si="18"/>
        <v>9575</v>
      </c>
      <c r="C616">
        <f t="shared" si="19"/>
        <v>50266159</v>
      </c>
      <c r="E616" t="str">
        <f>IF(ISERROR(MATCH(C616,Sales!$D$3:$D$1000,0)),"","Used")</f>
        <v/>
      </c>
    </row>
    <row r="617" spans="1:5">
      <c r="A617" t="s">
        <v>906</v>
      </c>
      <c r="B617" s="198">
        <f t="shared" si="18"/>
        <v>9575</v>
      </c>
      <c r="C617">
        <f t="shared" si="19"/>
        <v>50266167</v>
      </c>
      <c r="E617" t="str">
        <f>IF(ISERROR(MATCH(C617,Sales!$D$3:$D$1000,0)),"","Used")</f>
        <v/>
      </c>
    </row>
    <row r="618" spans="1:5">
      <c r="A618" t="s">
        <v>907</v>
      </c>
      <c r="B618" s="198">
        <f t="shared" si="18"/>
        <v>9575</v>
      </c>
      <c r="C618">
        <f t="shared" si="19"/>
        <v>50266175</v>
      </c>
      <c r="E618" t="str">
        <f>IF(ISERROR(MATCH(C618,Sales!$D$3:$D$1000,0)),"","Used")</f>
        <v/>
      </c>
    </row>
    <row r="619" spans="1:5">
      <c r="A619" t="s">
        <v>908</v>
      </c>
      <c r="B619" s="198">
        <f t="shared" si="18"/>
        <v>9575</v>
      </c>
      <c r="C619">
        <f t="shared" si="19"/>
        <v>50266183</v>
      </c>
      <c r="E619" t="str">
        <f>IF(ISERROR(MATCH(C619,Sales!$D$3:$D$1000,0)),"","Used")</f>
        <v/>
      </c>
    </row>
    <row r="620" spans="1:5">
      <c r="A620" t="s">
        <v>909</v>
      </c>
      <c r="B620" s="198">
        <f t="shared" si="18"/>
        <v>9575</v>
      </c>
      <c r="C620">
        <f t="shared" si="19"/>
        <v>50266191</v>
      </c>
      <c r="E620" t="str">
        <f>IF(ISERROR(MATCH(C620,Sales!$D$3:$D$1000,0)),"","Used")</f>
        <v/>
      </c>
    </row>
    <row r="621" spans="1:5">
      <c r="A621" t="s">
        <v>910</v>
      </c>
      <c r="B621" s="198">
        <f t="shared" si="18"/>
        <v>9575</v>
      </c>
      <c r="C621">
        <f t="shared" si="19"/>
        <v>50266209</v>
      </c>
      <c r="E621" t="str">
        <f>IF(ISERROR(MATCH(C621,Sales!$D$3:$D$1000,0)),"","Used")</f>
        <v/>
      </c>
    </row>
    <row r="622" spans="1:5">
      <c r="A622" t="s">
        <v>911</v>
      </c>
      <c r="B622" s="198">
        <f t="shared" si="18"/>
        <v>9575</v>
      </c>
      <c r="C622">
        <f t="shared" si="19"/>
        <v>50266217</v>
      </c>
      <c r="E622" t="str">
        <f>IF(ISERROR(MATCH(C622,Sales!$D$3:$D$1000,0)),"","Used")</f>
        <v/>
      </c>
    </row>
    <row r="623" spans="1:5">
      <c r="A623" t="s">
        <v>912</v>
      </c>
      <c r="B623" s="198">
        <f t="shared" si="18"/>
        <v>9575</v>
      </c>
      <c r="C623">
        <f t="shared" si="19"/>
        <v>50266225</v>
      </c>
      <c r="E623" t="str">
        <f>IF(ISERROR(MATCH(C623,Sales!$D$3:$D$1000,0)),"","Used")</f>
        <v/>
      </c>
    </row>
    <row r="624" spans="1:5">
      <c r="A624" t="s">
        <v>913</v>
      </c>
      <c r="B624" s="198">
        <f t="shared" si="18"/>
        <v>9575</v>
      </c>
      <c r="C624">
        <f t="shared" si="19"/>
        <v>50266233</v>
      </c>
      <c r="E624" t="str">
        <f>IF(ISERROR(MATCH(C624,Sales!$D$3:$D$1000,0)),"","Used")</f>
        <v/>
      </c>
    </row>
    <row r="625" spans="1:5">
      <c r="A625" t="s">
        <v>914</v>
      </c>
      <c r="B625" s="198">
        <f t="shared" si="18"/>
        <v>9575</v>
      </c>
      <c r="C625">
        <f t="shared" si="19"/>
        <v>50266241</v>
      </c>
      <c r="E625" t="str">
        <f>IF(ISERROR(MATCH(C625,Sales!$D$3:$D$1000,0)),"","Used")</f>
        <v/>
      </c>
    </row>
    <row r="626" spans="1:5">
      <c r="A626" t="s">
        <v>915</v>
      </c>
      <c r="B626" s="198">
        <f t="shared" si="18"/>
        <v>9575</v>
      </c>
      <c r="C626">
        <f t="shared" si="19"/>
        <v>50266258</v>
      </c>
      <c r="E626" t="str">
        <f>IF(ISERROR(MATCH(C626,Sales!$D$3:$D$1000,0)),"","Used")</f>
        <v/>
      </c>
    </row>
    <row r="627" spans="1:5">
      <c r="A627" t="s">
        <v>916</v>
      </c>
      <c r="B627" s="198">
        <f t="shared" si="18"/>
        <v>9575</v>
      </c>
      <c r="C627">
        <f t="shared" si="19"/>
        <v>50266266</v>
      </c>
      <c r="E627" t="str">
        <f>IF(ISERROR(MATCH(C627,Sales!$D$3:$D$1000,0)),"","Used")</f>
        <v/>
      </c>
    </row>
    <row r="628" spans="1:5">
      <c r="A628" t="s">
        <v>917</v>
      </c>
      <c r="B628" s="198">
        <f t="shared" si="18"/>
        <v>9575</v>
      </c>
      <c r="C628">
        <f t="shared" si="19"/>
        <v>50266274</v>
      </c>
      <c r="E628" t="str">
        <f>IF(ISERROR(MATCH(C628,Sales!$D$3:$D$1000,0)),"","Used")</f>
        <v/>
      </c>
    </row>
    <row r="629" spans="1:5">
      <c r="A629" t="s">
        <v>918</v>
      </c>
      <c r="B629" s="198">
        <f t="shared" si="18"/>
        <v>9575</v>
      </c>
      <c r="C629">
        <f t="shared" si="19"/>
        <v>50266282</v>
      </c>
      <c r="E629" t="str">
        <f>IF(ISERROR(MATCH(C629,Sales!$D$3:$D$1000,0)),"","Used")</f>
        <v/>
      </c>
    </row>
    <row r="630" spans="1:5">
      <c r="A630" t="s">
        <v>919</v>
      </c>
      <c r="B630" s="198">
        <f t="shared" si="18"/>
        <v>9575</v>
      </c>
      <c r="C630">
        <f t="shared" si="19"/>
        <v>50266290</v>
      </c>
      <c r="E630" t="str">
        <f>IF(ISERROR(MATCH(C630,Sales!$D$3:$D$1000,0)),"","Used")</f>
        <v/>
      </c>
    </row>
    <row r="631" spans="1:5">
      <c r="A631" t="s">
        <v>920</v>
      </c>
      <c r="B631" s="198">
        <f t="shared" si="18"/>
        <v>9575</v>
      </c>
      <c r="C631">
        <f t="shared" si="19"/>
        <v>50266308</v>
      </c>
      <c r="E631" t="str">
        <f>IF(ISERROR(MATCH(C631,Sales!$D$3:$D$1000,0)),"","Used")</f>
        <v/>
      </c>
    </row>
    <row r="632" spans="1:5">
      <c r="A632" t="s">
        <v>921</v>
      </c>
      <c r="B632" s="198">
        <f t="shared" si="18"/>
        <v>9575</v>
      </c>
      <c r="C632">
        <f t="shared" si="19"/>
        <v>50266316</v>
      </c>
      <c r="E632" t="str">
        <f>IF(ISERROR(MATCH(C632,Sales!$D$3:$D$1000,0)),"","Used")</f>
        <v/>
      </c>
    </row>
    <row r="633" spans="1:5">
      <c r="A633" t="s">
        <v>922</v>
      </c>
      <c r="B633" s="198">
        <f t="shared" si="18"/>
        <v>9575</v>
      </c>
      <c r="C633">
        <f t="shared" si="19"/>
        <v>50266324</v>
      </c>
      <c r="E633" t="str">
        <f>IF(ISERROR(MATCH(C633,Sales!$D$3:$D$1000,0)),"","Used")</f>
        <v/>
      </c>
    </row>
    <row r="634" spans="1:5">
      <c r="A634" t="s">
        <v>923</v>
      </c>
      <c r="B634" s="198">
        <f t="shared" si="18"/>
        <v>9575</v>
      </c>
      <c r="C634">
        <f t="shared" si="19"/>
        <v>50266332</v>
      </c>
      <c r="E634" t="str">
        <f>IF(ISERROR(MATCH(C634,Sales!$D$3:$D$1000,0)),"","Used")</f>
        <v/>
      </c>
    </row>
    <row r="635" spans="1:5">
      <c r="A635" t="s">
        <v>924</v>
      </c>
      <c r="B635" s="198">
        <f t="shared" si="18"/>
        <v>9575</v>
      </c>
      <c r="C635">
        <f t="shared" si="19"/>
        <v>50266340</v>
      </c>
      <c r="E635" t="str">
        <f>IF(ISERROR(MATCH(C635,Sales!$D$3:$D$1000,0)),"","Used")</f>
        <v/>
      </c>
    </row>
    <row r="636" spans="1:5">
      <c r="A636" t="s">
        <v>925</v>
      </c>
      <c r="B636" s="198">
        <f t="shared" si="18"/>
        <v>9575</v>
      </c>
      <c r="C636">
        <f t="shared" si="19"/>
        <v>50266357</v>
      </c>
      <c r="E636" t="str">
        <f>IF(ISERROR(MATCH(C636,Sales!$D$3:$D$1000,0)),"","Used")</f>
        <v/>
      </c>
    </row>
    <row r="637" spans="1:5">
      <c r="A637" t="s">
        <v>926</v>
      </c>
      <c r="B637" s="198">
        <f t="shared" si="18"/>
        <v>9575</v>
      </c>
      <c r="C637">
        <f t="shared" si="19"/>
        <v>50266365</v>
      </c>
      <c r="E637" t="str">
        <f>IF(ISERROR(MATCH(C637,Sales!$D$3:$D$1000,0)),"","Used")</f>
        <v/>
      </c>
    </row>
    <row r="638" spans="1:5">
      <c r="A638" t="s">
        <v>927</v>
      </c>
      <c r="B638" s="198">
        <f t="shared" si="18"/>
        <v>9575</v>
      </c>
      <c r="C638">
        <f t="shared" si="19"/>
        <v>50266373</v>
      </c>
      <c r="E638" t="str">
        <f>IF(ISERROR(MATCH(C638,Sales!$D$3:$D$1000,0)),"","Used")</f>
        <v/>
      </c>
    </row>
    <row r="639" spans="1:5">
      <c r="A639" t="s">
        <v>928</v>
      </c>
      <c r="B639" s="198">
        <f t="shared" si="18"/>
        <v>9575</v>
      </c>
      <c r="C639">
        <f t="shared" si="19"/>
        <v>50266381</v>
      </c>
      <c r="E639" t="str">
        <f>IF(ISERROR(MATCH(C639,Sales!$D$3:$D$1000,0)),"","Used")</f>
        <v/>
      </c>
    </row>
    <row r="640" spans="1:5">
      <c r="A640" t="s">
        <v>929</v>
      </c>
      <c r="B640" s="198">
        <f t="shared" si="18"/>
        <v>9575</v>
      </c>
      <c r="C640">
        <f t="shared" si="19"/>
        <v>50266399</v>
      </c>
      <c r="E640" t="str">
        <f>IF(ISERROR(MATCH(C640,Sales!$D$3:$D$1000,0)),"","Used")</f>
        <v/>
      </c>
    </row>
    <row r="641" spans="1:5">
      <c r="A641" t="s">
        <v>930</v>
      </c>
      <c r="B641" s="198">
        <f t="shared" si="18"/>
        <v>9575</v>
      </c>
      <c r="C641">
        <f t="shared" si="19"/>
        <v>50266407</v>
      </c>
      <c r="E641" t="str">
        <f>IF(ISERROR(MATCH(C641,Sales!$D$3:$D$1000,0)),"","Used")</f>
        <v/>
      </c>
    </row>
    <row r="642" spans="1:5">
      <c r="A642" t="s">
        <v>931</v>
      </c>
      <c r="B642" s="198">
        <f t="shared" si="18"/>
        <v>9575</v>
      </c>
      <c r="C642">
        <f t="shared" si="19"/>
        <v>50266415</v>
      </c>
      <c r="E642" t="str">
        <f>IF(ISERROR(MATCH(C642,Sales!$D$3:$D$1000,0)),"","Used")</f>
        <v/>
      </c>
    </row>
    <row r="643" spans="1:5">
      <c r="A643" t="s">
        <v>932</v>
      </c>
      <c r="B643" s="198">
        <f t="shared" si="18"/>
        <v>9575</v>
      </c>
      <c r="C643">
        <f t="shared" si="19"/>
        <v>50266423</v>
      </c>
      <c r="E643" t="str">
        <f>IF(ISERROR(MATCH(C643,Sales!$D$3:$D$1000,0)),"","Used")</f>
        <v/>
      </c>
    </row>
    <row r="644" spans="1:5">
      <c r="A644" t="s">
        <v>933</v>
      </c>
      <c r="B644" s="198">
        <f t="shared" ref="B644:B707" si="20">VALUE(LEFT(A644,4))</f>
        <v>9575</v>
      </c>
      <c r="C644">
        <f t="shared" ref="C644:C707" si="21">VALUE(RIGHT(A644,8))</f>
        <v>50266431</v>
      </c>
      <c r="E644" t="str">
        <f>IF(ISERROR(MATCH(C644,Sales!$D$3:$D$1000,0)),"","Used")</f>
        <v/>
      </c>
    </row>
    <row r="645" spans="1:5">
      <c r="A645" t="s">
        <v>934</v>
      </c>
      <c r="B645" s="198">
        <f t="shared" si="20"/>
        <v>9575</v>
      </c>
      <c r="C645">
        <f t="shared" si="21"/>
        <v>50266449</v>
      </c>
      <c r="E645" t="str">
        <f>IF(ISERROR(MATCH(C645,Sales!$D$3:$D$1000,0)),"","Used")</f>
        <v/>
      </c>
    </row>
    <row r="646" spans="1:5">
      <c r="A646" t="s">
        <v>935</v>
      </c>
      <c r="B646" s="198">
        <f t="shared" si="20"/>
        <v>9575</v>
      </c>
      <c r="C646">
        <f t="shared" si="21"/>
        <v>50266456</v>
      </c>
      <c r="E646" t="str">
        <f>IF(ISERROR(MATCH(C646,Sales!$D$3:$D$1000,0)),"","Used")</f>
        <v/>
      </c>
    </row>
    <row r="647" spans="1:5">
      <c r="A647" t="s">
        <v>936</v>
      </c>
      <c r="B647" s="198">
        <f t="shared" si="20"/>
        <v>9575</v>
      </c>
      <c r="C647">
        <f t="shared" si="21"/>
        <v>50266464</v>
      </c>
      <c r="E647" t="str">
        <f>IF(ISERROR(MATCH(C647,Sales!$D$3:$D$1000,0)),"","Used")</f>
        <v/>
      </c>
    </row>
    <row r="648" spans="1:5">
      <c r="A648" t="s">
        <v>937</v>
      </c>
      <c r="B648" s="198">
        <f t="shared" si="20"/>
        <v>9575</v>
      </c>
      <c r="C648">
        <f t="shared" si="21"/>
        <v>50266472</v>
      </c>
      <c r="E648" t="str">
        <f>IF(ISERROR(MATCH(C648,Sales!$D$3:$D$1000,0)),"","Used")</f>
        <v/>
      </c>
    </row>
    <row r="649" spans="1:5">
      <c r="A649" t="s">
        <v>938</v>
      </c>
      <c r="B649" s="198">
        <f t="shared" si="20"/>
        <v>9575</v>
      </c>
      <c r="C649">
        <f t="shared" si="21"/>
        <v>50266480</v>
      </c>
      <c r="E649" t="str">
        <f>IF(ISERROR(MATCH(C649,Sales!$D$3:$D$1000,0)),"","Used")</f>
        <v/>
      </c>
    </row>
    <row r="650" spans="1:5">
      <c r="A650" t="s">
        <v>939</v>
      </c>
      <c r="B650" s="198">
        <f t="shared" si="20"/>
        <v>9575</v>
      </c>
      <c r="C650">
        <f t="shared" si="21"/>
        <v>50266498</v>
      </c>
      <c r="E650" t="str">
        <f>IF(ISERROR(MATCH(C650,Sales!$D$3:$D$1000,0)),"","Used")</f>
        <v/>
      </c>
    </row>
    <row r="651" spans="1:5">
      <c r="A651" t="s">
        <v>940</v>
      </c>
      <c r="B651" s="198">
        <f t="shared" si="20"/>
        <v>9575</v>
      </c>
      <c r="C651">
        <f t="shared" si="21"/>
        <v>50266506</v>
      </c>
      <c r="E651" t="str">
        <f>IF(ISERROR(MATCH(C651,Sales!$D$3:$D$1000,0)),"","Used")</f>
        <v/>
      </c>
    </row>
    <row r="652" spans="1:5">
      <c r="A652" t="s">
        <v>941</v>
      </c>
      <c r="B652" s="198">
        <f t="shared" si="20"/>
        <v>9575</v>
      </c>
      <c r="C652">
        <f t="shared" si="21"/>
        <v>50266514</v>
      </c>
      <c r="E652" t="str">
        <f>IF(ISERROR(MATCH(C652,Sales!$D$3:$D$1000,0)),"","Used")</f>
        <v/>
      </c>
    </row>
    <row r="653" spans="1:5">
      <c r="A653" t="s">
        <v>942</v>
      </c>
      <c r="B653" s="198">
        <f t="shared" si="20"/>
        <v>9575</v>
      </c>
      <c r="C653">
        <f t="shared" si="21"/>
        <v>50266522</v>
      </c>
      <c r="E653" t="str">
        <f>IF(ISERROR(MATCH(C653,Sales!$D$3:$D$1000,0)),"","Used")</f>
        <v/>
      </c>
    </row>
    <row r="654" spans="1:5">
      <c r="A654" t="s">
        <v>943</v>
      </c>
      <c r="B654" s="198">
        <f t="shared" si="20"/>
        <v>9575</v>
      </c>
      <c r="C654">
        <f t="shared" si="21"/>
        <v>50266530</v>
      </c>
      <c r="E654" t="str">
        <f>IF(ISERROR(MATCH(C654,Sales!$D$3:$D$1000,0)),"","Used")</f>
        <v/>
      </c>
    </row>
    <row r="655" spans="1:5">
      <c r="A655" t="s">
        <v>944</v>
      </c>
      <c r="B655" s="198">
        <f t="shared" si="20"/>
        <v>9575</v>
      </c>
      <c r="C655">
        <f t="shared" si="21"/>
        <v>50266548</v>
      </c>
      <c r="E655" t="str">
        <f>IF(ISERROR(MATCH(C655,Sales!$D$3:$D$1000,0)),"","Used")</f>
        <v/>
      </c>
    </row>
    <row r="656" spans="1:5">
      <c r="A656" t="s">
        <v>945</v>
      </c>
      <c r="B656" s="198">
        <f t="shared" si="20"/>
        <v>9575</v>
      </c>
      <c r="C656">
        <f t="shared" si="21"/>
        <v>50266555</v>
      </c>
      <c r="E656" t="str">
        <f>IF(ISERROR(MATCH(C656,Sales!$D$3:$D$1000,0)),"","Used")</f>
        <v/>
      </c>
    </row>
    <row r="657" spans="1:5">
      <c r="A657" t="s">
        <v>946</v>
      </c>
      <c r="B657" s="198">
        <f t="shared" si="20"/>
        <v>9575</v>
      </c>
      <c r="C657">
        <f t="shared" si="21"/>
        <v>50266563</v>
      </c>
      <c r="E657" t="str">
        <f>IF(ISERROR(MATCH(C657,Sales!$D$3:$D$1000,0)),"","Used")</f>
        <v/>
      </c>
    </row>
    <row r="658" spans="1:5">
      <c r="A658" t="s">
        <v>947</v>
      </c>
      <c r="B658" s="198">
        <f t="shared" si="20"/>
        <v>9575</v>
      </c>
      <c r="C658">
        <f t="shared" si="21"/>
        <v>50266571</v>
      </c>
      <c r="E658" t="str">
        <f>IF(ISERROR(MATCH(C658,Sales!$D$3:$D$1000,0)),"","Used")</f>
        <v/>
      </c>
    </row>
    <row r="659" spans="1:5">
      <c r="A659" t="s">
        <v>948</v>
      </c>
      <c r="B659" s="198">
        <f t="shared" si="20"/>
        <v>9575</v>
      </c>
      <c r="C659">
        <f t="shared" si="21"/>
        <v>50266589</v>
      </c>
      <c r="E659" t="str">
        <f>IF(ISERROR(MATCH(C659,Sales!$D$3:$D$1000,0)),"","Used")</f>
        <v/>
      </c>
    </row>
    <row r="660" spans="1:5">
      <c r="A660" t="s">
        <v>949</v>
      </c>
      <c r="B660" s="198">
        <f t="shared" si="20"/>
        <v>9575</v>
      </c>
      <c r="C660">
        <f t="shared" si="21"/>
        <v>50266597</v>
      </c>
      <c r="E660" t="str">
        <f>IF(ISERROR(MATCH(C660,Sales!$D$3:$D$1000,0)),"","Used")</f>
        <v/>
      </c>
    </row>
    <row r="661" spans="1:5">
      <c r="A661" t="s">
        <v>950</v>
      </c>
      <c r="B661" s="198">
        <f t="shared" si="20"/>
        <v>9575</v>
      </c>
      <c r="C661">
        <f t="shared" si="21"/>
        <v>50266605</v>
      </c>
      <c r="E661" t="str">
        <f>IF(ISERROR(MATCH(C661,Sales!$D$3:$D$1000,0)),"","Used")</f>
        <v/>
      </c>
    </row>
    <row r="662" spans="1:5">
      <c r="A662" t="s">
        <v>951</v>
      </c>
      <c r="B662" s="198">
        <f t="shared" si="20"/>
        <v>9575</v>
      </c>
      <c r="C662">
        <f t="shared" si="21"/>
        <v>50266613</v>
      </c>
      <c r="E662" t="str">
        <f>IF(ISERROR(MATCH(C662,Sales!$D$3:$D$1000,0)),"","Used")</f>
        <v/>
      </c>
    </row>
    <row r="663" spans="1:5">
      <c r="A663" t="s">
        <v>952</v>
      </c>
      <c r="B663" s="198">
        <f t="shared" si="20"/>
        <v>9575</v>
      </c>
      <c r="C663">
        <f t="shared" si="21"/>
        <v>50266621</v>
      </c>
      <c r="E663" t="str">
        <f>IF(ISERROR(MATCH(C663,Sales!$D$3:$D$1000,0)),"","Used")</f>
        <v/>
      </c>
    </row>
    <row r="664" spans="1:5">
      <c r="A664" t="s">
        <v>953</v>
      </c>
      <c r="B664" s="198">
        <f t="shared" si="20"/>
        <v>9575</v>
      </c>
      <c r="C664">
        <f t="shared" si="21"/>
        <v>50266639</v>
      </c>
      <c r="E664" t="str">
        <f>IF(ISERROR(MATCH(C664,Sales!$D$3:$D$1000,0)),"","Used")</f>
        <v/>
      </c>
    </row>
    <row r="665" spans="1:5">
      <c r="A665" t="s">
        <v>954</v>
      </c>
      <c r="B665" s="198">
        <f t="shared" si="20"/>
        <v>9575</v>
      </c>
      <c r="C665">
        <f t="shared" si="21"/>
        <v>50266647</v>
      </c>
      <c r="E665" t="str">
        <f>IF(ISERROR(MATCH(C665,Sales!$D$3:$D$1000,0)),"","Used")</f>
        <v/>
      </c>
    </row>
    <row r="666" spans="1:5">
      <c r="A666" t="s">
        <v>955</v>
      </c>
      <c r="B666" s="198">
        <f t="shared" si="20"/>
        <v>9575</v>
      </c>
      <c r="C666">
        <f t="shared" si="21"/>
        <v>50266654</v>
      </c>
      <c r="E666" t="str">
        <f>IF(ISERROR(MATCH(C666,Sales!$D$3:$D$1000,0)),"","Used")</f>
        <v/>
      </c>
    </row>
    <row r="667" spans="1:5">
      <c r="A667" t="s">
        <v>956</v>
      </c>
      <c r="B667" s="198">
        <f t="shared" si="20"/>
        <v>9575</v>
      </c>
      <c r="C667">
        <f t="shared" si="21"/>
        <v>50266662</v>
      </c>
      <c r="E667" t="str">
        <f>IF(ISERROR(MATCH(C667,Sales!$D$3:$D$1000,0)),"","Used")</f>
        <v/>
      </c>
    </row>
    <row r="668" spans="1:5">
      <c r="A668" t="s">
        <v>957</v>
      </c>
      <c r="B668" s="198">
        <f t="shared" si="20"/>
        <v>9575</v>
      </c>
      <c r="C668">
        <f t="shared" si="21"/>
        <v>50266670</v>
      </c>
      <c r="E668" t="str">
        <f>IF(ISERROR(MATCH(C668,Sales!$D$3:$D$1000,0)),"","Used")</f>
        <v/>
      </c>
    </row>
    <row r="669" spans="1:5">
      <c r="A669" t="s">
        <v>958</v>
      </c>
      <c r="B669" s="198">
        <f t="shared" si="20"/>
        <v>9575</v>
      </c>
      <c r="C669">
        <f t="shared" si="21"/>
        <v>50266688</v>
      </c>
      <c r="E669" t="str">
        <f>IF(ISERROR(MATCH(C669,Sales!$D$3:$D$1000,0)),"","Used")</f>
        <v/>
      </c>
    </row>
    <row r="670" spans="1:5">
      <c r="A670" t="s">
        <v>959</v>
      </c>
      <c r="B670" s="198">
        <f t="shared" si="20"/>
        <v>9575</v>
      </c>
      <c r="C670">
        <f t="shared" si="21"/>
        <v>50266696</v>
      </c>
      <c r="E670" t="str">
        <f>IF(ISERROR(MATCH(C670,Sales!$D$3:$D$1000,0)),"","Used")</f>
        <v/>
      </c>
    </row>
    <row r="671" spans="1:5">
      <c r="A671" t="s">
        <v>960</v>
      </c>
      <c r="B671" s="198">
        <f t="shared" si="20"/>
        <v>9575</v>
      </c>
      <c r="C671">
        <f t="shared" si="21"/>
        <v>50266704</v>
      </c>
      <c r="E671" t="str">
        <f>IF(ISERROR(MATCH(C671,Sales!$D$3:$D$1000,0)),"","Used")</f>
        <v/>
      </c>
    </row>
    <row r="672" spans="1:5">
      <c r="A672" t="s">
        <v>961</v>
      </c>
      <c r="B672" s="198">
        <f t="shared" si="20"/>
        <v>9575</v>
      </c>
      <c r="C672">
        <f t="shared" si="21"/>
        <v>50266712</v>
      </c>
      <c r="E672" t="str">
        <f>IF(ISERROR(MATCH(C672,Sales!$D$3:$D$1000,0)),"","Used")</f>
        <v/>
      </c>
    </row>
    <row r="673" spans="1:5">
      <c r="A673" t="s">
        <v>962</v>
      </c>
      <c r="B673" s="198">
        <f t="shared" si="20"/>
        <v>9575</v>
      </c>
      <c r="C673">
        <f t="shared" si="21"/>
        <v>50266720</v>
      </c>
      <c r="E673" t="str">
        <f>IF(ISERROR(MATCH(C673,Sales!$D$3:$D$1000,0)),"","Used")</f>
        <v/>
      </c>
    </row>
    <row r="674" spans="1:5">
      <c r="A674" t="s">
        <v>963</v>
      </c>
      <c r="B674" s="198">
        <f t="shared" si="20"/>
        <v>9575</v>
      </c>
      <c r="C674">
        <f t="shared" si="21"/>
        <v>50266738</v>
      </c>
      <c r="E674" t="str">
        <f>IF(ISERROR(MATCH(C674,Sales!$D$3:$D$1000,0)),"","Used")</f>
        <v/>
      </c>
    </row>
    <row r="675" spans="1:5">
      <c r="A675" t="s">
        <v>964</v>
      </c>
      <c r="B675" s="198">
        <f t="shared" si="20"/>
        <v>9575</v>
      </c>
      <c r="C675">
        <f t="shared" si="21"/>
        <v>50266746</v>
      </c>
      <c r="E675" t="str">
        <f>IF(ISERROR(MATCH(C675,Sales!$D$3:$D$1000,0)),"","Used")</f>
        <v/>
      </c>
    </row>
    <row r="676" spans="1:5">
      <c r="A676" t="s">
        <v>965</v>
      </c>
      <c r="B676" s="198">
        <f t="shared" si="20"/>
        <v>9575</v>
      </c>
      <c r="C676">
        <f t="shared" si="21"/>
        <v>50266753</v>
      </c>
      <c r="E676" t="str">
        <f>IF(ISERROR(MATCH(C676,Sales!$D$3:$D$1000,0)),"","Used")</f>
        <v/>
      </c>
    </row>
    <row r="677" spans="1:5">
      <c r="A677" t="s">
        <v>966</v>
      </c>
      <c r="B677" s="198">
        <f t="shared" si="20"/>
        <v>9575</v>
      </c>
      <c r="C677">
        <f t="shared" si="21"/>
        <v>50266761</v>
      </c>
      <c r="E677" t="str">
        <f>IF(ISERROR(MATCH(C677,Sales!$D$3:$D$1000,0)),"","Used")</f>
        <v/>
      </c>
    </row>
    <row r="678" spans="1:5">
      <c r="A678" t="s">
        <v>967</v>
      </c>
      <c r="B678" s="198">
        <f t="shared" si="20"/>
        <v>9575</v>
      </c>
      <c r="C678">
        <f t="shared" si="21"/>
        <v>50266779</v>
      </c>
      <c r="E678" t="str">
        <f>IF(ISERROR(MATCH(C678,Sales!$D$3:$D$1000,0)),"","Used")</f>
        <v/>
      </c>
    </row>
    <row r="679" spans="1:5">
      <c r="A679" t="s">
        <v>968</v>
      </c>
      <c r="B679" s="198">
        <f t="shared" si="20"/>
        <v>9575</v>
      </c>
      <c r="C679">
        <f t="shared" si="21"/>
        <v>50266787</v>
      </c>
      <c r="E679" t="str">
        <f>IF(ISERROR(MATCH(C679,Sales!$D$3:$D$1000,0)),"","Used")</f>
        <v/>
      </c>
    </row>
    <row r="680" spans="1:5">
      <c r="A680" t="s">
        <v>969</v>
      </c>
      <c r="B680" s="198">
        <f t="shared" si="20"/>
        <v>9575</v>
      </c>
      <c r="C680">
        <f t="shared" si="21"/>
        <v>50266795</v>
      </c>
      <c r="E680" t="str">
        <f>IF(ISERROR(MATCH(C680,Sales!$D$3:$D$1000,0)),"","Used")</f>
        <v/>
      </c>
    </row>
    <row r="681" spans="1:5">
      <c r="A681" t="s">
        <v>970</v>
      </c>
      <c r="B681" s="198">
        <f t="shared" si="20"/>
        <v>9575</v>
      </c>
      <c r="C681">
        <f t="shared" si="21"/>
        <v>50266803</v>
      </c>
      <c r="E681" t="str">
        <f>IF(ISERROR(MATCH(C681,Sales!$D$3:$D$1000,0)),"","Used")</f>
        <v/>
      </c>
    </row>
    <row r="682" spans="1:5">
      <c r="A682" t="s">
        <v>971</v>
      </c>
      <c r="B682" s="198">
        <f t="shared" si="20"/>
        <v>9575</v>
      </c>
      <c r="C682">
        <f t="shared" si="21"/>
        <v>50266811</v>
      </c>
      <c r="E682" t="str">
        <f>IF(ISERROR(MATCH(C682,Sales!$D$3:$D$1000,0)),"","Used")</f>
        <v/>
      </c>
    </row>
    <row r="683" spans="1:5">
      <c r="A683" t="s">
        <v>972</v>
      </c>
      <c r="B683" s="198">
        <f t="shared" si="20"/>
        <v>9575</v>
      </c>
      <c r="C683">
        <f t="shared" si="21"/>
        <v>50266829</v>
      </c>
      <c r="E683" t="str">
        <f>IF(ISERROR(MATCH(C683,Sales!$D$3:$D$1000,0)),"","Used")</f>
        <v/>
      </c>
    </row>
    <row r="684" spans="1:5">
      <c r="A684" t="s">
        <v>973</v>
      </c>
      <c r="B684" s="198">
        <f t="shared" si="20"/>
        <v>9575</v>
      </c>
      <c r="C684">
        <f t="shared" si="21"/>
        <v>50266837</v>
      </c>
      <c r="E684" t="str">
        <f>IF(ISERROR(MATCH(C684,Sales!$D$3:$D$1000,0)),"","Used")</f>
        <v/>
      </c>
    </row>
    <row r="685" spans="1:5">
      <c r="A685" t="s">
        <v>974</v>
      </c>
      <c r="B685" s="198">
        <f t="shared" si="20"/>
        <v>9575</v>
      </c>
      <c r="C685">
        <f t="shared" si="21"/>
        <v>50266845</v>
      </c>
      <c r="E685" t="str">
        <f>IF(ISERROR(MATCH(C685,Sales!$D$3:$D$1000,0)),"","Used")</f>
        <v/>
      </c>
    </row>
    <row r="686" spans="1:5">
      <c r="A686" t="s">
        <v>975</v>
      </c>
      <c r="B686" s="198">
        <f t="shared" si="20"/>
        <v>9575</v>
      </c>
      <c r="C686">
        <f t="shared" si="21"/>
        <v>50266852</v>
      </c>
      <c r="E686" t="str">
        <f>IF(ISERROR(MATCH(C686,Sales!$D$3:$D$1000,0)),"","Used")</f>
        <v/>
      </c>
    </row>
    <row r="687" spans="1:5">
      <c r="A687" t="s">
        <v>976</v>
      </c>
      <c r="B687" s="198">
        <f t="shared" si="20"/>
        <v>9575</v>
      </c>
      <c r="C687">
        <f t="shared" si="21"/>
        <v>50266860</v>
      </c>
      <c r="E687" t="str">
        <f>IF(ISERROR(MATCH(C687,Sales!$D$3:$D$1000,0)),"","Used")</f>
        <v/>
      </c>
    </row>
    <row r="688" spans="1:5">
      <c r="A688" t="s">
        <v>977</v>
      </c>
      <c r="B688" s="198">
        <f t="shared" si="20"/>
        <v>9575</v>
      </c>
      <c r="C688">
        <f t="shared" si="21"/>
        <v>50266878</v>
      </c>
      <c r="E688" t="str">
        <f>IF(ISERROR(MATCH(C688,Sales!$D$3:$D$1000,0)),"","Used")</f>
        <v/>
      </c>
    </row>
    <row r="689" spans="1:5">
      <c r="A689" t="s">
        <v>978</v>
      </c>
      <c r="B689" s="198">
        <f t="shared" si="20"/>
        <v>9575</v>
      </c>
      <c r="C689">
        <f t="shared" si="21"/>
        <v>50266886</v>
      </c>
      <c r="E689" t="str">
        <f>IF(ISERROR(MATCH(C689,Sales!$D$3:$D$1000,0)),"","Used")</f>
        <v/>
      </c>
    </row>
    <row r="690" spans="1:5">
      <c r="A690" t="s">
        <v>979</v>
      </c>
      <c r="B690" s="198">
        <f t="shared" si="20"/>
        <v>9575</v>
      </c>
      <c r="C690">
        <f t="shared" si="21"/>
        <v>50266894</v>
      </c>
      <c r="E690" t="str">
        <f>IF(ISERROR(MATCH(C690,Sales!$D$3:$D$1000,0)),"","Used")</f>
        <v/>
      </c>
    </row>
    <row r="691" spans="1:5">
      <c r="A691" t="s">
        <v>980</v>
      </c>
      <c r="B691" s="198">
        <f t="shared" si="20"/>
        <v>9575</v>
      </c>
      <c r="C691">
        <f t="shared" si="21"/>
        <v>50266902</v>
      </c>
      <c r="E691" t="str">
        <f>IF(ISERROR(MATCH(C691,Sales!$D$3:$D$1000,0)),"","Used")</f>
        <v/>
      </c>
    </row>
    <row r="692" spans="1:5">
      <c r="A692" t="s">
        <v>981</v>
      </c>
      <c r="B692" s="198">
        <f t="shared" si="20"/>
        <v>9575</v>
      </c>
      <c r="C692">
        <f t="shared" si="21"/>
        <v>50266910</v>
      </c>
      <c r="E692" t="str">
        <f>IF(ISERROR(MATCH(C692,Sales!$D$3:$D$1000,0)),"","Used")</f>
        <v/>
      </c>
    </row>
    <row r="693" spans="1:5">
      <c r="A693" t="s">
        <v>982</v>
      </c>
      <c r="B693" s="198">
        <f t="shared" si="20"/>
        <v>9575</v>
      </c>
      <c r="C693">
        <f t="shared" si="21"/>
        <v>50266928</v>
      </c>
      <c r="E693" t="str">
        <f>IF(ISERROR(MATCH(C693,Sales!$D$3:$D$1000,0)),"","Used")</f>
        <v/>
      </c>
    </row>
    <row r="694" spans="1:5">
      <c r="A694" t="s">
        <v>983</v>
      </c>
      <c r="B694" s="198">
        <f t="shared" si="20"/>
        <v>9575</v>
      </c>
      <c r="C694">
        <f t="shared" si="21"/>
        <v>50266936</v>
      </c>
      <c r="E694" t="str">
        <f>IF(ISERROR(MATCH(C694,Sales!$D$3:$D$1000,0)),"","Used")</f>
        <v/>
      </c>
    </row>
    <row r="695" spans="1:5">
      <c r="A695" t="s">
        <v>984</v>
      </c>
      <c r="B695" s="198">
        <f t="shared" si="20"/>
        <v>9575</v>
      </c>
      <c r="C695">
        <f t="shared" si="21"/>
        <v>50266944</v>
      </c>
      <c r="E695" t="str">
        <f>IF(ISERROR(MATCH(C695,Sales!$D$3:$D$1000,0)),"","Used")</f>
        <v/>
      </c>
    </row>
    <row r="696" spans="1:5">
      <c r="A696" t="s">
        <v>985</v>
      </c>
      <c r="B696" s="198">
        <f t="shared" si="20"/>
        <v>9575</v>
      </c>
      <c r="C696">
        <f t="shared" si="21"/>
        <v>50266951</v>
      </c>
      <c r="E696" t="str">
        <f>IF(ISERROR(MATCH(C696,Sales!$D$3:$D$1000,0)),"","Used")</f>
        <v/>
      </c>
    </row>
    <row r="697" spans="1:5">
      <c r="A697" t="s">
        <v>986</v>
      </c>
      <c r="B697" s="198">
        <f t="shared" si="20"/>
        <v>9575</v>
      </c>
      <c r="C697">
        <f t="shared" si="21"/>
        <v>50266969</v>
      </c>
      <c r="E697" t="str">
        <f>IF(ISERROR(MATCH(C697,Sales!$D$3:$D$1000,0)),"","Used")</f>
        <v/>
      </c>
    </row>
    <row r="698" spans="1:5">
      <c r="A698" t="s">
        <v>987</v>
      </c>
      <c r="B698" s="198">
        <f t="shared" si="20"/>
        <v>9575</v>
      </c>
      <c r="C698">
        <f t="shared" si="21"/>
        <v>50266977</v>
      </c>
      <c r="E698" t="str">
        <f>IF(ISERROR(MATCH(C698,Sales!$D$3:$D$1000,0)),"","Used")</f>
        <v/>
      </c>
    </row>
    <row r="699" spans="1:5">
      <c r="A699" t="s">
        <v>988</v>
      </c>
      <c r="B699" s="198">
        <f t="shared" si="20"/>
        <v>9575</v>
      </c>
      <c r="C699">
        <f t="shared" si="21"/>
        <v>50266985</v>
      </c>
      <c r="E699" t="str">
        <f>IF(ISERROR(MATCH(C699,Sales!$D$3:$D$1000,0)),"","Used")</f>
        <v/>
      </c>
    </row>
    <row r="700" spans="1:5">
      <c r="A700" t="s">
        <v>989</v>
      </c>
      <c r="B700" s="198">
        <f t="shared" si="20"/>
        <v>9575</v>
      </c>
      <c r="C700">
        <f t="shared" si="21"/>
        <v>50266993</v>
      </c>
      <c r="E700" t="str">
        <f>IF(ISERROR(MATCH(C700,Sales!$D$3:$D$1000,0)),"","Used")</f>
        <v/>
      </c>
    </row>
    <row r="701" spans="1:5">
      <c r="A701" t="s">
        <v>990</v>
      </c>
      <c r="B701" s="198">
        <f t="shared" si="20"/>
        <v>9575</v>
      </c>
      <c r="C701">
        <f t="shared" si="21"/>
        <v>50267009</v>
      </c>
      <c r="E701" t="str">
        <f>IF(ISERROR(MATCH(C701,Sales!$D$3:$D$1000,0)),"","Used")</f>
        <v/>
      </c>
    </row>
    <row r="702" spans="1:5">
      <c r="A702" t="s">
        <v>991</v>
      </c>
      <c r="B702" s="198">
        <f t="shared" si="20"/>
        <v>9575</v>
      </c>
      <c r="C702">
        <f t="shared" si="21"/>
        <v>50267017</v>
      </c>
      <c r="E702" t="str">
        <f>IF(ISERROR(MATCH(C702,Sales!$D$3:$D$1000,0)),"","Used")</f>
        <v/>
      </c>
    </row>
    <row r="703" spans="1:5">
      <c r="A703" t="s">
        <v>992</v>
      </c>
      <c r="B703" s="198">
        <f t="shared" si="20"/>
        <v>9575</v>
      </c>
      <c r="C703">
        <f t="shared" si="21"/>
        <v>50267025</v>
      </c>
      <c r="E703" t="str">
        <f>IF(ISERROR(MATCH(C703,Sales!$D$3:$D$1000,0)),"","Used")</f>
        <v/>
      </c>
    </row>
    <row r="704" spans="1:5">
      <c r="A704" t="s">
        <v>993</v>
      </c>
      <c r="B704" s="198">
        <f t="shared" si="20"/>
        <v>9575</v>
      </c>
      <c r="C704">
        <f t="shared" si="21"/>
        <v>50267033</v>
      </c>
      <c r="E704" t="str">
        <f>IF(ISERROR(MATCH(C704,Sales!$D$3:$D$1000,0)),"","Used")</f>
        <v/>
      </c>
    </row>
    <row r="705" spans="1:5">
      <c r="A705" t="s">
        <v>994</v>
      </c>
      <c r="B705" s="198">
        <f t="shared" si="20"/>
        <v>9575</v>
      </c>
      <c r="C705">
        <f t="shared" si="21"/>
        <v>50267041</v>
      </c>
      <c r="E705" t="str">
        <f>IF(ISERROR(MATCH(C705,Sales!$D$3:$D$1000,0)),"","Used")</f>
        <v/>
      </c>
    </row>
    <row r="706" spans="1:5">
      <c r="A706" t="s">
        <v>995</v>
      </c>
      <c r="B706" s="198">
        <f t="shared" si="20"/>
        <v>9575</v>
      </c>
      <c r="C706">
        <f t="shared" si="21"/>
        <v>50267058</v>
      </c>
      <c r="E706" t="str">
        <f>IF(ISERROR(MATCH(C706,Sales!$D$3:$D$1000,0)),"","Used")</f>
        <v/>
      </c>
    </row>
    <row r="707" spans="1:5">
      <c r="A707" t="s">
        <v>996</v>
      </c>
      <c r="B707" s="198">
        <f t="shared" si="20"/>
        <v>9575</v>
      </c>
      <c r="C707">
        <f t="shared" si="21"/>
        <v>50267066</v>
      </c>
      <c r="E707" t="str">
        <f>IF(ISERROR(MATCH(C707,Sales!$D$3:$D$1000,0)),"","Used")</f>
        <v/>
      </c>
    </row>
    <row r="708" spans="1:5">
      <c r="A708" t="s">
        <v>997</v>
      </c>
      <c r="B708" s="198">
        <f t="shared" ref="B708:B771" si="22">VALUE(LEFT(A708,4))</f>
        <v>9575</v>
      </c>
      <c r="C708">
        <f t="shared" ref="C708:C771" si="23">VALUE(RIGHT(A708,8))</f>
        <v>50267074</v>
      </c>
      <c r="E708" t="str">
        <f>IF(ISERROR(MATCH(C708,Sales!$D$3:$D$1000,0)),"","Used")</f>
        <v/>
      </c>
    </row>
    <row r="709" spans="1:5">
      <c r="A709" t="s">
        <v>998</v>
      </c>
      <c r="B709" s="198">
        <f t="shared" si="22"/>
        <v>9575</v>
      </c>
      <c r="C709">
        <f t="shared" si="23"/>
        <v>50267082</v>
      </c>
      <c r="E709" t="str">
        <f>IF(ISERROR(MATCH(C709,Sales!$D$3:$D$1000,0)),"","Used")</f>
        <v/>
      </c>
    </row>
    <row r="710" spans="1:5">
      <c r="A710" t="s">
        <v>999</v>
      </c>
      <c r="B710" s="198">
        <f t="shared" si="22"/>
        <v>9575</v>
      </c>
      <c r="C710">
        <f t="shared" si="23"/>
        <v>50267090</v>
      </c>
      <c r="E710" t="str">
        <f>IF(ISERROR(MATCH(C710,Sales!$D$3:$D$1000,0)),"","Used")</f>
        <v/>
      </c>
    </row>
    <row r="711" spans="1:5">
      <c r="A711" t="s">
        <v>1000</v>
      </c>
      <c r="B711" s="198">
        <f t="shared" si="22"/>
        <v>9575</v>
      </c>
      <c r="C711">
        <f t="shared" si="23"/>
        <v>50267108</v>
      </c>
      <c r="E711" t="str">
        <f>IF(ISERROR(MATCH(C711,Sales!$D$3:$D$1000,0)),"","Used")</f>
        <v/>
      </c>
    </row>
    <row r="712" spans="1:5">
      <c r="A712" t="s">
        <v>1001</v>
      </c>
      <c r="B712" s="198">
        <f t="shared" si="22"/>
        <v>9575</v>
      </c>
      <c r="C712">
        <f t="shared" si="23"/>
        <v>50267116</v>
      </c>
      <c r="E712" t="str">
        <f>IF(ISERROR(MATCH(C712,Sales!$D$3:$D$1000,0)),"","Used")</f>
        <v/>
      </c>
    </row>
    <row r="713" spans="1:5">
      <c r="A713" t="s">
        <v>1002</v>
      </c>
      <c r="B713" s="198">
        <f t="shared" si="22"/>
        <v>9575</v>
      </c>
      <c r="C713">
        <f t="shared" si="23"/>
        <v>50267124</v>
      </c>
      <c r="E713" t="str">
        <f>IF(ISERROR(MATCH(C713,Sales!$D$3:$D$1000,0)),"","Used")</f>
        <v/>
      </c>
    </row>
    <row r="714" spans="1:5">
      <c r="A714" t="s">
        <v>1003</v>
      </c>
      <c r="B714" s="198">
        <f t="shared" si="22"/>
        <v>9575</v>
      </c>
      <c r="C714">
        <f t="shared" si="23"/>
        <v>50267132</v>
      </c>
      <c r="E714" t="str">
        <f>IF(ISERROR(MATCH(C714,Sales!$D$3:$D$1000,0)),"","Used")</f>
        <v/>
      </c>
    </row>
    <row r="715" spans="1:5">
      <c r="A715" t="s">
        <v>1004</v>
      </c>
      <c r="B715" s="198">
        <f t="shared" si="22"/>
        <v>9575</v>
      </c>
      <c r="C715">
        <f t="shared" si="23"/>
        <v>50267140</v>
      </c>
      <c r="E715" t="str">
        <f>IF(ISERROR(MATCH(C715,Sales!$D$3:$D$1000,0)),"","Used")</f>
        <v/>
      </c>
    </row>
    <row r="716" spans="1:5">
      <c r="A716" t="s">
        <v>1005</v>
      </c>
      <c r="B716" s="198">
        <f t="shared" si="22"/>
        <v>9575</v>
      </c>
      <c r="C716">
        <f t="shared" si="23"/>
        <v>50267157</v>
      </c>
      <c r="E716" t="str">
        <f>IF(ISERROR(MATCH(C716,Sales!$D$3:$D$1000,0)),"","Used")</f>
        <v/>
      </c>
    </row>
    <row r="717" spans="1:5">
      <c r="A717" t="s">
        <v>1006</v>
      </c>
      <c r="B717" s="198">
        <f t="shared" si="22"/>
        <v>9575</v>
      </c>
      <c r="C717">
        <f t="shared" si="23"/>
        <v>50267165</v>
      </c>
      <c r="E717" t="str">
        <f>IF(ISERROR(MATCH(C717,Sales!$D$3:$D$1000,0)),"","Used")</f>
        <v/>
      </c>
    </row>
    <row r="718" spans="1:5">
      <c r="A718" t="s">
        <v>1007</v>
      </c>
      <c r="B718" s="198">
        <f t="shared" si="22"/>
        <v>9575</v>
      </c>
      <c r="C718">
        <f t="shared" si="23"/>
        <v>50267173</v>
      </c>
      <c r="E718" t="str">
        <f>IF(ISERROR(MATCH(C718,Sales!$D$3:$D$1000,0)),"","Used")</f>
        <v/>
      </c>
    </row>
    <row r="719" spans="1:5">
      <c r="A719" t="s">
        <v>1008</v>
      </c>
      <c r="B719" s="198">
        <f t="shared" si="22"/>
        <v>9575</v>
      </c>
      <c r="C719">
        <f t="shared" si="23"/>
        <v>50267181</v>
      </c>
      <c r="E719" t="str">
        <f>IF(ISERROR(MATCH(C719,Sales!$D$3:$D$1000,0)),"","Used")</f>
        <v/>
      </c>
    </row>
    <row r="720" spans="1:5">
      <c r="A720" t="s">
        <v>1009</v>
      </c>
      <c r="B720" s="198">
        <f t="shared" si="22"/>
        <v>9575</v>
      </c>
      <c r="C720">
        <f t="shared" si="23"/>
        <v>50267199</v>
      </c>
      <c r="E720" t="str">
        <f>IF(ISERROR(MATCH(C720,Sales!$D$3:$D$1000,0)),"","Used")</f>
        <v/>
      </c>
    </row>
    <row r="721" spans="1:5">
      <c r="A721" t="s">
        <v>1010</v>
      </c>
      <c r="B721" s="198">
        <f t="shared" si="22"/>
        <v>9575</v>
      </c>
      <c r="C721">
        <f t="shared" si="23"/>
        <v>50267207</v>
      </c>
      <c r="E721" t="str">
        <f>IF(ISERROR(MATCH(C721,Sales!$D$3:$D$1000,0)),"","Used")</f>
        <v/>
      </c>
    </row>
    <row r="722" spans="1:5">
      <c r="A722" t="s">
        <v>1011</v>
      </c>
      <c r="B722" s="198">
        <f t="shared" si="22"/>
        <v>9575</v>
      </c>
      <c r="C722">
        <f t="shared" si="23"/>
        <v>50267215</v>
      </c>
      <c r="E722" t="str">
        <f>IF(ISERROR(MATCH(C722,Sales!$D$3:$D$1000,0)),"","Used")</f>
        <v/>
      </c>
    </row>
    <row r="723" spans="1:5">
      <c r="A723" t="s">
        <v>1012</v>
      </c>
      <c r="B723" s="198">
        <f t="shared" si="22"/>
        <v>9575</v>
      </c>
      <c r="C723">
        <f t="shared" si="23"/>
        <v>50267223</v>
      </c>
      <c r="E723" t="str">
        <f>IF(ISERROR(MATCH(C723,Sales!$D$3:$D$1000,0)),"","Used")</f>
        <v/>
      </c>
    </row>
    <row r="724" spans="1:5">
      <c r="A724" t="s">
        <v>1013</v>
      </c>
      <c r="B724" s="198">
        <f t="shared" si="22"/>
        <v>9575</v>
      </c>
      <c r="C724">
        <f t="shared" si="23"/>
        <v>50267231</v>
      </c>
      <c r="E724" t="str">
        <f>IF(ISERROR(MATCH(C724,Sales!$D$3:$D$1000,0)),"","Used")</f>
        <v/>
      </c>
    </row>
    <row r="725" spans="1:5">
      <c r="A725" t="s">
        <v>1014</v>
      </c>
      <c r="B725" s="198">
        <f t="shared" si="22"/>
        <v>9575</v>
      </c>
      <c r="C725">
        <f t="shared" si="23"/>
        <v>50267249</v>
      </c>
      <c r="E725" t="str">
        <f>IF(ISERROR(MATCH(C725,Sales!$D$3:$D$1000,0)),"","Used")</f>
        <v/>
      </c>
    </row>
    <row r="726" spans="1:5">
      <c r="A726" t="s">
        <v>1015</v>
      </c>
      <c r="B726" s="198">
        <f t="shared" si="22"/>
        <v>9575</v>
      </c>
      <c r="C726">
        <f t="shared" si="23"/>
        <v>50267256</v>
      </c>
      <c r="E726" t="str">
        <f>IF(ISERROR(MATCH(C726,Sales!$D$3:$D$1000,0)),"","Used")</f>
        <v/>
      </c>
    </row>
    <row r="727" spans="1:5">
      <c r="A727" t="s">
        <v>1016</v>
      </c>
      <c r="B727" s="198">
        <f t="shared" si="22"/>
        <v>9575</v>
      </c>
      <c r="C727">
        <f t="shared" si="23"/>
        <v>50267264</v>
      </c>
      <c r="E727" t="str">
        <f>IF(ISERROR(MATCH(C727,Sales!$D$3:$D$1000,0)),"","Used")</f>
        <v/>
      </c>
    </row>
    <row r="728" spans="1:5">
      <c r="A728" t="s">
        <v>1017</v>
      </c>
      <c r="B728" s="198">
        <f t="shared" si="22"/>
        <v>9575</v>
      </c>
      <c r="C728">
        <f t="shared" si="23"/>
        <v>50267272</v>
      </c>
      <c r="E728" t="str">
        <f>IF(ISERROR(MATCH(C728,Sales!$D$3:$D$1000,0)),"","Used")</f>
        <v/>
      </c>
    </row>
    <row r="729" spans="1:5">
      <c r="A729" t="s">
        <v>1018</v>
      </c>
      <c r="B729" s="198">
        <f t="shared" si="22"/>
        <v>9575</v>
      </c>
      <c r="C729">
        <f t="shared" si="23"/>
        <v>50267280</v>
      </c>
      <c r="E729" t="str">
        <f>IF(ISERROR(MATCH(C729,Sales!$D$3:$D$1000,0)),"","Used")</f>
        <v/>
      </c>
    </row>
    <row r="730" spans="1:5">
      <c r="A730" t="s">
        <v>1019</v>
      </c>
      <c r="B730" s="198">
        <f t="shared" si="22"/>
        <v>9575</v>
      </c>
      <c r="C730">
        <f t="shared" si="23"/>
        <v>50267298</v>
      </c>
      <c r="E730" t="str">
        <f>IF(ISERROR(MATCH(C730,Sales!$D$3:$D$1000,0)),"","Used")</f>
        <v/>
      </c>
    </row>
    <row r="731" spans="1:5">
      <c r="A731" t="s">
        <v>1020</v>
      </c>
      <c r="B731" s="198">
        <f t="shared" si="22"/>
        <v>9575</v>
      </c>
      <c r="C731">
        <f t="shared" si="23"/>
        <v>50267306</v>
      </c>
      <c r="E731" t="str">
        <f>IF(ISERROR(MATCH(C731,Sales!$D$3:$D$1000,0)),"","Used")</f>
        <v/>
      </c>
    </row>
    <row r="732" spans="1:5">
      <c r="A732" t="s">
        <v>1021</v>
      </c>
      <c r="B732" s="198">
        <f t="shared" si="22"/>
        <v>9575</v>
      </c>
      <c r="C732">
        <f t="shared" si="23"/>
        <v>50267314</v>
      </c>
      <c r="E732" t="str">
        <f>IF(ISERROR(MATCH(C732,Sales!$D$3:$D$1000,0)),"","Used")</f>
        <v/>
      </c>
    </row>
    <row r="733" spans="1:5">
      <c r="A733" t="s">
        <v>1022</v>
      </c>
      <c r="B733" s="198">
        <f t="shared" si="22"/>
        <v>9575</v>
      </c>
      <c r="C733">
        <f t="shared" si="23"/>
        <v>50267322</v>
      </c>
      <c r="E733" t="str">
        <f>IF(ISERROR(MATCH(C733,Sales!$D$3:$D$1000,0)),"","Used")</f>
        <v/>
      </c>
    </row>
    <row r="734" spans="1:5">
      <c r="A734" t="s">
        <v>1023</v>
      </c>
      <c r="B734" s="198">
        <f t="shared" si="22"/>
        <v>9575</v>
      </c>
      <c r="C734">
        <f t="shared" si="23"/>
        <v>50267330</v>
      </c>
      <c r="E734" t="str">
        <f>IF(ISERROR(MATCH(C734,Sales!$D$3:$D$1000,0)),"","Used")</f>
        <v/>
      </c>
    </row>
    <row r="735" spans="1:5">
      <c r="A735" t="s">
        <v>1024</v>
      </c>
      <c r="B735" s="198">
        <f t="shared" si="22"/>
        <v>9575</v>
      </c>
      <c r="C735">
        <f t="shared" si="23"/>
        <v>50267348</v>
      </c>
      <c r="E735" t="str">
        <f>IF(ISERROR(MATCH(C735,Sales!$D$3:$D$1000,0)),"","Used")</f>
        <v/>
      </c>
    </row>
    <row r="736" spans="1:5">
      <c r="A736" t="s">
        <v>1025</v>
      </c>
      <c r="B736" s="198">
        <f t="shared" si="22"/>
        <v>9575</v>
      </c>
      <c r="C736">
        <f t="shared" si="23"/>
        <v>50267355</v>
      </c>
      <c r="E736" t="str">
        <f>IF(ISERROR(MATCH(C736,Sales!$D$3:$D$1000,0)),"","Used")</f>
        <v/>
      </c>
    </row>
    <row r="737" spans="1:5">
      <c r="A737" t="s">
        <v>1026</v>
      </c>
      <c r="B737" s="198">
        <f t="shared" si="22"/>
        <v>9575</v>
      </c>
      <c r="C737">
        <f t="shared" si="23"/>
        <v>50267363</v>
      </c>
      <c r="E737" t="str">
        <f>IF(ISERROR(MATCH(C737,Sales!$D$3:$D$1000,0)),"","Used")</f>
        <v/>
      </c>
    </row>
    <row r="738" spans="1:5">
      <c r="A738" t="s">
        <v>1027</v>
      </c>
      <c r="B738" s="198">
        <f t="shared" si="22"/>
        <v>9575</v>
      </c>
      <c r="C738">
        <f t="shared" si="23"/>
        <v>50267371</v>
      </c>
      <c r="E738" t="str">
        <f>IF(ISERROR(MATCH(C738,Sales!$D$3:$D$1000,0)),"","Used")</f>
        <v/>
      </c>
    </row>
    <row r="739" spans="1:5">
      <c r="A739" t="s">
        <v>1028</v>
      </c>
      <c r="B739" s="198">
        <f t="shared" si="22"/>
        <v>9575</v>
      </c>
      <c r="C739">
        <f t="shared" si="23"/>
        <v>50267389</v>
      </c>
      <c r="E739" t="str">
        <f>IF(ISERROR(MATCH(C739,Sales!$D$3:$D$1000,0)),"","Used")</f>
        <v/>
      </c>
    </row>
    <row r="740" spans="1:5">
      <c r="A740" t="s">
        <v>1029</v>
      </c>
      <c r="B740" s="198">
        <f t="shared" si="22"/>
        <v>9575</v>
      </c>
      <c r="C740">
        <f t="shared" si="23"/>
        <v>50267397</v>
      </c>
      <c r="E740" t="str">
        <f>IF(ISERROR(MATCH(C740,Sales!$D$3:$D$1000,0)),"","Used")</f>
        <v/>
      </c>
    </row>
    <row r="741" spans="1:5">
      <c r="A741" t="s">
        <v>1030</v>
      </c>
      <c r="B741" s="198">
        <f t="shared" si="22"/>
        <v>9575</v>
      </c>
      <c r="C741">
        <f t="shared" si="23"/>
        <v>50267405</v>
      </c>
      <c r="E741" t="str">
        <f>IF(ISERROR(MATCH(C741,Sales!$D$3:$D$1000,0)),"","Used")</f>
        <v/>
      </c>
    </row>
    <row r="742" spans="1:5">
      <c r="A742" t="s">
        <v>1031</v>
      </c>
      <c r="B742" s="198">
        <f t="shared" si="22"/>
        <v>9575</v>
      </c>
      <c r="C742">
        <f t="shared" si="23"/>
        <v>50267413</v>
      </c>
      <c r="E742" t="str">
        <f>IF(ISERROR(MATCH(C742,Sales!$D$3:$D$1000,0)),"","Used")</f>
        <v/>
      </c>
    </row>
    <row r="743" spans="1:5">
      <c r="A743" t="s">
        <v>1032</v>
      </c>
      <c r="B743" s="198">
        <f t="shared" si="22"/>
        <v>9575</v>
      </c>
      <c r="C743">
        <f t="shared" si="23"/>
        <v>50267421</v>
      </c>
      <c r="E743" t="str">
        <f>IF(ISERROR(MATCH(C743,Sales!$D$3:$D$1000,0)),"","Used")</f>
        <v/>
      </c>
    </row>
    <row r="744" spans="1:5">
      <c r="A744" t="s">
        <v>1033</v>
      </c>
      <c r="B744" s="198">
        <f t="shared" si="22"/>
        <v>9575</v>
      </c>
      <c r="C744">
        <f t="shared" si="23"/>
        <v>50267439</v>
      </c>
      <c r="E744" t="str">
        <f>IF(ISERROR(MATCH(C744,Sales!$D$3:$D$1000,0)),"","Used")</f>
        <v/>
      </c>
    </row>
    <row r="745" spans="1:5">
      <c r="A745" t="s">
        <v>1034</v>
      </c>
      <c r="B745" s="198">
        <f t="shared" si="22"/>
        <v>9575</v>
      </c>
      <c r="C745">
        <f t="shared" si="23"/>
        <v>50267447</v>
      </c>
      <c r="E745" t="str">
        <f>IF(ISERROR(MATCH(C745,Sales!$D$3:$D$1000,0)),"","Used")</f>
        <v/>
      </c>
    </row>
    <row r="746" spans="1:5">
      <c r="A746" t="s">
        <v>1035</v>
      </c>
      <c r="B746" s="198">
        <f t="shared" si="22"/>
        <v>9575</v>
      </c>
      <c r="C746">
        <f t="shared" si="23"/>
        <v>50267454</v>
      </c>
      <c r="E746" t="str">
        <f>IF(ISERROR(MATCH(C746,Sales!$D$3:$D$1000,0)),"","Used")</f>
        <v/>
      </c>
    </row>
    <row r="747" spans="1:5">
      <c r="A747" t="s">
        <v>1036</v>
      </c>
      <c r="B747" s="198">
        <f t="shared" si="22"/>
        <v>9575</v>
      </c>
      <c r="C747">
        <f t="shared" si="23"/>
        <v>50267462</v>
      </c>
      <c r="E747" t="str">
        <f>IF(ISERROR(MATCH(C747,Sales!$D$3:$D$1000,0)),"","Used")</f>
        <v/>
      </c>
    </row>
    <row r="748" spans="1:5">
      <c r="A748" t="s">
        <v>1037</v>
      </c>
      <c r="B748" s="198">
        <f t="shared" si="22"/>
        <v>9575</v>
      </c>
      <c r="C748">
        <f t="shared" si="23"/>
        <v>50267470</v>
      </c>
      <c r="E748" t="str">
        <f>IF(ISERROR(MATCH(C748,Sales!$D$3:$D$1000,0)),"","Used")</f>
        <v/>
      </c>
    </row>
    <row r="749" spans="1:5">
      <c r="A749" t="s">
        <v>1038</v>
      </c>
      <c r="B749" s="198">
        <f t="shared" si="22"/>
        <v>9575</v>
      </c>
      <c r="C749">
        <f t="shared" si="23"/>
        <v>50267488</v>
      </c>
      <c r="E749" t="str">
        <f>IF(ISERROR(MATCH(C749,Sales!$D$3:$D$1000,0)),"","Used")</f>
        <v/>
      </c>
    </row>
    <row r="750" spans="1:5">
      <c r="A750" t="s">
        <v>1039</v>
      </c>
      <c r="B750" s="198">
        <f t="shared" si="22"/>
        <v>9575</v>
      </c>
      <c r="C750">
        <f t="shared" si="23"/>
        <v>50267496</v>
      </c>
      <c r="E750" t="str">
        <f>IF(ISERROR(MATCH(C750,Sales!$D$3:$D$1000,0)),"","Used")</f>
        <v/>
      </c>
    </row>
    <row r="751" spans="1:5">
      <c r="A751" t="s">
        <v>1040</v>
      </c>
      <c r="B751" s="198">
        <f t="shared" si="22"/>
        <v>9575</v>
      </c>
      <c r="C751">
        <f t="shared" si="23"/>
        <v>50267504</v>
      </c>
      <c r="E751" t="str">
        <f>IF(ISERROR(MATCH(C751,Sales!$D$3:$D$1000,0)),"","Used")</f>
        <v/>
      </c>
    </row>
    <row r="752" spans="1:5">
      <c r="A752" t="s">
        <v>1041</v>
      </c>
      <c r="B752" s="198">
        <f t="shared" si="22"/>
        <v>9575</v>
      </c>
      <c r="C752">
        <f t="shared" si="23"/>
        <v>50267512</v>
      </c>
      <c r="E752" t="str">
        <f>IF(ISERROR(MATCH(C752,Sales!$D$3:$D$1000,0)),"","Used")</f>
        <v/>
      </c>
    </row>
    <row r="753" spans="1:5">
      <c r="A753" t="s">
        <v>1042</v>
      </c>
      <c r="B753" s="198">
        <f t="shared" si="22"/>
        <v>9575</v>
      </c>
      <c r="C753">
        <f t="shared" si="23"/>
        <v>50267520</v>
      </c>
      <c r="E753" t="str">
        <f>IF(ISERROR(MATCH(C753,Sales!$D$3:$D$1000,0)),"","Used")</f>
        <v/>
      </c>
    </row>
    <row r="754" spans="1:5">
      <c r="A754" t="s">
        <v>1043</v>
      </c>
      <c r="B754" s="198">
        <f t="shared" si="22"/>
        <v>9575</v>
      </c>
      <c r="C754">
        <f t="shared" si="23"/>
        <v>50267538</v>
      </c>
      <c r="E754" t="str">
        <f>IF(ISERROR(MATCH(C754,Sales!$D$3:$D$1000,0)),"","Used")</f>
        <v/>
      </c>
    </row>
    <row r="755" spans="1:5">
      <c r="A755" t="s">
        <v>1044</v>
      </c>
      <c r="B755" s="198">
        <f t="shared" si="22"/>
        <v>9575</v>
      </c>
      <c r="C755">
        <f t="shared" si="23"/>
        <v>50267546</v>
      </c>
      <c r="E755" t="str">
        <f>IF(ISERROR(MATCH(C755,Sales!$D$3:$D$1000,0)),"","Used")</f>
        <v/>
      </c>
    </row>
    <row r="756" spans="1:5">
      <c r="A756" t="s">
        <v>1045</v>
      </c>
      <c r="B756" s="198">
        <f t="shared" si="22"/>
        <v>9575</v>
      </c>
      <c r="C756">
        <f t="shared" si="23"/>
        <v>50267553</v>
      </c>
      <c r="E756" t="str">
        <f>IF(ISERROR(MATCH(C756,Sales!$D$3:$D$1000,0)),"","Used")</f>
        <v/>
      </c>
    </row>
    <row r="757" spans="1:5">
      <c r="A757" t="s">
        <v>1046</v>
      </c>
      <c r="B757" s="198">
        <f t="shared" si="22"/>
        <v>9575</v>
      </c>
      <c r="C757">
        <f t="shared" si="23"/>
        <v>50267561</v>
      </c>
      <c r="E757" t="str">
        <f>IF(ISERROR(MATCH(C757,Sales!$D$3:$D$1000,0)),"","Used")</f>
        <v/>
      </c>
    </row>
    <row r="758" spans="1:5">
      <c r="A758" t="s">
        <v>1047</v>
      </c>
      <c r="B758" s="198">
        <f t="shared" si="22"/>
        <v>9575</v>
      </c>
      <c r="C758">
        <f t="shared" si="23"/>
        <v>50267579</v>
      </c>
      <c r="E758" t="str">
        <f>IF(ISERROR(MATCH(C758,Sales!$D$3:$D$1000,0)),"","Used")</f>
        <v/>
      </c>
    </row>
    <row r="759" spans="1:5">
      <c r="A759" t="s">
        <v>1048</v>
      </c>
      <c r="B759" s="198">
        <f t="shared" si="22"/>
        <v>9575</v>
      </c>
      <c r="C759">
        <f t="shared" si="23"/>
        <v>50267587</v>
      </c>
      <c r="E759" t="str">
        <f>IF(ISERROR(MATCH(C759,Sales!$D$3:$D$1000,0)),"","Used")</f>
        <v/>
      </c>
    </row>
    <row r="760" spans="1:5">
      <c r="A760" t="s">
        <v>1049</v>
      </c>
      <c r="B760" s="198">
        <f t="shared" si="22"/>
        <v>9575</v>
      </c>
      <c r="C760">
        <f t="shared" si="23"/>
        <v>50267595</v>
      </c>
      <c r="E760" t="str">
        <f>IF(ISERROR(MATCH(C760,Sales!$D$3:$D$1000,0)),"","Used")</f>
        <v/>
      </c>
    </row>
    <row r="761" spans="1:5">
      <c r="A761" t="s">
        <v>1050</v>
      </c>
      <c r="B761" s="198">
        <f t="shared" si="22"/>
        <v>9575</v>
      </c>
      <c r="C761">
        <f t="shared" si="23"/>
        <v>50267603</v>
      </c>
      <c r="E761" t="str">
        <f>IF(ISERROR(MATCH(C761,Sales!$D$3:$D$1000,0)),"","Used")</f>
        <v/>
      </c>
    </row>
    <row r="762" spans="1:5">
      <c r="A762" t="s">
        <v>1051</v>
      </c>
      <c r="B762" s="198">
        <f t="shared" si="22"/>
        <v>9575</v>
      </c>
      <c r="C762">
        <f t="shared" si="23"/>
        <v>50267611</v>
      </c>
      <c r="E762" t="str">
        <f>IF(ISERROR(MATCH(C762,Sales!$D$3:$D$1000,0)),"","Used")</f>
        <v/>
      </c>
    </row>
    <row r="763" spans="1:5">
      <c r="A763" t="s">
        <v>1052</v>
      </c>
      <c r="B763" s="198">
        <f t="shared" si="22"/>
        <v>9575</v>
      </c>
      <c r="C763">
        <f t="shared" si="23"/>
        <v>50267629</v>
      </c>
      <c r="E763" t="str">
        <f>IF(ISERROR(MATCH(C763,Sales!$D$3:$D$1000,0)),"","Used")</f>
        <v/>
      </c>
    </row>
    <row r="764" spans="1:5">
      <c r="A764" t="s">
        <v>1053</v>
      </c>
      <c r="B764" s="198">
        <f t="shared" si="22"/>
        <v>9575</v>
      </c>
      <c r="C764">
        <f t="shared" si="23"/>
        <v>50267637</v>
      </c>
      <c r="E764" t="str">
        <f>IF(ISERROR(MATCH(C764,Sales!$D$3:$D$1000,0)),"","Used")</f>
        <v/>
      </c>
    </row>
    <row r="765" spans="1:5">
      <c r="A765" t="s">
        <v>1054</v>
      </c>
      <c r="B765" s="198">
        <f t="shared" si="22"/>
        <v>9575</v>
      </c>
      <c r="C765">
        <f t="shared" si="23"/>
        <v>50267645</v>
      </c>
      <c r="E765" t="str">
        <f>IF(ISERROR(MATCH(C765,Sales!$D$3:$D$1000,0)),"","Used")</f>
        <v/>
      </c>
    </row>
    <row r="766" spans="1:5">
      <c r="A766" t="s">
        <v>1055</v>
      </c>
      <c r="B766" s="198">
        <f t="shared" si="22"/>
        <v>9575</v>
      </c>
      <c r="C766">
        <f t="shared" si="23"/>
        <v>50267652</v>
      </c>
      <c r="E766" t="str">
        <f>IF(ISERROR(MATCH(C766,Sales!$D$3:$D$1000,0)),"","Used")</f>
        <v/>
      </c>
    </row>
    <row r="767" spans="1:5">
      <c r="A767" t="s">
        <v>1056</v>
      </c>
      <c r="B767" s="198">
        <f t="shared" si="22"/>
        <v>9575</v>
      </c>
      <c r="C767">
        <f t="shared" si="23"/>
        <v>50267660</v>
      </c>
      <c r="E767" t="str">
        <f>IF(ISERROR(MATCH(C767,Sales!$D$3:$D$1000,0)),"","Used")</f>
        <v/>
      </c>
    </row>
    <row r="768" spans="1:5">
      <c r="A768" t="s">
        <v>1057</v>
      </c>
      <c r="B768" s="198">
        <f t="shared" si="22"/>
        <v>9575</v>
      </c>
      <c r="C768">
        <f t="shared" si="23"/>
        <v>50267678</v>
      </c>
      <c r="E768" t="str">
        <f>IF(ISERROR(MATCH(C768,Sales!$D$3:$D$1000,0)),"","Used")</f>
        <v/>
      </c>
    </row>
    <row r="769" spans="1:5">
      <c r="A769" t="s">
        <v>1058</v>
      </c>
      <c r="B769" s="198">
        <f t="shared" si="22"/>
        <v>9575</v>
      </c>
      <c r="C769">
        <f t="shared" si="23"/>
        <v>50267686</v>
      </c>
      <c r="E769" t="str">
        <f>IF(ISERROR(MATCH(C769,Sales!$D$3:$D$1000,0)),"","Used")</f>
        <v/>
      </c>
    </row>
    <row r="770" spans="1:5">
      <c r="A770" t="s">
        <v>1059</v>
      </c>
      <c r="B770" s="198">
        <f t="shared" si="22"/>
        <v>9575</v>
      </c>
      <c r="C770">
        <f t="shared" si="23"/>
        <v>50267694</v>
      </c>
      <c r="E770" t="str">
        <f>IF(ISERROR(MATCH(C770,Sales!$D$3:$D$1000,0)),"","Used")</f>
        <v/>
      </c>
    </row>
    <row r="771" spans="1:5">
      <c r="A771" t="s">
        <v>1060</v>
      </c>
      <c r="B771" s="198">
        <f t="shared" si="22"/>
        <v>9575</v>
      </c>
      <c r="C771">
        <f t="shared" si="23"/>
        <v>50267702</v>
      </c>
      <c r="E771" t="str">
        <f>IF(ISERROR(MATCH(C771,Sales!$D$3:$D$1000,0)),"","Used")</f>
        <v/>
      </c>
    </row>
    <row r="772" spans="1:5">
      <c r="A772" t="s">
        <v>1061</v>
      </c>
      <c r="B772" s="198">
        <f t="shared" ref="B772:B835" si="24">VALUE(LEFT(A772,4))</f>
        <v>9575</v>
      </c>
      <c r="C772">
        <f t="shared" ref="C772:C835" si="25">VALUE(RIGHT(A772,8))</f>
        <v>50267710</v>
      </c>
      <c r="E772" t="str">
        <f>IF(ISERROR(MATCH(C772,Sales!$D$3:$D$1000,0)),"","Used")</f>
        <v/>
      </c>
    </row>
    <row r="773" spans="1:5">
      <c r="A773" t="s">
        <v>1062</v>
      </c>
      <c r="B773" s="198">
        <f t="shared" si="24"/>
        <v>9575</v>
      </c>
      <c r="C773">
        <f t="shared" si="25"/>
        <v>50267728</v>
      </c>
      <c r="E773" t="str">
        <f>IF(ISERROR(MATCH(C773,Sales!$D$3:$D$1000,0)),"","Used")</f>
        <v/>
      </c>
    </row>
    <row r="774" spans="1:5">
      <c r="A774" t="s">
        <v>1063</v>
      </c>
      <c r="B774" s="198">
        <f t="shared" si="24"/>
        <v>9575</v>
      </c>
      <c r="C774">
        <f t="shared" si="25"/>
        <v>50267736</v>
      </c>
      <c r="E774" t="str">
        <f>IF(ISERROR(MATCH(C774,Sales!$D$3:$D$1000,0)),"","Used")</f>
        <v/>
      </c>
    </row>
    <row r="775" spans="1:5">
      <c r="A775" t="s">
        <v>1064</v>
      </c>
      <c r="B775" s="198">
        <f t="shared" si="24"/>
        <v>9575</v>
      </c>
      <c r="C775">
        <f t="shared" si="25"/>
        <v>50267744</v>
      </c>
      <c r="E775" t="str">
        <f>IF(ISERROR(MATCH(C775,Sales!$D$3:$D$1000,0)),"","Used")</f>
        <v/>
      </c>
    </row>
    <row r="776" spans="1:5">
      <c r="A776" t="s">
        <v>1065</v>
      </c>
      <c r="B776" s="198">
        <f t="shared" si="24"/>
        <v>9575</v>
      </c>
      <c r="C776">
        <f t="shared" si="25"/>
        <v>50267751</v>
      </c>
      <c r="E776" t="str">
        <f>IF(ISERROR(MATCH(C776,Sales!$D$3:$D$1000,0)),"","Used")</f>
        <v/>
      </c>
    </row>
    <row r="777" spans="1:5">
      <c r="A777" t="s">
        <v>1066</v>
      </c>
      <c r="B777" s="198">
        <f t="shared" si="24"/>
        <v>9575</v>
      </c>
      <c r="C777">
        <f t="shared" si="25"/>
        <v>50267769</v>
      </c>
      <c r="E777" t="str">
        <f>IF(ISERROR(MATCH(C777,Sales!$D$3:$D$1000,0)),"","Used")</f>
        <v/>
      </c>
    </row>
    <row r="778" spans="1:5">
      <c r="A778" t="s">
        <v>1067</v>
      </c>
      <c r="B778" s="198">
        <f t="shared" si="24"/>
        <v>9575</v>
      </c>
      <c r="C778">
        <f t="shared" si="25"/>
        <v>50267777</v>
      </c>
      <c r="E778" t="str">
        <f>IF(ISERROR(MATCH(C778,Sales!$D$3:$D$1000,0)),"","Used")</f>
        <v/>
      </c>
    </row>
    <row r="779" spans="1:5">
      <c r="A779" t="s">
        <v>1068</v>
      </c>
      <c r="B779" s="198">
        <f t="shared" si="24"/>
        <v>9575</v>
      </c>
      <c r="C779">
        <f t="shared" si="25"/>
        <v>50267785</v>
      </c>
      <c r="E779" t="str">
        <f>IF(ISERROR(MATCH(C779,Sales!$D$3:$D$1000,0)),"","Used")</f>
        <v/>
      </c>
    </row>
    <row r="780" spans="1:5">
      <c r="A780" t="s">
        <v>1069</v>
      </c>
      <c r="B780" s="198">
        <f t="shared" si="24"/>
        <v>9575</v>
      </c>
      <c r="C780">
        <f t="shared" si="25"/>
        <v>50267793</v>
      </c>
      <c r="E780" t="str">
        <f>IF(ISERROR(MATCH(C780,Sales!$D$3:$D$1000,0)),"","Used")</f>
        <v/>
      </c>
    </row>
    <row r="781" spans="1:5">
      <c r="A781" t="s">
        <v>1070</v>
      </c>
      <c r="B781" s="198">
        <f t="shared" si="24"/>
        <v>9575</v>
      </c>
      <c r="C781">
        <f t="shared" si="25"/>
        <v>50267801</v>
      </c>
      <c r="E781" t="str">
        <f>IF(ISERROR(MATCH(C781,Sales!$D$3:$D$1000,0)),"","Used")</f>
        <v/>
      </c>
    </row>
    <row r="782" spans="1:5">
      <c r="A782" t="s">
        <v>1071</v>
      </c>
      <c r="B782" s="198">
        <f t="shared" si="24"/>
        <v>9575</v>
      </c>
      <c r="C782">
        <f t="shared" si="25"/>
        <v>50267819</v>
      </c>
      <c r="E782" t="str">
        <f>IF(ISERROR(MATCH(C782,Sales!$D$3:$D$1000,0)),"","Used")</f>
        <v/>
      </c>
    </row>
    <row r="783" spans="1:5">
      <c r="A783" t="s">
        <v>1072</v>
      </c>
      <c r="B783" s="198">
        <f t="shared" si="24"/>
        <v>9575</v>
      </c>
      <c r="C783">
        <f t="shared" si="25"/>
        <v>50267827</v>
      </c>
      <c r="E783" t="str">
        <f>IF(ISERROR(MATCH(C783,Sales!$D$3:$D$1000,0)),"","Used")</f>
        <v/>
      </c>
    </row>
    <row r="784" spans="1:5">
      <c r="A784" t="s">
        <v>1073</v>
      </c>
      <c r="B784" s="198">
        <f t="shared" si="24"/>
        <v>9575</v>
      </c>
      <c r="C784">
        <f t="shared" si="25"/>
        <v>50267835</v>
      </c>
      <c r="E784" t="str">
        <f>IF(ISERROR(MATCH(C784,Sales!$D$3:$D$1000,0)),"","Used")</f>
        <v/>
      </c>
    </row>
    <row r="785" spans="1:5">
      <c r="A785" t="s">
        <v>1074</v>
      </c>
      <c r="B785" s="198">
        <f t="shared" si="24"/>
        <v>9575</v>
      </c>
      <c r="C785">
        <f t="shared" si="25"/>
        <v>50267843</v>
      </c>
      <c r="E785" t="str">
        <f>IF(ISERROR(MATCH(C785,Sales!$D$3:$D$1000,0)),"","Used")</f>
        <v/>
      </c>
    </row>
    <row r="786" spans="1:5">
      <c r="A786" t="s">
        <v>1075</v>
      </c>
      <c r="B786" s="198">
        <f t="shared" si="24"/>
        <v>9575</v>
      </c>
      <c r="C786">
        <f t="shared" si="25"/>
        <v>50267850</v>
      </c>
      <c r="E786" t="str">
        <f>IF(ISERROR(MATCH(C786,Sales!$D$3:$D$1000,0)),"","Used")</f>
        <v/>
      </c>
    </row>
    <row r="787" spans="1:5">
      <c r="A787" t="s">
        <v>1076</v>
      </c>
      <c r="B787" s="198">
        <f t="shared" si="24"/>
        <v>9575</v>
      </c>
      <c r="C787">
        <f t="shared" si="25"/>
        <v>50267868</v>
      </c>
      <c r="E787" t="str">
        <f>IF(ISERROR(MATCH(C787,Sales!$D$3:$D$1000,0)),"","Used")</f>
        <v/>
      </c>
    </row>
    <row r="788" spans="1:5">
      <c r="A788" t="s">
        <v>1077</v>
      </c>
      <c r="B788" s="198">
        <f t="shared" si="24"/>
        <v>9575</v>
      </c>
      <c r="C788">
        <f t="shared" si="25"/>
        <v>50267876</v>
      </c>
      <c r="E788" t="str">
        <f>IF(ISERROR(MATCH(C788,Sales!$D$3:$D$1000,0)),"","Used")</f>
        <v/>
      </c>
    </row>
    <row r="789" spans="1:5">
      <c r="A789" t="s">
        <v>1078</v>
      </c>
      <c r="B789" s="198">
        <f t="shared" si="24"/>
        <v>9575</v>
      </c>
      <c r="C789">
        <f t="shared" si="25"/>
        <v>50267884</v>
      </c>
      <c r="E789" t="str">
        <f>IF(ISERROR(MATCH(C789,Sales!$D$3:$D$1000,0)),"","Used")</f>
        <v/>
      </c>
    </row>
    <row r="790" spans="1:5">
      <c r="A790" t="s">
        <v>1079</v>
      </c>
      <c r="B790" s="198">
        <f t="shared" si="24"/>
        <v>9575</v>
      </c>
      <c r="C790">
        <f t="shared" si="25"/>
        <v>50267892</v>
      </c>
      <c r="E790" t="str">
        <f>IF(ISERROR(MATCH(C790,Sales!$D$3:$D$1000,0)),"","Used")</f>
        <v/>
      </c>
    </row>
    <row r="791" spans="1:5">
      <c r="A791" t="s">
        <v>1080</v>
      </c>
      <c r="B791" s="198">
        <f t="shared" si="24"/>
        <v>9575</v>
      </c>
      <c r="C791">
        <f t="shared" si="25"/>
        <v>50267900</v>
      </c>
      <c r="E791" t="str">
        <f>IF(ISERROR(MATCH(C791,Sales!$D$3:$D$1000,0)),"","Used")</f>
        <v/>
      </c>
    </row>
    <row r="792" spans="1:5">
      <c r="A792" t="s">
        <v>1081</v>
      </c>
      <c r="B792" s="198">
        <f t="shared" si="24"/>
        <v>9575</v>
      </c>
      <c r="C792">
        <f t="shared" si="25"/>
        <v>50267918</v>
      </c>
      <c r="E792" t="str">
        <f>IF(ISERROR(MATCH(C792,Sales!$D$3:$D$1000,0)),"","Used")</f>
        <v/>
      </c>
    </row>
    <row r="793" spans="1:5">
      <c r="A793" t="s">
        <v>1082</v>
      </c>
      <c r="B793" s="198">
        <f t="shared" si="24"/>
        <v>9575</v>
      </c>
      <c r="C793">
        <f t="shared" si="25"/>
        <v>50267926</v>
      </c>
      <c r="E793" t="str">
        <f>IF(ISERROR(MATCH(C793,Sales!$D$3:$D$1000,0)),"","Used")</f>
        <v/>
      </c>
    </row>
    <row r="794" spans="1:5">
      <c r="A794" t="s">
        <v>1083</v>
      </c>
      <c r="B794" s="198">
        <f t="shared" si="24"/>
        <v>9575</v>
      </c>
      <c r="C794">
        <f t="shared" si="25"/>
        <v>50267934</v>
      </c>
      <c r="E794" t="str">
        <f>IF(ISERROR(MATCH(C794,Sales!$D$3:$D$1000,0)),"","Used")</f>
        <v/>
      </c>
    </row>
    <row r="795" spans="1:5">
      <c r="A795" t="s">
        <v>1084</v>
      </c>
      <c r="B795" s="198">
        <f t="shared" si="24"/>
        <v>9575</v>
      </c>
      <c r="C795">
        <f t="shared" si="25"/>
        <v>50267942</v>
      </c>
      <c r="E795" t="str">
        <f>IF(ISERROR(MATCH(C795,Sales!$D$3:$D$1000,0)),"","Used")</f>
        <v/>
      </c>
    </row>
    <row r="796" spans="1:5">
      <c r="A796" t="s">
        <v>1085</v>
      </c>
      <c r="B796" s="198">
        <f t="shared" si="24"/>
        <v>9575</v>
      </c>
      <c r="C796">
        <f t="shared" si="25"/>
        <v>50267959</v>
      </c>
      <c r="E796" t="str">
        <f>IF(ISERROR(MATCH(C796,Sales!$D$3:$D$1000,0)),"","Used")</f>
        <v/>
      </c>
    </row>
    <row r="797" spans="1:5">
      <c r="A797" t="s">
        <v>1086</v>
      </c>
      <c r="B797" s="198">
        <f t="shared" si="24"/>
        <v>9575</v>
      </c>
      <c r="C797">
        <f t="shared" si="25"/>
        <v>50267967</v>
      </c>
      <c r="E797" t="str">
        <f>IF(ISERROR(MATCH(C797,Sales!$D$3:$D$1000,0)),"","Used")</f>
        <v/>
      </c>
    </row>
    <row r="798" spans="1:5">
      <c r="A798" t="s">
        <v>1087</v>
      </c>
      <c r="B798" s="198">
        <f t="shared" si="24"/>
        <v>9575</v>
      </c>
      <c r="C798">
        <f t="shared" si="25"/>
        <v>50267975</v>
      </c>
      <c r="E798" t="str">
        <f>IF(ISERROR(MATCH(C798,Sales!$D$3:$D$1000,0)),"","Used")</f>
        <v/>
      </c>
    </row>
    <row r="799" spans="1:5">
      <c r="A799" t="s">
        <v>1088</v>
      </c>
      <c r="B799" s="198">
        <f t="shared" si="24"/>
        <v>9575</v>
      </c>
      <c r="C799">
        <f t="shared" si="25"/>
        <v>50267983</v>
      </c>
      <c r="E799" t="str">
        <f>IF(ISERROR(MATCH(C799,Sales!$D$3:$D$1000,0)),"","Used")</f>
        <v/>
      </c>
    </row>
    <row r="800" spans="1:5">
      <c r="A800" t="s">
        <v>1089</v>
      </c>
      <c r="B800" s="198">
        <f t="shared" si="24"/>
        <v>9575</v>
      </c>
      <c r="C800">
        <f t="shared" si="25"/>
        <v>50267991</v>
      </c>
      <c r="E800" t="str">
        <f>IF(ISERROR(MATCH(C800,Sales!$D$3:$D$1000,0)),"","Used")</f>
        <v/>
      </c>
    </row>
    <row r="801" spans="1:5">
      <c r="A801" t="s">
        <v>1090</v>
      </c>
      <c r="B801" s="198">
        <f t="shared" si="24"/>
        <v>9575</v>
      </c>
      <c r="C801">
        <f t="shared" si="25"/>
        <v>50268007</v>
      </c>
      <c r="E801" t="str">
        <f>IF(ISERROR(MATCH(C801,Sales!$D$3:$D$1000,0)),"","Used")</f>
        <v/>
      </c>
    </row>
    <row r="802" spans="1:5">
      <c r="A802" t="s">
        <v>1091</v>
      </c>
      <c r="B802" s="198">
        <f t="shared" si="24"/>
        <v>9575</v>
      </c>
      <c r="C802">
        <f t="shared" si="25"/>
        <v>50268015</v>
      </c>
      <c r="E802" t="str">
        <f>IF(ISERROR(MATCH(C802,Sales!$D$3:$D$1000,0)),"","Used")</f>
        <v/>
      </c>
    </row>
    <row r="803" spans="1:5">
      <c r="A803" t="s">
        <v>1092</v>
      </c>
      <c r="B803" s="198">
        <f t="shared" si="24"/>
        <v>9575</v>
      </c>
      <c r="C803">
        <f t="shared" si="25"/>
        <v>50268023</v>
      </c>
      <c r="E803" t="str">
        <f>IF(ISERROR(MATCH(C803,Sales!$D$3:$D$1000,0)),"","Used")</f>
        <v/>
      </c>
    </row>
    <row r="804" spans="1:5">
      <c r="A804" t="s">
        <v>1093</v>
      </c>
      <c r="B804" s="198">
        <f t="shared" si="24"/>
        <v>9575</v>
      </c>
      <c r="C804">
        <f t="shared" si="25"/>
        <v>50268031</v>
      </c>
      <c r="E804" t="str">
        <f>IF(ISERROR(MATCH(C804,Sales!$D$3:$D$1000,0)),"","Used")</f>
        <v/>
      </c>
    </row>
    <row r="805" spans="1:5">
      <c r="A805" t="s">
        <v>1094</v>
      </c>
      <c r="B805" s="198">
        <f t="shared" si="24"/>
        <v>9575</v>
      </c>
      <c r="C805">
        <f t="shared" si="25"/>
        <v>50268049</v>
      </c>
      <c r="E805" t="str">
        <f>IF(ISERROR(MATCH(C805,Sales!$D$3:$D$1000,0)),"","Used")</f>
        <v/>
      </c>
    </row>
    <row r="806" spans="1:5">
      <c r="A806" t="s">
        <v>1095</v>
      </c>
      <c r="B806" s="198">
        <f t="shared" si="24"/>
        <v>9575</v>
      </c>
      <c r="C806">
        <f t="shared" si="25"/>
        <v>50268056</v>
      </c>
      <c r="E806" t="str">
        <f>IF(ISERROR(MATCH(C806,Sales!$D$3:$D$1000,0)),"","Used")</f>
        <v/>
      </c>
    </row>
    <row r="807" spans="1:5">
      <c r="A807" t="s">
        <v>1096</v>
      </c>
      <c r="B807" s="198">
        <f t="shared" si="24"/>
        <v>9575</v>
      </c>
      <c r="C807">
        <f t="shared" si="25"/>
        <v>50268064</v>
      </c>
      <c r="E807" t="str">
        <f>IF(ISERROR(MATCH(C807,Sales!$D$3:$D$1000,0)),"","Used")</f>
        <v/>
      </c>
    </row>
    <row r="808" spans="1:5">
      <c r="A808" t="s">
        <v>1097</v>
      </c>
      <c r="B808" s="198">
        <f t="shared" si="24"/>
        <v>9575</v>
      </c>
      <c r="C808">
        <f t="shared" si="25"/>
        <v>50268072</v>
      </c>
      <c r="E808" t="str">
        <f>IF(ISERROR(MATCH(C808,Sales!$D$3:$D$1000,0)),"","Used")</f>
        <v/>
      </c>
    </row>
    <row r="809" spans="1:5">
      <c r="A809" t="s">
        <v>1098</v>
      </c>
      <c r="B809" s="198">
        <f t="shared" si="24"/>
        <v>9575</v>
      </c>
      <c r="C809">
        <f t="shared" si="25"/>
        <v>50268080</v>
      </c>
      <c r="E809" t="str">
        <f>IF(ISERROR(MATCH(C809,Sales!$D$3:$D$1000,0)),"","Used")</f>
        <v/>
      </c>
    </row>
    <row r="810" spans="1:5">
      <c r="A810" t="s">
        <v>1099</v>
      </c>
      <c r="B810" s="198">
        <f t="shared" si="24"/>
        <v>9575</v>
      </c>
      <c r="C810">
        <f t="shared" si="25"/>
        <v>50268098</v>
      </c>
      <c r="E810" t="str">
        <f>IF(ISERROR(MATCH(C810,Sales!$D$3:$D$1000,0)),"","Used")</f>
        <v/>
      </c>
    </row>
    <row r="811" spans="1:5">
      <c r="A811" t="s">
        <v>1100</v>
      </c>
      <c r="B811" s="198">
        <f t="shared" si="24"/>
        <v>9575</v>
      </c>
      <c r="C811">
        <f t="shared" si="25"/>
        <v>50268106</v>
      </c>
      <c r="E811" t="str">
        <f>IF(ISERROR(MATCH(C811,Sales!$D$3:$D$1000,0)),"","Used")</f>
        <v/>
      </c>
    </row>
    <row r="812" spans="1:5">
      <c r="A812" t="s">
        <v>1101</v>
      </c>
      <c r="B812" s="198">
        <f t="shared" si="24"/>
        <v>9575</v>
      </c>
      <c r="C812">
        <f t="shared" si="25"/>
        <v>50268114</v>
      </c>
      <c r="E812" t="str">
        <f>IF(ISERROR(MATCH(C812,Sales!$D$3:$D$1000,0)),"","Used")</f>
        <v/>
      </c>
    </row>
    <row r="813" spans="1:5">
      <c r="A813" t="s">
        <v>1102</v>
      </c>
      <c r="B813" s="198">
        <f t="shared" si="24"/>
        <v>9575</v>
      </c>
      <c r="C813">
        <f t="shared" si="25"/>
        <v>50268122</v>
      </c>
      <c r="E813" t="str">
        <f>IF(ISERROR(MATCH(C813,Sales!$D$3:$D$1000,0)),"","Used")</f>
        <v/>
      </c>
    </row>
    <row r="814" spans="1:5">
      <c r="A814" t="s">
        <v>1103</v>
      </c>
      <c r="B814" s="198">
        <f t="shared" si="24"/>
        <v>9575</v>
      </c>
      <c r="C814">
        <f t="shared" si="25"/>
        <v>50268130</v>
      </c>
      <c r="E814" t="str">
        <f>IF(ISERROR(MATCH(C814,Sales!$D$3:$D$1000,0)),"","Used")</f>
        <v/>
      </c>
    </row>
    <row r="815" spans="1:5">
      <c r="A815" t="s">
        <v>1104</v>
      </c>
      <c r="B815" s="198">
        <f t="shared" si="24"/>
        <v>9575</v>
      </c>
      <c r="C815">
        <f t="shared" si="25"/>
        <v>50268148</v>
      </c>
      <c r="E815" t="str">
        <f>IF(ISERROR(MATCH(C815,Sales!$D$3:$D$1000,0)),"","Used")</f>
        <v/>
      </c>
    </row>
    <row r="816" spans="1:5">
      <c r="A816" t="s">
        <v>1105</v>
      </c>
      <c r="B816" s="198">
        <f t="shared" si="24"/>
        <v>9575</v>
      </c>
      <c r="C816">
        <f t="shared" si="25"/>
        <v>50268155</v>
      </c>
      <c r="E816" t="str">
        <f>IF(ISERROR(MATCH(C816,Sales!$D$3:$D$1000,0)),"","Used")</f>
        <v/>
      </c>
    </row>
    <row r="817" spans="1:5">
      <c r="A817" t="s">
        <v>1106</v>
      </c>
      <c r="B817" s="198">
        <f t="shared" si="24"/>
        <v>9575</v>
      </c>
      <c r="C817">
        <f t="shared" si="25"/>
        <v>50268163</v>
      </c>
      <c r="E817" t="str">
        <f>IF(ISERROR(MATCH(C817,Sales!$D$3:$D$1000,0)),"","Used")</f>
        <v/>
      </c>
    </row>
    <row r="818" spans="1:5">
      <c r="A818" t="s">
        <v>1107</v>
      </c>
      <c r="B818" s="198">
        <f t="shared" si="24"/>
        <v>9575</v>
      </c>
      <c r="C818">
        <f t="shared" si="25"/>
        <v>50268171</v>
      </c>
      <c r="E818" t="str">
        <f>IF(ISERROR(MATCH(C818,Sales!$D$3:$D$1000,0)),"","Used")</f>
        <v/>
      </c>
    </row>
    <row r="819" spans="1:5">
      <c r="A819" t="s">
        <v>1108</v>
      </c>
      <c r="B819" s="198">
        <f t="shared" si="24"/>
        <v>9575</v>
      </c>
      <c r="C819">
        <f t="shared" si="25"/>
        <v>50268189</v>
      </c>
      <c r="E819" t="str">
        <f>IF(ISERROR(MATCH(C819,Sales!$D$3:$D$1000,0)),"","Used")</f>
        <v/>
      </c>
    </row>
    <row r="820" spans="1:5">
      <c r="A820" t="s">
        <v>1109</v>
      </c>
      <c r="B820" s="198">
        <f t="shared" si="24"/>
        <v>9575</v>
      </c>
      <c r="C820">
        <f t="shared" si="25"/>
        <v>50268197</v>
      </c>
      <c r="E820" t="str">
        <f>IF(ISERROR(MATCH(C820,Sales!$D$3:$D$1000,0)),"","Used")</f>
        <v/>
      </c>
    </row>
    <row r="821" spans="1:5">
      <c r="A821" t="s">
        <v>1110</v>
      </c>
      <c r="B821" s="198">
        <f t="shared" si="24"/>
        <v>9575</v>
      </c>
      <c r="C821">
        <f t="shared" si="25"/>
        <v>50268205</v>
      </c>
      <c r="E821" t="str">
        <f>IF(ISERROR(MATCH(C821,Sales!$D$3:$D$1000,0)),"","Used")</f>
        <v/>
      </c>
    </row>
    <row r="822" spans="1:5">
      <c r="A822" t="s">
        <v>1111</v>
      </c>
      <c r="B822" s="198">
        <f t="shared" si="24"/>
        <v>9575</v>
      </c>
      <c r="C822">
        <f t="shared" si="25"/>
        <v>50268213</v>
      </c>
      <c r="E822" t="str">
        <f>IF(ISERROR(MATCH(C822,Sales!$D$3:$D$1000,0)),"","Used")</f>
        <v/>
      </c>
    </row>
    <row r="823" spans="1:5">
      <c r="A823" t="s">
        <v>1112</v>
      </c>
      <c r="B823" s="198">
        <f t="shared" si="24"/>
        <v>9575</v>
      </c>
      <c r="C823">
        <f t="shared" si="25"/>
        <v>50268221</v>
      </c>
      <c r="E823" t="str">
        <f>IF(ISERROR(MATCH(C823,Sales!$D$3:$D$1000,0)),"","Used")</f>
        <v/>
      </c>
    </row>
    <row r="824" spans="1:5">
      <c r="A824" t="s">
        <v>1113</v>
      </c>
      <c r="B824" s="198">
        <f t="shared" si="24"/>
        <v>9575</v>
      </c>
      <c r="C824">
        <f t="shared" si="25"/>
        <v>50268239</v>
      </c>
      <c r="E824" t="str">
        <f>IF(ISERROR(MATCH(C824,Sales!$D$3:$D$1000,0)),"","Used")</f>
        <v/>
      </c>
    </row>
    <row r="825" spans="1:5">
      <c r="A825" t="s">
        <v>1114</v>
      </c>
      <c r="B825" s="198">
        <f t="shared" si="24"/>
        <v>9575</v>
      </c>
      <c r="C825">
        <f t="shared" si="25"/>
        <v>50268247</v>
      </c>
      <c r="E825" t="str">
        <f>IF(ISERROR(MATCH(C825,Sales!$D$3:$D$1000,0)),"","Used")</f>
        <v/>
      </c>
    </row>
    <row r="826" spans="1:5">
      <c r="A826" t="s">
        <v>1115</v>
      </c>
      <c r="B826" s="198">
        <f t="shared" si="24"/>
        <v>9575</v>
      </c>
      <c r="C826">
        <f t="shared" si="25"/>
        <v>50268254</v>
      </c>
      <c r="E826" t="str">
        <f>IF(ISERROR(MATCH(C826,Sales!$D$3:$D$1000,0)),"","Used")</f>
        <v/>
      </c>
    </row>
    <row r="827" spans="1:5">
      <c r="A827" t="s">
        <v>1116</v>
      </c>
      <c r="B827" s="198">
        <f t="shared" si="24"/>
        <v>9575</v>
      </c>
      <c r="C827">
        <f t="shared" si="25"/>
        <v>50268262</v>
      </c>
      <c r="E827" t="str">
        <f>IF(ISERROR(MATCH(C827,Sales!$D$3:$D$1000,0)),"","Used")</f>
        <v/>
      </c>
    </row>
    <row r="828" spans="1:5">
      <c r="A828" t="s">
        <v>1117</v>
      </c>
      <c r="B828" s="198">
        <f t="shared" si="24"/>
        <v>9575</v>
      </c>
      <c r="C828">
        <f t="shared" si="25"/>
        <v>50268270</v>
      </c>
      <c r="E828" t="str">
        <f>IF(ISERROR(MATCH(C828,Sales!$D$3:$D$1000,0)),"","Used")</f>
        <v/>
      </c>
    </row>
    <row r="829" spans="1:5">
      <c r="A829" t="s">
        <v>1118</v>
      </c>
      <c r="B829" s="198">
        <f t="shared" si="24"/>
        <v>9575</v>
      </c>
      <c r="C829">
        <f t="shared" si="25"/>
        <v>50268288</v>
      </c>
      <c r="E829" t="str">
        <f>IF(ISERROR(MATCH(C829,Sales!$D$3:$D$1000,0)),"","Used")</f>
        <v/>
      </c>
    </row>
    <row r="830" spans="1:5">
      <c r="A830" t="s">
        <v>1119</v>
      </c>
      <c r="B830" s="198">
        <f t="shared" si="24"/>
        <v>9575</v>
      </c>
      <c r="C830">
        <f t="shared" si="25"/>
        <v>50268296</v>
      </c>
      <c r="E830" t="str">
        <f>IF(ISERROR(MATCH(C830,Sales!$D$3:$D$1000,0)),"","Used")</f>
        <v/>
      </c>
    </row>
    <row r="831" spans="1:5">
      <c r="A831" t="s">
        <v>1120</v>
      </c>
      <c r="B831" s="198">
        <f t="shared" si="24"/>
        <v>9575</v>
      </c>
      <c r="C831">
        <f t="shared" si="25"/>
        <v>50268304</v>
      </c>
      <c r="E831" t="str">
        <f>IF(ISERROR(MATCH(C831,Sales!$D$3:$D$1000,0)),"","Used")</f>
        <v/>
      </c>
    </row>
    <row r="832" spans="1:5">
      <c r="A832" t="s">
        <v>1121</v>
      </c>
      <c r="B832" s="198">
        <f t="shared" si="24"/>
        <v>9575</v>
      </c>
      <c r="C832">
        <f t="shared" si="25"/>
        <v>50268312</v>
      </c>
      <c r="E832" t="str">
        <f>IF(ISERROR(MATCH(C832,Sales!$D$3:$D$1000,0)),"","Used")</f>
        <v/>
      </c>
    </row>
    <row r="833" spans="1:5">
      <c r="A833" t="s">
        <v>1122</v>
      </c>
      <c r="B833" s="198">
        <f t="shared" si="24"/>
        <v>9575</v>
      </c>
      <c r="C833">
        <f t="shared" si="25"/>
        <v>50268320</v>
      </c>
      <c r="E833" t="str">
        <f>IF(ISERROR(MATCH(C833,Sales!$D$3:$D$1000,0)),"","Used")</f>
        <v/>
      </c>
    </row>
    <row r="834" spans="1:5">
      <c r="A834" t="s">
        <v>1123</v>
      </c>
      <c r="B834" s="198">
        <f t="shared" si="24"/>
        <v>9575</v>
      </c>
      <c r="C834">
        <f t="shared" si="25"/>
        <v>50268338</v>
      </c>
      <c r="E834" t="str">
        <f>IF(ISERROR(MATCH(C834,Sales!$D$3:$D$1000,0)),"","Used")</f>
        <v/>
      </c>
    </row>
    <row r="835" spans="1:5">
      <c r="A835" t="s">
        <v>1124</v>
      </c>
      <c r="B835" s="198">
        <f t="shared" si="24"/>
        <v>9575</v>
      </c>
      <c r="C835">
        <f t="shared" si="25"/>
        <v>50268346</v>
      </c>
      <c r="E835" t="str">
        <f>IF(ISERROR(MATCH(C835,Sales!$D$3:$D$1000,0)),"","Used")</f>
        <v/>
      </c>
    </row>
    <row r="836" spans="1:5">
      <c r="A836" t="s">
        <v>1125</v>
      </c>
      <c r="B836" s="198">
        <f t="shared" ref="B836:B899" si="26">VALUE(LEFT(A836,4))</f>
        <v>9575</v>
      </c>
      <c r="C836">
        <f t="shared" ref="C836:C899" si="27">VALUE(RIGHT(A836,8))</f>
        <v>50268353</v>
      </c>
      <c r="E836" t="str">
        <f>IF(ISERROR(MATCH(C836,Sales!$D$3:$D$1000,0)),"","Used")</f>
        <v/>
      </c>
    </row>
    <row r="837" spans="1:5">
      <c r="A837" t="s">
        <v>1126</v>
      </c>
      <c r="B837" s="198">
        <f t="shared" si="26"/>
        <v>9575</v>
      </c>
      <c r="C837">
        <f t="shared" si="27"/>
        <v>50268361</v>
      </c>
      <c r="E837" t="str">
        <f>IF(ISERROR(MATCH(C837,Sales!$D$3:$D$1000,0)),"","Used")</f>
        <v/>
      </c>
    </row>
    <row r="838" spans="1:5">
      <c r="A838" t="s">
        <v>1127</v>
      </c>
      <c r="B838" s="198">
        <f t="shared" si="26"/>
        <v>9575</v>
      </c>
      <c r="C838">
        <f t="shared" si="27"/>
        <v>50268379</v>
      </c>
      <c r="E838" t="str">
        <f>IF(ISERROR(MATCH(C838,Sales!$D$3:$D$1000,0)),"","Used")</f>
        <v/>
      </c>
    </row>
    <row r="839" spans="1:5">
      <c r="A839" t="s">
        <v>1128</v>
      </c>
      <c r="B839" s="198">
        <f t="shared" si="26"/>
        <v>9575</v>
      </c>
      <c r="C839">
        <f t="shared" si="27"/>
        <v>50268387</v>
      </c>
      <c r="E839" t="str">
        <f>IF(ISERROR(MATCH(C839,Sales!$D$3:$D$1000,0)),"","Used")</f>
        <v/>
      </c>
    </row>
    <row r="840" spans="1:5">
      <c r="A840" t="s">
        <v>1129</v>
      </c>
      <c r="B840" s="198">
        <f t="shared" si="26"/>
        <v>9575</v>
      </c>
      <c r="C840">
        <f t="shared" si="27"/>
        <v>50268395</v>
      </c>
      <c r="E840" t="str">
        <f>IF(ISERROR(MATCH(C840,Sales!$D$3:$D$1000,0)),"","Used")</f>
        <v/>
      </c>
    </row>
    <row r="841" spans="1:5">
      <c r="A841" t="s">
        <v>1130</v>
      </c>
      <c r="B841" s="198">
        <f t="shared" si="26"/>
        <v>9575</v>
      </c>
      <c r="C841">
        <f t="shared" si="27"/>
        <v>50268403</v>
      </c>
      <c r="E841" t="str">
        <f>IF(ISERROR(MATCH(C841,Sales!$D$3:$D$1000,0)),"","Used")</f>
        <v/>
      </c>
    </row>
    <row r="842" spans="1:5">
      <c r="A842" t="s">
        <v>1131</v>
      </c>
      <c r="B842" s="198">
        <f t="shared" si="26"/>
        <v>9575</v>
      </c>
      <c r="C842">
        <f t="shared" si="27"/>
        <v>50268411</v>
      </c>
      <c r="E842" t="str">
        <f>IF(ISERROR(MATCH(C842,Sales!$D$3:$D$1000,0)),"","Used")</f>
        <v/>
      </c>
    </row>
    <row r="843" spans="1:5">
      <c r="A843" t="s">
        <v>1132</v>
      </c>
      <c r="B843" s="198">
        <f t="shared" si="26"/>
        <v>9575</v>
      </c>
      <c r="C843">
        <f t="shared" si="27"/>
        <v>50268429</v>
      </c>
      <c r="E843" t="str">
        <f>IF(ISERROR(MATCH(C843,Sales!$D$3:$D$1000,0)),"","Used")</f>
        <v/>
      </c>
    </row>
    <row r="844" spans="1:5">
      <c r="A844" t="s">
        <v>1133</v>
      </c>
      <c r="B844" s="198">
        <f t="shared" si="26"/>
        <v>9575</v>
      </c>
      <c r="C844">
        <f t="shared" si="27"/>
        <v>50268437</v>
      </c>
      <c r="E844" t="str">
        <f>IF(ISERROR(MATCH(C844,Sales!$D$3:$D$1000,0)),"","Used")</f>
        <v/>
      </c>
    </row>
    <row r="845" spans="1:5">
      <c r="A845" t="s">
        <v>1134</v>
      </c>
      <c r="B845" s="198">
        <f t="shared" si="26"/>
        <v>9575</v>
      </c>
      <c r="C845">
        <f t="shared" si="27"/>
        <v>50268445</v>
      </c>
      <c r="E845" t="str">
        <f>IF(ISERROR(MATCH(C845,Sales!$D$3:$D$1000,0)),"","Used")</f>
        <v/>
      </c>
    </row>
    <row r="846" spans="1:5">
      <c r="A846" t="s">
        <v>1135</v>
      </c>
      <c r="B846" s="198">
        <f t="shared" si="26"/>
        <v>9575</v>
      </c>
      <c r="C846">
        <f t="shared" si="27"/>
        <v>50268452</v>
      </c>
      <c r="E846" t="str">
        <f>IF(ISERROR(MATCH(C846,Sales!$D$3:$D$1000,0)),"","Used")</f>
        <v/>
      </c>
    </row>
    <row r="847" spans="1:5">
      <c r="A847" t="s">
        <v>1136</v>
      </c>
      <c r="B847" s="198">
        <f t="shared" si="26"/>
        <v>9575</v>
      </c>
      <c r="C847">
        <f t="shared" si="27"/>
        <v>50268460</v>
      </c>
      <c r="E847" t="str">
        <f>IF(ISERROR(MATCH(C847,Sales!$D$3:$D$1000,0)),"","Used")</f>
        <v/>
      </c>
    </row>
    <row r="848" spans="1:5">
      <c r="A848" t="s">
        <v>1137</v>
      </c>
      <c r="B848" s="198">
        <f t="shared" si="26"/>
        <v>9575</v>
      </c>
      <c r="C848">
        <f t="shared" si="27"/>
        <v>50268478</v>
      </c>
      <c r="E848" t="str">
        <f>IF(ISERROR(MATCH(C848,Sales!$D$3:$D$1000,0)),"","Used")</f>
        <v/>
      </c>
    </row>
    <row r="849" spans="1:5">
      <c r="A849" t="s">
        <v>1138</v>
      </c>
      <c r="B849" s="198">
        <f t="shared" si="26"/>
        <v>9575</v>
      </c>
      <c r="C849">
        <f t="shared" si="27"/>
        <v>50268486</v>
      </c>
      <c r="E849" t="str">
        <f>IF(ISERROR(MATCH(C849,Sales!$D$3:$D$1000,0)),"","Used")</f>
        <v/>
      </c>
    </row>
    <row r="850" spans="1:5">
      <c r="A850" t="s">
        <v>1139</v>
      </c>
      <c r="B850" s="198">
        <f t="shared" si="26"/>
        <v>9575</v>
      </c>
      <c r="C850">
        <f t="shared" si="27"/>
        <v>50268494</v>
      </c>
      <c r="E850" t="str">
        <f>IF(ISERROR(MATCH(C850,Sales!$D$3:$D$1000,0)),"","Used")</f>
        <v/>
      </c>
    </row>
    <row r="851" spans="1:5">
      <c r="A851" t="s">
        <v>1140</v>
      </c>
      <c r="B851" s="198">
        <f t="shared" si="26"/>
        <v>9575</v>
      </c>
      <c r="C851">
        <f t="shared" si="27"/>
        <v>50268502</v>
      </c>
      <c r="E851" t="str">
        <f>IF(ISERROR(MATCH(C851,Sales!$D$3:$D$1000,0)),"","Used")</f>
        <v/>
      </c>
    </row>
    <row r="852" spans="1:5">
      <c r="A852" t="s">
        <v>1141</v>
      </c>
      <c r="B852" s="198">
        <f t="shared" si="26"/>
        <v>9575</v>
      </c>
      <c r="C852">
        <f t="shared" si="27"/>
        <v>50268510</v>
      </c>
      <c r="E852" t="str">
        <f>IF(ISERROR(MATCH(C852,Sales!$D$3:$D$1000,0)),"","Used")</f>
        <v/>
      </c>
    </row>
    <row r="853" spans="1:5">
      <c r="A853" t="s">
        <v>1142</v>
      </c>
      <c r="B853" s="198">
        <f t="shared" si="26"/>
        <v>9575</v>
      </c>
      <c r="C853">
        <f t="shared" si="27"/>
        <v>50268528</v>
      </c>
      <c r="E853" t="str">
        <f>IF(ISERROR(MATCH(C853,Sales!$D$3:$D$1000,0)),"","Used")</f>
        <v/>
      </c>
    </row>
    <row r="854" spans="1:5">
      <c r="A854" t="s">
        <v>1143</v>
      </c>
      <c r="B854" s="198">
        <f t="shared" si="26"/>
        <v>9575</v>
      </c>
      <c r="C854">
        <f t="shared" si="27"/>
        <v>50268536</v>
      </c>
      <c r="E854" t="str">
        <f>IF(ISERROR(MATCH(C854,Sales!$D$3:$D$1000,0)),"","Used")</f>
        <v/>
      </c>
    </row>
    <row r="855" spans="1:5">
      <c r="A855" t="s">
        <v>1144</v>
      </c>
      <c r="B855" s="198">
        <f t="shared" si="26"/>
        <v>9575</v>
      </c>
      <c r="C855">
        <f t="shared" si="27"/>
        <v>50268544</v>
      </c>
      <c r="E855" t="str">
        <f>IF(ISERROR(MATCH(C855,Sales!$D$3:$D$1000,0)),"","Used")</f>
        <v/>
      </c>
    </row>
    <row r="856" spans="1:5">
      <c r="A856" t="s">
        <v>1145</v>
      </c>
      <c r="B856" s="198">
        <f t="shared" si="26"/>
        <v>9575</v>
      </c>
      <c r="C856">
        <f t="shared" si="27"/>
        <v>50268551</v>
      </c>
      <c r="E856" t="str">
        <f>IF(ISERROR(MATCH(C856,Sales!$D$3:$D$1000,0)),"","Used")</f>
        <v/>
      </c>
    </row>
    <row r="857" spans="1:5">
      <c r="A857" t="s">
        <v>1146</v>
      </c>
      <c r="B857" s="198">
        <f t="shared" si="26"/>
        <v>9575</v>
      </c>
      <c r="C857">
        <f t="shared" si="27"/>
        <v>50268569</v>
      </c>
      <c r="E857" t="str">
        <f>IF(ISERROR(MATCH(C857,Sales!$D$3:$D$1000,0)),"","Used")</f>
        <v/>
      </c>
    </row>
    <row r="858" spans="1:5">
      <c r="A858" t="s">
        <v>1147</v>
      </c>
      <c r="B858" s="198">
        <f t="shared" si="26"/>
        <v>9575</v>
      </c>
      <c r="C858">
        <f t="shared" si="27"/>
        <v>50268577</v>
      </c>
      <c r="E858" t="str">
        <f>IF(ISERROR(MATCH(C858,Sales!$D$3:$D$1000,0)),"","Used")</f>
        <v/>
      </c>
    </row>
    <row r="859" spans="1:5">
      <c r="A859" t="s">
        <v>1148</v>
      </c>
      <c r="B859" s="198">
        <f t="shared" si="26"/>
        <v>9575</v>
      </c>
      <c r="C859">
        <f t="shared" si="27"/>
        <v>50268585</v>
      </c>
      <c r="E859" t="str">
        <f>IF(ISERROR(MATCH(C859,Sales!$D$3:$D$1000,0)),"","Used")</f>
        <v/>
      </c>
    </row>
    <row r="860" spans="1:5">
      <c r="A860" t="s">
        <v>1149</v>
      </c>
      <c r="B860" s="198">
        <f t="shared" si="26"/>
        <v>9575</v>
      </c>
      <c r="C860">
        <f t="shared" si="27"/>
        <v>50268593</v>
      </c>
      <c r="E860" t="str">
        <f>IF(ISERROR(MATCH(C860,Sales!$D$3:$D$1000,0)),"","Used")</f>
        <v/>
      </c>
    </row>
    <row r="861" spans="1:5">
      <c r="A861" t="s">
        <v>1150</v>
      </c>
      <c r="B861" s="198">
        <f t="shared" si="26"/>
        <v>9575</v>
      </c>
      <c r="C861">
        <f t="shared" si="27"/>
        <v>50268601</v>
      </c>
      <c r="E861" t="str">
        <f>IF(ISERROR(MATCH(C861,Sales!$D$3:$D$1000,0)),"","Used")</f>
        <v/>
      </c>
    </row>
    <row r="862" spans="1:5">
      <c r="A862" t="s">
        <v>1151</v>
      </c>
      <c r="B862" s="198">
        <f t="shared" si="26"/>
        <v>9575</v>
      </c>
      <c r="C862">
        <f t="shared" si="27"/>
        <v>50268619</v>
      </c>
      <c r="E862" t="str">
        <f>IF(ISERROR(MATCH(C862,Sales!$D$3:$D$1000,0)),"","Used")</f>
        <v/>
      </c>
    </row>
    <row r="863" spans="1:5">
      <c r="A863" t="s">
        <v>1152</v>
      </c>
      <c r="B863" s="198">
        <f t="shared" si="26"/>
        <v>9575</v>
      </c>
      <c r="C863">
        <f t="shared" si="27"/>
        <v>50268627</v>
      </c>
      <c r="E863" t="str">
        <f>IF(ISERROR(MATCH(C863,Sales!$D$3:$D$1000,0)),"","Used")</f>
        <v/>
      </c>
    </row>
    <row r="864" spans="1:5">
      <c r="A864" t="s">
        <v>1153</v>
      </c>
      <c r="B864" s="198">
        <f t="shared" si="26"/>
        <v>9575</v>
      </c>
      <c r="C864">
        <f t="shared" si="27"/>
        <v>50268635</v>
      </c>
      <c r="E864" t="str">
        <f>IF(ISERROR(MATCH(C864,Sales!$D$3:$D$1000,0)),"","Used")</f>
        <v/>
      </c>
    </row>
    <row r="865" spans="1:5">
      <c r="A865" t="s">
        <v>1154</v>
      </c>
      <c r="B865" s="198">
        <f t="shared" si="26"/>
        <v>9575</v>
      </c>
      <c r="C865">
        <f t="shared" si="27"/>
        <v>50268643</v>
      </c>
      <c r="E865" t="str">
        <f>IF(ISERROR(MATCH(C865,Sales!$D$3:$D$1000,0)),"","Used")</f>
        <v/>
      </c>
    </row>
    <row r="866" spans="1:5">
      <c r="A866" t="s">
        <v>1155</v>
      </c>
      <c r="B866" s="198">
        <f t="shared" si="26"/>
        <v>9575</v>
      </c>
      <c r="C866">
        <f t="shared" si="27"/>
        <v>50268650</v>
      </c>
      <c r="E866" t="str">
        <f>IF(ISERROR(MATCH(C866,Sales!$D$3:$D$1000,0)),"","Used")</f>
        <v/>
      </c>
    </row>
    <row r="867" spans="1:5">
      <c r="A867" t="s">
        <v>1156</v>
      </c>
      <c r="B867" s="198">
        <f t="shared" si="26"/>
        <v>9575</v>
      </c>
      <c r="C867">
        <f t="shared" si="27"/>
        <v>50268668</v>
      </c>
      <c r="E867" t="str">
        <f>IF(ISERROR(MATCH(C867,Sales!$D$3:$D$1000,0)),"","Used")</f>
        <v/>
      </c>
    </row>
    <row r="868" spans="1:5">
      <c r="A868" t="s">
        <v>1157</v>
      </c>
      <c r="B868" s="198">
        <f t="shared" si="26"/>
        <v>9575</v>
      </c>
      <c r="C868">
        <f t="shared" si="27"/>
        <v>50268676</v>
      </c>
      <c r="E868" t="str">
        <f>IF(ISERROR(MATCH(C868,Sales!$D$3:$D$1000,0)),"","Used")</f>
        <v/>
      </c>
    </row>
    <row r="869" spans="1:5">
      <c r="A869" t="s">
        <v>1158</v>
      </c>
      <c r="B869" s="198">
        <f t="shared" si="26"/>
        <v>9575</v>
      </c>
      <c r="C869">
        <f t="shared" si="27"/>
        <v>50268684</v>
      </c>
      <c r="E869" t="str">
        <f>IF(ISERROR(MATCH(C869,Sales!$D$3:$D$1000,0)),"","Used")</f>
        <v/>
      </c>
    </row>
    <row r="870" spans="1:5">
      <c r="A870" t="s">
        <v>1159</v>
      </c>
      <c r="B870" s="198">
        <f t="shared" si="26"/>
        <v>9575</v>
      </c>
      <c r="C870">
        <f t="shared" si="27"/>
        <v>50268692</v>
      </c>
      <c r="E870" t="str">
        <f>IF(ISERROR(MATCH(C870,Sales!$D$3:$D$1000,0)),"","Used")</f>
        <v/>
      </c>
    </row>
    <row r="871" spans="1:5">
      <c r="A871" t="s">
        <v>1160</v>
      </c>
      <c r="B871" s="198">
        <f t="shared" si="26"/>
        <v>9575</v>
      </c>
      <c r="C871">
        <f t="shared" si="27"/>
        <v>50268700</v>
      </c>
      <c r="E871" t="str">
        <f>IF(ISERROR(MATCH(C871,Sales!$D$3:$D$1000,0)),"","Used")</f>
        <v/>
      </c>
    </row>
    <row r="872" spans="1:5">
      <c r="A872" t="s">
        <v>1161</v>
      </c>
      <c r="B872" s="198">
        <f t="shared" si="26"/>
        <v>9575</v>
      </c>
      <c r="C872">
        <f t="shared" si="27"/>
        <v>50268718</v>
      </c>
      <c r="E872" t="str">
        <f>IF(ISERROR(MATCH(C872,Sales!$D$3:$D$1000,0)),"","Used")</f>
        <v/>
      </c>
    </row>
    <row r="873" spans="1:5">
      <c r="A873" t="s">
        <v>1162</v>
      </c>
      <c r="B873" s="198">
        <f t="shared" si="26"/>
        <v>9575</v>
      </c>
      <c r="C873">
        <f t="shared" si="27"/>
        <v>50268726</v>
      </c>
      <c r="E873" t="str">
        <f>IF(ISERROR(MATCH(C873,Sales!$D$3:$D$1000,0)),"","Used")</f>
        <v/>
      </c>
    </row>
    <row r="874" spans="1:5">
      <c r="A874" t="s">
        <v>1163</v>
      </c>
      <c r="B874" s="198">
        <f t="shared" si="26"/>
        <v>9575</v>
      </c>
      <c r="C874">
        <f t="shared" si="27"/>
        <v>50268734</v>
      </c>
      <c r="E874" t="str">
        <f>IF(ISERROR(MATCH(C874,Sales!$D$3:$D$1000,0)),"","Used")</f>
        <v/>
      </c>
    </row>
    <row r="875" spans="1:5">
      <c r="A875" t="s">
        <v>1164</v>
      </c>
      <c r="B875" s="198">
        <f t="shared" si="26"/>
        <v>9575</v>
      </c>
      <c r="C875">
        <f t="shared" si="27"/>
        <v>50268742</v>
      </c>
      <c r="E875" t="str">
        <f>IF(ISERROR(MATCH(C875,Sales!$D$3:$D$1000,0)),"","Used")</f>
        <v/>
      </c>
    </row>
    <row r="876" spans="1:5">
      <c r="A876" t="s">
        <v>1165</v>
      </c>
      <c r="B876" s="198">
        <f t="shared" si="26"/>
        <v>9575</v>
      </c>
      <c r="C876">
        <f t="shared" si="27"/>
        <v>50268759</v>
      </c>
      <c r="E876" t="str">
        <f>IF(ISERROR(MATCH(C876,Sales!$D$3:$D$1000,0)),"","Used")</f>
        <v/>
      </c>
    </row>
    <row r="877" spans="1:5">
      <c r="A877" t="s">
        <v>1166</v>
      </c>
      <c r="B877" s="198">
        <f t="shared" si="26"/>
        <v>9575</v>
      </c>
      <c r="C877">
        <f t="shared" si="27"/>
        <v>50268767</v>
      </c>
      <c r="E877" t="str">
        <f>IF(ISERROR(MATCH(C877,Sales!$D$3:$D$1000,0)),"","Used")</f>
        <v/>
      </c>
    </row>
    <row r="878" spans="1:5">
      <c r="A878" t="s">
        <v>1167</v>
      </c>
      <c r="B878" s="198">
        <f t="shared" si="26"/>
        <v>9575</v>
      </c>
      <c r="C878">
        <f t="shared" si="27"/>
        <v>50268775</v>
      </c>
      <c r="E878" t="str">
        <f>IF(ISERROR(MATCH(C878,Sales!$D$3:$D$1000,0)),"","Used")</f>
        <v/>
      </c>
    </row>
    <row r="879" spans="1:5">
      <c r="A879" t="s">
        <v>1168</v>
      </c>
      <c r="B879" s="198">
        <f t="shared" si="26"/>
        <v>9575</v>
      </c>
      <c r="C879">
        <f t="shared" si="27"/>
        <v>50268783</v>
      </c>
      <c r="E879" t="str">
        <f>IF(ISERROR(MATCH(C879,Sales!$D$3:$D$1000,0)),"","Used")</f>
        <v/>
      </c>
    </row>
    <row r="880" spans="1:5">
      <c r="A880" t="s">
        <v>1169</v>
      </c>
      <c r="B880" s="198">
        <f t="shared" si="26"/>
        <v>9575</v>
      </c>
      <c r="C880">
        <f t="shared" si="27"/>
        <v>50268791</v>
      </c>
      <c r="E880" t="str">
        <f>IF(ISERROR(MATCH(C880,Sales!$D$3:$D$1000,0)),"","Used")</f>
        <v/>
      </c>
    </row>
    <row r="881" spans="1:5">
      <c r="A881" t="s">
        <v>1170</v>
      </c>
      <c r="B881" s="198">
        <f t="shared" si="26"/>
        <v>9575</v>
      </c>
      <c r="C881">
        <f t="shared" si="27"/>
        <v>50268809</v>
      </c>
      <c r="E881" t="str">
        <f>IF(ISERROR(MATCH(C881,Sales!$D$3:$D$1000,0)),"","Used")</f>
        <v/>
      </c>
    </row>
    <row r="882" spans="1:5">
      <c r="A882" t="s">
        <v>1171</v>
      </c>
      <c r="B882" s="198">
        <f t="shared" si="26"/>
        <v>9575</v>
      </c>
      <c r="C882">
        <f t="shared" si="27"/>
        <v>50268817</v>
      </c>
      <c r="E882" t="str">
        <f>IF(ISERROR(MATCH(C882,Sales!$D$3:$D$1000,0)),"","Used")</f>
        <v/>
      </c>
    </row>
    <row r="883" spans="1:5">
      <c r="A883" t="s">
        <v>1172</v>
      </c>
      <c r="B883" s="198">
        <f t="shared" si="26"/>
        <v>9575</v>
      </c>
      <c r="C883">
        <f t="shared" si="27"/>
        <v>50268825</v>
      </c>
      <c r="E883" t="str">
        <f>IF(ISERROR(MATCH(C883,Sales!$D$3:$D$1000,0)),"","Used")</f>
        <v/>
      </c>
    </row>
    <row r="884" spans="1:5">
      <c r="A884" t="s">
        <v>1173</v>
      </c>
      <c r="B884" s="198">
        <f t="shared" si="26"/>
        <v>9575</v>
      </c>
      <c r="C884">
        <f t="shared" si="27"/>
        <v>50268833</v>
      </c>
      <c r="E884" t="str">
        <f>IF(ISERROR(MATCH(C884,Sales!$D$3:$D$1000,0)),"","Used")</f>
        <v/>
      </c>
    </row>
    <row r="885" spans="1:5">
      <c r="A885" t="s">
        <v>1174</v>
      </c>
      <c r="B885" s="198">
        <f t="shared" si="26"/>
        <v>9575</v>
      </c>
      <c r="C885">
        <f t="shared" si="27"/>
        <v>50268841</v>
      </c>
      <c r="E885" t="str">
        <f>IF(ISERROR(MATCH(C885,Sales!$D$3:$D$1000,0)),"","Used")</f>
        <v/>
      </c>
    </row>
    <row r="886" spans="1:5">
      <c r="A886" t="s">
        <v>1175</v>
      </c>
      <c r="B886" s="198">
        <f t="shared" si="26"/>
        <v>9575</v>
      </c>
      <c r="C886">
        <f t="shared" si="27"/>
        <v>50268858</v>
      </c>
      <c r="E886" t="str">
        <f>IF(ISERROR(MATCH(C886,Sales!$D$3:$D$1000,0)),"","Used")</f>
        <v/>
      </c>
    </row>
    <row r="887" spans="1:5">
      <c r="A887" t="s">
        <v>1176</v>
      </c>
      <c r="B887" s="198">
        <f t="shared" si="26"/>
        <v>9575</v>
      </c>
      <c r="C887">
        <f t="shared" si="27"/>
        <v>50268866</v>
      </c>
      <c r="E887" t="str">
        <f>IF(ISERROR(MATCH(C887,Sales!$D$3:$D$1000,0)),"","Used")</f>
        <v/>
      </c>
    </row>
    <row r="888" spans="1:5">
      <c r="A888" t="s">
        <v>1177</v>
      </c>
      <c r="B888" s="198">
        <f t="shared" si="26"/>
        <v>9575</v>
      </c>
      <c r="C888">
        <f t="shared" si="27"/>
        <v>50268874</v>
      </c>
      <c r="E888" t="str">
        <f>IF(ISERROR(MATCH(C888,Sales!$D$3:$D$1000,0)),"","Used")</f>
        <v/>
      </c>
    </row>
    <row r="889" spans="1:5">
      <c r="A889" t="s">
        <v>1178</v>
      </c>
      <c r="B889" s="198">
        <f t="shared" si="26"/>
        <v>9575</v>
      </c>
      <c r="C889">
        <f t="shared" si="27"/>
        <v>50268882</v>
      </c>
      <c r="E889" t="str">
        <f>IF(ISERROR(MATCH(C889,Sales!$D$3:$D$1000,0)),"","Used")</f>
        <v/>
      </c>
    </row>
    <row r="890" spans="1:5">
      <c r="A890" t="s">
        <v>1179</v>
      </c>
      <c r="B890" s="198">
        <f t="shared" si="26"/>
        <v>9575</v>
      </c>
      <c r="C890">
        <f t="shared" si="27"/>
        <v>50268890</v>
      </c>
      <c r="E890" t="str">
        <f>IF(ISERROR(MATCH(C890,Sales!$D$3:$D$1000,0)),"","Used")</f>
        <v/>
      </c>
    </row>
    <row r="891" spans="1:5">
      <c r="A891" t="s">
        <v>1180</v>
      </c>
      <c r="B891" s="198">
        <f t="shared" si="26"/>
        <v>9575</v>
      </c>
      <c r="C891">
        <f t="shared" si="27"/>
        <v>50268908</v>
      </c>
      <c r="E891" t="str">
        <f>IF(ISERROR(MATCH(C891,Sales!$D$3:$D$1000,0)),"","Used")</f>
        <v/>
      </c>
    </row>
    <row r="892" spans="1:5">
      <c r="A892" t="s">
        <v>1181</v>
      </c>
      <c r="B892" s="198">
        <f t="shared" si="26"/>
        <v>9575</v>
      </c>
      <c r="C892">
        <f t="shared" si="27"/>
        <v>50268916</v>
      </c>
      <c r="E892" t="str">
        <f>IF(ISERROR(MATCH(C892,Sales!$D$3:$D$1000,0)),"","Used")</f>
        <v/>
      </c>
    </row>
    <row r="893" spans="1:5">
      <c r="A893" t="s">
        <v>1182</v>
      </c>
      <c r="B893" s="198">
        <f t="shared" si="26"/>
        <v>9575</v>
      </c>
      <c r="C893">
        <f t="shared" si="27"/>
        <v>50268924</v>
      </c>
      <c r="E893" t="str">
        <f>IF(ISERROR(MATCH(C893,Sales!$D$3:$D$1000,0)),"","Used")</f>
        <v/>
      </c>
    </row>
    <row r="894" spans="1:5">
      <c r="A894" t="s">
        <v>1183</v>
      </c>
      <c r="B894" s="198">
        <f t="shared" si="26"/>
        <v>9575</v>
      </c>
      <c r="C894">
        <f t="shared" si="27"/>
        <v>50268932</v>
      </c>
      <c r="E894" t="str">
        <f>IF(ISERROR(MATCH(C894,Sales!$D$3:$D$1000,0)),"","Used")</f>
        <v/>
      </c>
    </row>
    <row r="895" spans="1:5">
      <c r="A895" t="s">
        <v>1184</v>
      </c>
      <c r="B895" s="198">
        <f t="shared" si="26"/>
        <v>9575</v>
      </c>
      <c r="C895">
        <f t="shared" si="27"/>
        <v>50268940</v>
      </c>
      <c r="E895" t="str">
        <f>IF(ISERROR(MATCH(C895,Sales!$D$3:$D$1000,0)),"","Used")</f>
        <v/>
      </c>
    </row>
    <row r="896" spans="1:5">
      <c r="A896" t="s">
        <v>1185</v>
      </c>
      <c r="B896" s="198">
        <f t="shared" si="26"/>
        <v>9575</v>
      </c>
      <c r="C896">
        <f t="shared" si="27"/>
        <v>50268957</v>
      </c>
      <c r="E896" t="str">
        <f>IF(ISERROR(MATCH(C896,Sales!$D$3:$D$1000,0)),"","Used")</f>
        <v/>
      </c>
    </row>
    <row r="897" spans="1:5">
      <c r="A897" t="s">
        <v>1186</v>
      </c>
      <c r="B897" s="198">
        <f t="shared" si="26"/>
        <v>9575</v>
      </c>
      <c r="C897">
        <f t="shared" si="27"/>
        <v>50268965</v>
      </c>
      <c r="E897" t="str">
        <f>IF(ISERROR(MATCH(C897,Sales!$D$3:$D$1000,0)),"","Used")</f>
        <v/>
      </c>
    </row>
    <row r="898" spans="1:5">
      <c r="A898" t="s">
        <v>1187</v>
      </c>
      <c r="B898" s="198">
        <f t="shared" si="26"/>
        <v>9575</v>
      </c>
      <c r="C898">
        <f t="shared" si="27"/>
        <v>50268973</v>
      </c>
      <c r="E898" t="str">
        <f>IF(ISERROR(MATCH(C898,Sales!$D$3:$D$1000,0)),"","Used")</f>
        <v/>
      </c>
    </row>
    <row r="899" spans="1:5">
      <c r="A899" t="s">
        <v>1188</v>
      </c>
      <c r="B899" s="198">
        <f t="shared" si="26"/>
        <v>9575</v>
      </c>
      <c r="C899">
        <f t="shared" si="27"/>
        <v>50268981</v>
      </c>
      <c r="E899" t="str">
        <f>IF(ISERROR(MATCH(C899,Sales!$D$3:$D$1000,0)),"","Used")</f>
        <v/>
      </c>
    </row>
    <row r="900" spans="1:5">
      <c r="A900" t="s">
        <v>1189</v>
      </c>
      <c r="B900" s="198">
        <f t="shared" ref="B900:B963" si="28">VALUE(LEFT(A900,4))</f>
        <v>9575</v>
      </c>
      <c r="C900">
        <f t="shared" ref="C900:C963" si="29">VALUE(RIGHT(A900,8))</f>
        <v>50268999</v>
      </c>
      <c r="E900" t="str">
        <f>IF(ISERROR(MATCH(C900,Sales!$D$3:$D$1000,0)),"","Used")</f>
        <v/>
      </c>
    </row>
    <row r="901" spans="1:5">
      <c r="A901" t="s">
        <v>1190</v>
      </c>
      <c r="B901" s="198">
        <f t="shared" si="28"/>
        <v>9575</v>
      </c>
      <c r="C901">
        <f t="shared" si="29"/>
        <v>50269005</v>
      </c>
      <c r="E901" t="str">
        <f>IF(ISERROR(MATCH(C901,Sales!$D$3:$D$1000,0)),"","Used")</f>
        <v/>
      </c>
    </row>
    <row r="902" spans="1:5">
      <c r="A902" t="s">
        <v>1191</v>
      </c>
      <c r="B902" s="198">
        <f t="shared" si="28"/>
        <v>9575</v>
      </c>
      <c r="C902">
        <f t="shared" si="29"/>
        <v>50269013</v>
      </c>
      <c r="E902" t="str">
        <f>IF(ISERROR(MATCH(C902,Sales!$D$3:$D$1000,0)),"","Used")</f>
        <v/>
      </c>
    </row>
    <row r="903" spans="1:5">
      <c r="A903" t="s">
        <v>1192</v>
      </c>
      <c r="B903" s="198">
        <f t="shared" si="28"/>
        <v>9575</v>
      </c>
      <c r="C903">
        <f t="shared" si="29"/>
        <v>50269021</v>
      </c>
      <c r="E903" t="str">
        <f>IF(ISERROR(MATCH(C903,Sales!$D$3:$D$1000,0)),"","Used")</f>
        <v/>
      </c>
    </row>
    <row r="904" spans="1:5">
      <c r="A904" t="s">
        <v>1193</v>
      </c>
      <c r="B904" s="198">
        <f t="shared" si="28"/>
        <v>9575</v>
      </c>
      <c r="C904">
        <f t="shared" si="29"/>
        <v>50269039</v>
      </c>
      <c r="E904" t="str">
        <f>IF(ISERROR(MATCH(C904,Sales!$D$3:$D$1000,0)),"","Used")</f>
        <v/>
      </c>
    </row>
    <row r="905" spans="1:5">
      <c r="A905" t="s">
        <v>1194</v>
      </c>
      <c r="B905" s="198">
        <f t="shared" si="28"/>
        <v>9575</v>
      </c>
      <c r="C905">
        <f t="shared" si="29"/>
        <v>50269047</v>
      </c>
      <c r="E905" t="str">
        <f>IF(ISERROR(MATCH(C905,Sales!$D$3:$D$1000,0)),"","Used")</f>
        <v/>
      </c>
    </row>
    <row r="906" spans="1:5">
      <c r="A906" t="s">
        <v>1195</v>
      </c>
      <c r="B906" s="198">
        <f t="shared" si="28"/>
        <v>9575</v>
      </c>
      <c r="C906">
        <f t="shared" si="29"/>
        <v>50269054</v>
      </c>
      <c r="E906" t="str">
        <f>IF(ISERROR(MATCH(C906,Sales!$D$3:$D$1000,0)),"","Used")</f>
        <v/>
      </c>
    </row>
    <row r="907" spans="1:5">
      <c r="A907" t="s">
        <v>1196</v>
      </c>
      <c r="B907" s="198">
        <f t="shared" si="28"/>
        <v>9575</v>
      </c>
      <c r="C907">
        <f t="shared" si="29"/>
        <v>50269062</v>
      </c>
      <c r="E907" t="str">
        <f>IF(ISERROR(MATCH(C907,Sales!$D$3:$D$1000,0)),"","Used")</f>
        <v/>
      </c>
    </row>
    <row r="908" spans="1:5">
      <c r="A908" t="s">
        <v>1197</v>
      </c>
      <c r="B908" s="198">
        <f t="shared" si="28"/>
        <v>9575</v>
      </c>
      <c r="C908">
        <f t="shared" si="29"/>
        <v>50269070</v>
      </c>
      <c r="E908" t="str">
        <f>IF(ISERROR(MATCH(C908,Sales!$D$3:$D$1000,0)),"","Used")</f>
        <v/>
      </c>
    </row>
    <row r="909" spans="1:5">
      <c r="A909" t="s">
        <v>1198</v>
      </c>
      <c r="B909" s="198">
        <f t="shared" si="28"/>
        <v>9575</v>
      </c>
      <c r="C909">
        <f t="shared" si="29"/>
        <v>50269088</v>
      </c>
      <c r="E909" t="str">
        <f>IF(ISERROR(MATCH(C909,Sales!$D$3:$D$1000,0)),"","Used")</f>
        <v/>
      </c>
    </row>
    <row r="910" spans="1:5">
      <c r="A910" t="s">
        <v>1199</v>
      </c>
      <c r="B910" s="198">
        <f t="shared" si="28"/>
        <v>9575</v>
      </c>
      <c r="C910">
        <f t="shared" si="29"/>
        <v>50269096</v>
      </c>
      <c r="E910" t="str">
        <f>IF(ISERROR(MATCH(C910,Sales!$D$3:$D$1000,0)),"","Used")</f>
        <v/>
      </c>
    </row>
    <row r="911" spans="1:5">
      <c r="A911" t="s">
        <v>1200</v>
      </c>
      <c r="B911" s="198">
        <f t="shared" si="28"/>
        <v>9575</v>
      </c>
      <c r="C911">
        <f t="shared" si="29"/>
        <v>50269104</v>
      </c>
      <c r="E911" t="str">
        <f>IF(ISERROR(MATCH(C911,Sales!$D$3:$D$1000,0)),"","Used")</f>
        <v/>
      </c>
    </row>
    <row r="912" spans="1:5">
      <c r="A912" t="s">
        <v>1201</v>
      </c>
      <c r="B912" s="198">
        <f t="shared" si="28"/>
        <v>9575</v>
      </c>
      <c r="C912">
        <f t="shared" si="29"/>
        <v>50269112</v>
      </c>
      <c r="E912" t="str">
        <f>IF(ISERROR(MATCH(C912,Sales!$D$3:$D$1000,0)),"","Used")</f>
        <v/>
      </c>
    </row>
    <row r="913" spans="1:5">
      <c r="A913" t="s">
        <v>1202</v>
      </c>
      <c r="B913" s="198">
        <f t="shared" si="28"/>
        <v>9575</v>
      </c>
      <c r="C913">
        <f t="shared" si="29"/>
        <v>50269120</v>
      </c>
      <c r="E913" t="str">
        <f>IF(ISERROR(MATCH(C913,Sales!$D$3:$D$1000,0)),"","Used")</f>
        <v/>
      </c>
    </row>
    <row r="914" spans="1:5">
      <c r="A914" t="s">
        <v>1203</v>
      </c>
      <c r="B914" s="198">
        <f t="shared" si="28"/>
        <v>9575</v>
      </c>
      <c r="C914">
        <f t="shared" si="29"/>
        <v>50269138</v>
      </c>
      <c r="E914" t="str">
        <f>IF(ISERROR(MATCH(C914,Sales!$D$3:$D$1000,0)),"","Used")</f>
        <v/>
      </c>
    </row>
    <row r="915" spans="1:5">
      <c r="A915" t="s">
        <v>1204</v>
      </c>
      <c r="B915" s="198">
        <f t="shared" si="28"/>
        <v>9575</v>
      </c>
      <c r="C915">
        <f t="shared" si="29"/>
        <v>50269146</v>
      </c>
      <c r="E915" t="str">
        <f>IF(ISERROR(MATCH(C915,Sales!$D$3:$D$1000,0)),"","Used")</f>
        <v/>
      </c>
    </row>
    <row r="916" spans="1:5">
      <c r="A916" t="s">
        <v>1205</v>
      </c>
      <c r="B916" s="198">
        <f t="shared" si="28"/>
        <v>9575</v>
      </c>
      <c r="C916">
        <f t="shared" si="29"/>
        <v>50269153</v>
      </c>
      <c r="E916" t="str">
        <f>IF(ISERROR(MATCH(C916,Sales!$D$3:$D$1000,0)),"","Used")</f>
        <v/>
      </c>
    </row>
    <row r="917" spans="1:5">
      <c r="A917" t="s">
        <v>1206</v>
      </c>
      <c r="B917" s="198">
        <f t="shared" si="28"/>
        <v>9575</v>
      </c>
      <c r="C917">
        <f t="shared" si="29"/>
        <v>50269161</v>
      </c>
      <c r="E917" t="str">
        <f>IF(ISERROR(MATCH(C917,Sales!$D$3:$D$1000,0)),"","Used")</f>
        <v/>
      </c>
    </row>
    <row r="918" spans="1:5">
      <c r="A918" t="s">
        <v>1207</v>
      </c>
      <c r="B918" s="198">
        <f t="shared" si="28"/>
        <v>9575</v>
      </c>
      <c r="C918">
        <f t="shared" si="29"/>
        <v>50269179</v>
      </c>
      <c r="E918" t="str">
        <f>IF(ISERROR(MATCH(C918,Sales!$D$3:$D$1000,0)),"","Used")</f>
        <v/>
      </c>
    </row>
    <row r="919" spans="1:5">
      <c r="A919" t="s">
        <v>1208</v>
      </c>
      <c r="B919" s="198">
        <f t="shared" si="28"/>
        <v>9575</v>
      </c>
      <c r="C919">
        <f t="shared" si="29"/>
        <v>50269187</v>
      </c>
      <c r="E919" t="str">
        <f>IF(ISERROR(MATCH(C919,Sales!$D$3:$D$1000,0)),"","Used")</f>
        <v/>
      </c>
    </row>
    <row r="920" spans="1:5">
      <c r="A920" t="s">
        <v>1209</v>
      </c>
      <c r="B920" s="198">
        <f t="shared" si="28"/>
        <v>9575</v>
      </c>
      <c r="C920">
        <f t="shared" si="29"/>
        <v>50269195</v>
      </c>
      <c r="E920" t="str">
        <f>IF(ISERROR(MATCH(C920,Sales!$D$3:$D$1000,0)),"","Used")</f>
        <v/>
      </c>
    </row>
    <row r="921" spans="1:5">
      <c r="A921" t="s">
        <v>1210</v>
      </c>
      <c r="B921" s="198">
        <f t="shared" si="28"/>
        <v>9575</v>
      </c>
      <c r="C921">
        <f t="shared" si="29"/>
        <v>50269203</v>
      </c>
      <c r="E921" t="str">
        <f>IF(ISERROR(MATCH(C921,Sales!$D$3:$D$1000,0)),"","Used")</f>
        <v/>
      </c>
    </row>
    <row r="922" spans="1:5">
      <c r="A922" t="s">
        <v>1211</v>
      </c>
      <c r="B922" s="198">
        <f t="shared" si="28"/>
        <v>9575</v>
      </c>
      <c r="C922">
        <f t="shared" si="29"/>
        <v>50269211</v>
      </c>
      <c r="E922" t="str">
        <f>IF(ISERROR(MATCH(C922,Sales!$D$3:$D$1000,0)),"","Used")</f>
        <v/>
      </c>
    </row>
    <row r="923" spans="1:5">
      <c r="A923" t="s">
        <v>1212</v>
      </c>
      <c r="B923" s="198">
        <f t="shared" si="28"/>
        <v>9575</v>
      </c>
      <c r="C923">
        <f t="shared" si="29"/>
        <v>50269229</v>
      </c>
      <c r="E923" t="str">
        <f>IF(ISERROR(MATCH(C923,Sales!$D$3:$D$1000,0)),"","Used")</f>
        <v/>
      </c>
    </row>
    <row r="924" spans="1:5">
      <c r="A924" t="s">
        <v>1213</v>
      </c>
      <c r="B924" s="198">
        <f t="shared" si="28"/>
        <v>9575</v>
      </c>
      <c r="C924">
        <f t="shared" si="29"/>
        <v>50269237</v>
      </c>
      <c r="E924" t="str">
        <f>IF(ISERROR(MATCH(C924,Sales!$D$3:$D$1000,0)),"","Used")</f>
        <v/>
      </c>
    </row>
    <row r="925" spans="1:5">
      <c r="A925" t="s">
        <v>1214</v>
      </c>
      <c r="B925" s="198">
        <f t="shared" si="28"/>
        <v>9575</v>
      </c>
      <c r="C925">
        <f t="shared" si="29"/>
        <v>50269245</v>
      </c>
      <c r="E925" t="str">
        <f>IF(ISERROR(MATCH(C925,Sales!$D$3:$D$1000,0)),"","Used")</f>
        <v/>
      </c>
    </row>
    <row r="926" spans="1:5">
      <c r="A926" t="s">
        <v>1215</v>
      </c>
      <c r="B926" s="198">
        <f t="shared" si="28"/>
        <v>9575</v>
      </c>
      <c r="C926">
        <f t="shared" si="29"/>
        <v>50269252</v>
      </c>
      <c r="E926" t="str">
        <f>IF(ISERROR(MATCH(C926,Sales!$D$3:$D$1000,0)),"","Used")</f>
        <v/>
      </c>
    </row>
    <row r="927" spans="1:5">
      <c r="A927" t="s">
        <v>1216</v>
      </c>
      <c r="B927" s="198">
        <f t="shared" si="28"/>
        <v>9575</v>
      </c>
      <c r="C927">
        <f t="shared" si="29"/>
        <v>50269260</v>
      </c>
      <c r="E927" t="str">
        <f>IF(ISERROR(MATCH(C927,Sales!$D$3:$D$1000,0)),"","Used")</f>
        <v/>
      </c>
    </row>
    <row r="928" spans="1:5">
      <c r="A928" t="s">
        <v>1217</v>
      </c>
      <c r="B928" s="198">
        <f t="shared" si="28"/>
        <v>9575</v>
      </c>
      <c r="C928">
        <f t="shared" si="29"/>
        <v>50269278</v>
      </c>
      <c r="E928" t="str">
        <f>IF(ISERROR(MATCH(C928,Sales!$D$3:$D$1000,0)),"","Used")</f>
        <v/>
      </c>
    </row>
    <row r="929" spans="1:5">
      <c r="A929" t="s">
        <v>1218</v>
      </c>
      <c r="B929" s="198">
        <f t="shared" si="28"/>
        <v>9575</v>
      </c>
      <c r="C929">
        <f t="shared" si="29"/>
        <v>50269286</v>
      </c>
      <c r="E929" t="str">
        <f>IF(ISERROR(MATCH(C929,Sales!$D$3:$D$1000,0)),"","Used")</f>
        <v/>
      </c>
    </row>
    <row r="930" spans="1:5">
      <c r="A930" t="s">
        <v>1219</v>
      </c>
      <c r="B930" s="198">
        <f t="shared" si="28"/>
        <v>9575</v>
      </c>
      <c r="C930">
        <f t="shared" si="29"/>
        <v>50269294</v>
      </c>
      <c r="E930" t="str">
        <f>IF(ISERROR(MATCH(C930,Sales!$D$3:$D$1000,0)),"","Used")</f>
        <v/>
      </c>
    </row>
    <row r="931" spans="1:5">
      <c r="A931" t="s">
        <v>1220</v>
      </c>
      <c r="B931" s="198">
        <f t="shared" si="28"/>
        <v>9575</v>
      </c>
      <c r="C931">
        <f t="shared" si="29"/>
        <v>50269302</v>
      </c>
      <c r="E931" t="str">
        <f>IF(ISERROR(MATCH(C931,Sales!$D$3:$D$1000,0)),"","Used")</f>
        <v/>
      </c>
    </row>
    <row r="932" spans="1:5">
      <c r="A932" t="s">
        <v>1221</v>
      </c>
      <c r="B932" s="198">
        <f t="shared" si="28"/>
        <v>9575</v>
      </c>
      <c r="C932">
        <f t="shared" si="29"/>
        <v>50269310</v>
      </c>
      <c r="E932" t="str">
        <f>IF(ISERROR(MATCH(C932,Sales!$D$3:$D$1000,0)),"","Used")</f>
        <v/>
      </c>
    </row>
    <row r="933" spans="1:5">
      <c r="A933" t="s">
        <v>1222</v>
      </c>
      <c r="B933" s="198">
        <f t="shared" si="28"/>
        <v>9575</v>
      </c>
      <c r="C933">
        <f t="shared" si="29"/>
        <v>50269328</v>
      </c>
      <c r="E933" t="str">
        <f>IF(ISERROR(MATCH(C933,Sales!$D$3:$D$1000,0)),"","Used")</f>
        <v/>
      </c>
    </row>
    <row r="934" spans="1:5">
      <c r="A934" t="s">
        <v>1223</v>
      </c>
      <c r="B934" s="198">
        <f t="shared" si="28"/>
        <v>9575</v>
      </c>
      <c r="C934">
        <f t="shared" si="29"/>
        <v>50269336</v>
      </c>
      <c r="E934" t="str">
        <f>IF(ISERROR(MATCH(C934,Sales!$D$3:$D$1000,0)),"","Used")</f>
        <v/>
      </c>
    </row>
    <row r="935" spans="1:5">
      <c r="A935" t="s">
        <v>1224</v>
      </c>
      <c r="B935" s="198">
        <f t="shared" si="28"/>
        <v>9575</v>
      </c>
      <c r="C935">
        <f t="shared" si="29"/>
        <v>50269344</v>
      </c>
      <c r="E935" t="str">
        <f>IF(ISERROR(MATCH(C935,Sales!$D$3:$D$1000,0)),"","Used")</f>
        <v/>
      </c>
    </row>
    <row r="936" spans="1:5">
      <c r="A936" t="s">
        <v>1225</v>
      </c>
      <c r="B936" s="198">
        <f t="shared" si="28"/>
        <v>9575</v>
      </c>
      <c r="C936">
        <f t="shared" si="29"/>
        <v>50269351</v>
      </c>
      <c r="E936" t="str">
        <f>IF(ISERROR(MATCH(C936,Sales!$D$3:$D$1000,0)),"","Used")</f>
        <v/>
      </c>
    </row>
    <row r="937" spans="1:5">
      <c r="A937" t="s">
        <v>1226</v>
      </c>
      <c r="B937" s="198">
        <f t="shared" si="28"/>
        <v>9575</v>
      </c>
      <c r="C937">
        <f t="shared" si="29"/>
        <v>50269369</v>
      </c>
      <c r="E937" t="str">
        <f>IF(ISERROR(MATCH(C937,Sales!$D$3:$D$1000,0)),"","Used")</f>
        <v/>
      </c>
    </row>
    <row r="938" spans="1:5">
      <c r="A938" t="s">
        <v>1227</v>
      </c>
      <c r="B938" s="198">
        <f t="shared" si="28"/>
        <v>9575</v>
      </c>
      <c r="C938">
        <f t="shared" si="29"/>
        <v>50269377</v>
      </c>
      <c r="E938" t="str">
        <f>IF(ISERROR(MATCH(C938,Sales!$D$3:$D$1000,0)),"","Used")</f>
        <v/>
      </c>
    </row>
    <row r="939" spans="1:5">
      <c r="A939" t="s">
        <v>1228</v>
      </c>
      <c r="B939" s="198">
        <f t="shared" si="28"/>
        <v>9575</v>
      </c>
      <c r="C939">
        <f t="shared" si="29"/>
        <v>50269385</v>
      </c>
      <c r="E939" t="str">
        <f>IF(ISERROR(MATCH(C939,Sales!$D$3:$D$1000,0)),"","Used")</f>
        <v/>
      </c>
    </row>
    <row r="940" spans="1:5">
      <c r="A940" t="s">
        <v>1229</v>
      </c>
      <c r="B940" s="198">
        <f t="shared" si="28"/>
        <v>9575</v>
      </c>
      <c r="C940">
        <f t="shared" si="29"/>
        <v>50269393</v>
      </c>
      <c r="E940" t="str">
        <f>IF(ISERROR(MATCH(C940,Sales!$D$3:$D$1000,0)),"","Used")</f>
        <v/>
      </c>
    </row>
    <row r="941" spans="1:5">
      <c r="A941" t="s">
        <v>1230</v>
      </c>
      <c r="B941" s="198">
        <f t="shared" si="28"/>
        <v>9575</v>
      </c>
      <c r="C941">
        <f t="shared" si="29"/>
        <v>50269401</v>
      </c>
      <c r="E941" t="str">
        <f>IF(ISERROR(MATCH(C941,Sales!$D$3:$D$1000,0)),"","Used")</f>
        <v/>
      </c>
    </row>
    <row r="942" spans="1:5">
      <c r="A942" t="s">
        <v>1231</v>
      </c>
      <c r="B942" s="198">
        <f t="shared" si="28"/>
        <v>9575</v>
      </c>
      <c r="C942">
        <f t="shared" si="29"/>
        <v>50269419</v>
      </c>
      <c r="E942" t="str">
        <f>IF(ISERROR(MATCH(C942,Sales!$D$3:$D$1000,0)),"","Used")</f>
        <v/>
      </c>
    </row>
    <row r="943" spans="1:5">
      <c r="A943" t="s">
        <v>1232</v>
      </c>
      <c r="B943" s="198">
        <f t="shared" si="28"/>
        <v>9575</v>
      </c>
      <c r="C943">
        <f t="shared" si="29"/>
        <v>50269427</v>
      </c>
      <c r="E943" t="str">
        <f>IF(ISERROR(MATCH(C943,Sales!$D$3:$D$1000,0)),"","Used")</f>
        <v/>
      </c>
    </row>
    <row r="944" spans="1:5">
      <c r="A944" t="s">
        <v>1233</v>
      </c>
      <c r="B944" s="198">
        <f t="shared" si="28"/>
        <v>9575</v>
      </c>
      <c r="C944">
        <f t="shared" si="29"/>
        <v>50269435</v>
      </c>
      <c r="E944" t="str">
        <f>IF(ISERROR(MATCH(C944,Sales!$D$3:$D$1000,0)),"","Used")</f>
        <v/>
      </c>
    </row>
    <row r="945" spans="1:5">
      <c r="A945" t="s">
        <v>1234</v>
      </c>
      <c r="B945" s="198">
        <f t="shared" si="28"/>
        <v>9575</v>
      </c>
      <c r="C945">
        <f t="shared" si="29"/>
        <v>50269443</v>
      </c>
      <c r="E945" t="str">
        <f>IF(ISERROR(MATCH(C945,Sales!$D$3:$D$1000,0)),"","Used")</f>
        <v/>
      </c>
    </row>
    <row r="946" spans="1:5">
      <c r="A946" t="s">
        <v>1235</v>
      </c>
      <c r="B946" s="198">
        <f t="shared" si="28"/>
        <v>9575</v>
      </c>
      <c r="C946">
        <f t="shared" si="29"/>
        <v>50269450</v>
      </c>
      <c r="E946" t="str">
        <f>IF(ISERROR(MATCH(C946,Sales!$D$3:$D$1000,0)),"","Used")</f>
        <v/>
      </c>
    </row>
    <row r="947" spans="1:5">
      <c r="A947" t="s">
        <v>1236</v>
      </c>
      <c r="B947" s="198">
        <f t="shared" si="28"/>
        <v>9575</v>
      </c>
      <c r="C947">
        <f t="shared" si="29"/>
        <v>50269468</v>
      </c>
      <c r="E947" t="str">
        <f>IF(ISERROR(MATCH(C947,Sales!$D$3:$D$1000,0)),"","Used")</f>
        <v/>
      </c>
    </row>
    <row r="948" spans="1:5">
      <c r="A948" t="s">
        <v>1237</v>
      </c>
      <c r="B948" s="198">
        <f t="shared" si="28"/>
        <v>9575</v>
      </c>
      <c r="C948">
        <f t="shared" si="29"/>
        <v>50269476</v>
      </c>
      <c r="E948" t="str">
        <f>IF(ISERROR(MATCH(C948,Sales!$D$3:$D$1000,0)),"","Used")</f>
        <v/>
      </c>
    </row>
    <row r="949" spans="1:5">
      <c r="A949" t="s">
        <v>1238</v>
      </c>
      <c r="B949" s="198">
        <f t="shared" si="28"/>
        <v>9575</v>
      </c>
      <c r="C949">
        <f t="shared" si="29"/>
        <v>50269484</v>
      </c>
      <c r="E949" t="str">
        <f>IF(ISERROR(MATCH(C949,Sales!$D$3:$D$1000,0)),"","Used")</f>
        <v/>
      </c>
    </row>
    <row r="950" spans="1:5">
      <c r="A950" t="s">
        <v>1239</v>
      </c>
      <c r="B950" s="198">
        <f t="shared" si="28"/>
        <v>9575</v>
      </c>
      <c r="C950">
        <f t="shared" si="29"/>
        <v>50269492</v>
      </c>
      <c r="E950" t="str">
        <f>IF(ISERROR(MATCH(C950,Sales!$D$3:$D$1000,0)),"","Used")</f>
        <v/>
      </c>
    </row>
    <row r="951" spans="1:5">
      <c r="A951" t="s">
        <v>1240</v>
      </c>
      <c r="B951" s="198">
        <f t="shared" si="28"/>
        <v>9575</v>
      </c>
      <c r="C951">
        <f t="shared" si="29"/>
        <v>50269500</v>
      </c>
      <c r="E951" t="str">
        <f>IF(ISERROR(MATCH(C951,Sales!$D$3:$D$1000,0)),"","Used")</f>
        <v/>
      </c>
    </row>
    <row r="952" spans="1:5">
      <c r="A952" t="s">
        <v>1241</v>
      </c>
      <c r="B952" s="198">
        <f t="shared" si="28"/>
        <v>9575</v>
      </c>
      <c r="C952">
        <f t="shared" si="29"/>
        <v>50269518</v>
      </c>
      <c r="E952" t="str">
        <f>IF(ISERROR(MATCH(C952,Sales!$D$3:$D$1000,0)),"","Used")</f>
        <v/>
      </c>
    </row>
    <row r="953" spans="1:5">
      <c r="A953" t="s">
        <v>1242</v>
      </c>
      <c r="B953" s="198">
        <f t="shared" si="28"/>
        <v>9575</v>
      </c>
      <c r="C953">
        <f t="shared" si="29"/>
        <v>50269526</v>
      </c>
      <c r="E953" t="str">
        <f>IF(ISERROR(MATCH(C953,Sales!$D$3:$D$1000,0)),"","Used")</f>
        <v/>
      </c>
    </row>
    <row r="954" spans="1:5">
      <c r="A954" t="s">
        <v>1243</v>
      </c>
      <c r="B954" s="198">
        <f t="shared" si="28"/>
        <v>9575</v>
      </c>
      <c r="C954">
        <f t="shared" si="29"/>
        <v>50269534</v>
      </c>
      <c r="E954" t="str">
        <f>IF(ISERROR(MATCH(C954,Sales!$D$3:$D$1000,0)),"","Used")</f>
        <v/>
      </c>
    </row>
    <row r="955" spans="1:5">
      <c r="A955" t="s">
        <v>1244</v>
      </c>
      <c r="B955" s="198">
        <f t="shared" si="28"/>
        <v>9575</v>
      </c>
      <c r="C955">
        <f t="shared" si="29"/>
        <v>50269542</v>
      </c>
      <c r="E955" t="str">
        <f>IF(ISERROR(MATCH(C955,Sales!$D$3:$D$1000,0)),"","Used")</f>
        <v/>
      </c>
    </row>
    <row r="956" spans="1:5">
      <c r="A956" t="s">
        <v>1245</v>
      </c>
      <c r="B956" s="198">
        <f t="shared" si="28"/>
        <v>9575</v>
      </c>
      <c r="C956">
        <f t="shared" si="29"/>
        <v>50269559</v>
      </c>
      <c r="E956" t="str">
        <f>IF(ISERROR(MATCH(C956,Sales!$D$3:$D$1000,0)),"","Used")</f>
        <v/>
      </c>
    </row>
    <row r="957" spans="1:5">
      <c r="A957" t="s">
        <v>1246</v>
      </c>
      <c r="B957" s="198">
        <f t="shared" si="28"/>
        <v>9575</v>
      </c>
      <c r="C957">
        <f t="shared" si="29"/>
        <v>50269567</v>
      </c>
      <c r="E957" t="str">
        <f>IF(ISERROR(MATCH(C957,Sales!$D$3:$D$1000,0)),"","Used")</f>
        <v/>
      </c>
    </row>
    <row r="958" spans="1:5">
      <c r="A958" t="s">
        <v>1247</v>
      </c>
      <c r="B958" s="198">
        <f t="shared" si="28"/>
        <v>9575</v>
      </c>
      <c r="C958">
        <f t="shared" si="29"/>
        <v>50269575</v>
      </c>
      <c r="E958" t="str">
        <f>IF(ISERROR(MATCH(C958,Sales!$D$3:$D$1000,0)),"","Used")</f>
        <v/>
      </c>
    </row>
    <row r="959" spans="1:5">
      <c r="A959" t="s">
        <v>1248</v>
      </c>
      <c r="B959" s="198">
        <f t="shared" si="28"/>
        <v>9575</v>
      </c>
      <c r="C959">
        <f t="shared" si="29"/>
        <v>50269583</v>
      </c>
      <c r="E959" t="str">
        <f>IF(ISERROR(MATCH(C959,Sales!$D$3:$D$1000,0)),"","Used")</f>
        <v/>
      </c>
    </row>
    <row r="960" spans="1:5">
      <c r="A960" t="s">
        <v>1249</v>
      </c>
      <c r="B960" s="198">
        <f t="shared" si="28"/>
        <v>9575</v>
      </c>
      <c r="C960">
        <f t="shared" si="29"/>
        <v>50269591</v>
      </c>
      <c r="E960" t="str">
        <f>IF(ISERROR(MATCH(C960,Sales!$D$3:$D$1000,0)),"","Used")</f>
        <v/>
      </c>
    </row>
    <row r="961" spans="1:5">
      <c r="A961" t="s">
        <v>1250</v>
      </c>
      <c r="B961" s="198">
        <f t="shared" si="28"/>
        <v>9575</v>
      </c>
      <c r="C961">
        <f t="shared" si="29"/>
        <v>50269609</v>
      </c>
      <c r="E961" t="str">
        <f>IF(ISERROR(MATCH(C961,Sales!$D$3:$D$1000,0)),"","Used")</f>
        <v/>
      </c>
    </row>
    <row r="962" spans="1:5">
      <c r="A962" t="s">
        <v>1251</v>
      </c>
      <c r="B962" s="198">
        <f t="shared" si="28"/>
        <v>9575</v>
      </c>
      <c r="C962">
        <f t="shared" si="29"/>
        <v>50269617</v>
      </c>
      <c r="E962" t="str">
        <f>IF(ISERROR(MATCH(C962,Sales!$D$3:$D$1000,0)),"","Used")</f>
        <v/>
      </c>
    </row>
    <row r="963" spans="1:5">
      <c r="A963" t="s">
        <v>1252</v>
      </c>
      <c r="B963" s="198">
        <f t="shared" si="28"/>
        <v>9575</v>
      </c>
      <c r="C963">
        <f t="shared" si="29"/>
        <v>50269625</v>
      </c>
      <c r="E963" t="str">
        <f>IF(ISERROR(MATCH(C963,Sales!$D$3:$D$1000,0)),"","Used")</f>
        <v/>
      </c>
    </row>
    <row r="964" spans="1:5">
      <c r="A964" t="s">
        <v>1253</v>
      </c>
      <c r="B964" s="198">
        <f t="shared" ref="B964:B1001" si="30">VALUE(LEFT(A964,4))</f>
        <v>9575</v>
      </c>
      <c r="C964">
        <f t="shared" ref="C964:C1001" si="31">VALUE(RIGHT(A964,8))</f>
        <v>50269633</v>
      </c>
      <c r="E964" t="str">
        <f>IF(ISERROR(MATCH(C964,Sales!$D$3:$D$1000,0)),"","Used")</f>
        <v/>
      </c>
    </row>
    <row r="965" spans="1:5">
      <c r="A965" t="s">
        <v>1254</v>
      </c>
      <c r="B965" s="198">
        <f t="shared" si="30"/>
        <v>9575</v>
      </c>
      <c r="C965">
        <f t="shared" si="31"/>
        <v>50269641</v>
      </c>
      <c r="E965" t="str">
        <f>IF(ISERROR(MATCH(C965,Sales!$D$3:$D$1000,0)),"","Used")</f>
        <v/>
      </c>
    </row>
    <row r="966" spans="1:5">
      <c r="A966" t="s">
        <v>1255</v>
      </c>
      <c r="B966" s="198">
        <f t="shared" si="30"/>
        <v>9575</v>
      </c>
      <c r="C966">
        <f t="shared" si="31"/>
        <v>50269658</v>
      </c>
      <c r="E966" t="str">
        <f>IF(ISERROR(MATCH(C966,Sales!$D$3:$D$1000,0)),"","Used")</f>
        <v/>
      </c>
    </row>
    <row r="967" spans="1:5">
      <c r="A967" t="s">
        <v>1256</v>
      </c>
      <c r="B967" s="198">
        <f t="shared" si="30"/>
        <v>9575</v>
      </c>
      <c r="C967">
        <f t="shared" si="31"/>
        <v>50269666</v>
      </c>
      <c r="E967" t="str">
        <f>IF(ISERROR(MATCH(C967,Sales!$D$3:$D$1000,0)),"","Used")</f>
        <v/>
      </c>
    </row>
    <row r="968" spans="1:5">
      <c r="A968" t="s">
        <v>1257</v>
      </c>
      <c r="B968" s="198">
        <f t="shared" si="30"/>
        <v>9575</v>
      </c>
      <c r="C968">
        <f t="shared" si="31"/>
        <v>50269674</v>
      </c>
      <c r="E968" t="str">
        <f>IF(ISERROR(MATCH(C968,Sales!$D$3:$D$1000,0)),"","Used")</f>
        <v/>
      </c>
    </row>
    <row r="969" spans="1:5">
      <c r="A969" t="s">
        <v>1258</v>
      </c>
      <c r="B969" s="198">
        <f t="shared" si="30"/>
        <v>9575</v>
      </c>
      <c r="C969">
        <f t="shared" si="31"/>
        <v>50269682</v>
      </c>
      <c r="E969" t="str">
        <f>IF(ISERROR(MATCH(C969,Sales!$D$3:$D$1000,0)),"","Used")</f>
        <v/>
      </c>
    </row>
    <row r="970" spans="1:5">
      <c r="A970" t="s">
        <v>1259</v>
      </c>
      <c r="B970" s="198">
        <f t="shared" si="30"/>
        <v>9575</v>
      </c>
      <c r="C970">
        <f t="shared" si="31"/>
        <v>50269690</v>
      </c>
      <c r="E970" t="str">
        <f>IF(ISERROR(MATCH(C970,Sales!$D$3:$D$1000,0)),"","Used")</f>
        <v/>
      </c>
    </row>
    <row r="971" spans="1:5">
      <c r="A971" t="s">
        <v>1260</v>
      </c>
      <c r="B971" s="198">
        <f t="shared" si="30"/>
        <v>9575</v>
      </c>
      <c r="C971">
        <f t="shared" si="31"/>
        <v>50269708</v>
      </c>
      <c r="E971" t="str">
        <f>IF(ISERROR(MATCH(C971,Sales!$D$3:$D$1000,0)),"","Used")</f>
        <v/>
      </c>
    </row>
    <row r="972" spans="1:5">
      <c r="A972" t="s">
        <v>1261</v>
      </c>
      <c r="B972" s="198">
        <f t="shared" si="30"/>
        <v>9575</v>
      </c>
      <c r="C972">
        <f t="shared" si="31"/>
        <v>50269716</v>
      </c>
      <c r="E972" t="str">
        <f>IF(ISERROR(MATCH(C972,Sales!$D$3:$D$1000,0)),"","Used")</f>
        <v/>
      </c>
    </row>
    <row r="973" spans="1:5">
      <c r="A973" t="s">
        <v>1262</v>
      </c>
      <c r="B973" s="198">
        <f t="shared" si="30"/>
        <v>9575</v>
      </c>
      <c r="C973">
        <f t="shared" si="31"/>
        <v>50269724</v>
      </c>
      <c r="E973" t="str">
        <f>IF(ISERROR(MATCH(C973,Sales!$D$3:$D$1000,0)),"","Used")</f>
        <v/>
      </c>
    </row>
    <row r="974" spans="1:5">
      <c r="A974" t="s">
        <v>1263</v>
      </c>
      <c r="B974" s="198">
        <f t="shared" si="30"/>
        <v>9575</v>
      </c>
      <c r="C974">
        <f t="shared" si="31"/>
        <v>50269732</v>
      </c>
      <c r="E974" t="str">
        <f>IF(ISERROR(MATCH(C974,Sales!$D$3:$D$1000,0)),"","Used")</f>
        <v/>
      </c>
    </row>
    <row r="975" spans="1:5">
      <c r="A975" t="s">
        <v>1264</v>
      </c>
      <c r="B975" s="198">
        <f t="shared" si="30"/>
        <v>9575</v>
      </c>
      <c r="C975">
        <f t="shared" si="31"/>
        <v>50269740</v>
      </c>
      <c r="E975" t="str">
        <f>IF(ISERROR(MATCH(C975,Sales!$D$3:$D$1000,0)),"","Used")</f>
        <v/>
      </c>
    </row>
    <row r="976" spans="1:5">
      <c r="A976" t="s">
        <v>1265</v>
      </c>
      <c r="B976" s="198">
        <f t="shared" si="30"/>
        <v>9575</v>
      </c>
      <c r="C976">
        <f t="shared" si="31"/>
        <v>50269757</v>
      </c>
      <c r="E976" t="str">
        <f>IF(ISERROR(MATCH(C976,Sales!$D$3:$D$1000,0)),"","Used")</f>
        <v/>
      </c>
    </row>
    <row r="977" spans="1:5">
      <c r="A977" t="s">
        <v>1266</v>
      </c>
      <c r="B977" s="198">
        <f t="shared" si="30"/>
        <v>9575</v>
      </c>
      <c r="C977">
        <f t="shared" si="31"/>
        <v>50269765</v>
      </c>
      <c r="E977" t="str">
        <f>IF(ISERROR(MATCH(C977,Sales!$D$3:$D$1000,0)),"","Used")</f>
        <v/>
      </c>
    </row>
    <row r="978" spans="1:5">
      <c r="A978" t="s">
        <v>1267</v>
      </c>
      <c r="B978" s="198">
        <f t="shared" si="30"/>
        <v>9575</v>
      </c>
      <c r="C978">
        <f t="shared" si="31"/>
        <v>50269773</v>
      </c>
      <c r="E978" t="str">
        <f>IF(ISERROR(MATCH(C978,Sales!$D$3:$D$1000,0)),"","Used")</f>
        <v/>
      </c>
    </row>
    <row r="979" spans="1:5">
      <c r="A979" t="s">
        <v>1268</v>
      </c>
      <c r="B979" s="198">
        <f t="shared" si="30"/>
        <v>9575</v>
      </c>
      <c r="C979">
        <f t="shared" si="31"/>
        <v>50269781</v>
      </c>
      <c r="E979" t="str">
        <f>IF(ISERROR(MATCH(C979,Sales!$D$3:$D$1000,0)),"","Used")</f>
        <v/>
      </c>
    </row>
    <row r="980" spans="1:5">
      <c r="A980" t="s">
        <v>1269</v>
      </c>
      <c r="B980" s="198">
        <f t="shared" si="30"/>
        <v>9575</v>
      </c>
      <c r="C980">
        <f t="shared" si="31"/>
        <v>50269799</v>
      </c>
      <c r="E980" t="str">
        <f>IF(ISERROR(MATCH(C980,Sales!$D$3:$D$1000,0)),"","Used")</f>
        <v/>
      </c>
    </row>
    <row r="981" spans="1:5">
      <c r="A981" t="s">
        <v>1270</v>
      </c>
      <c r="B981" s="198">
        <f t="shared" si="30"/>
        <v>9575</v>
      </c>
      <c r="C981">
        <f t="shared" si="31"/>
        <v>50269807</v>
      </c>
      <c r="E981" t="str">
        <f>IF(ISERROR(MATCH(C981,Sales!$D$3:$D$1000,0)),"","Used")</f>
        <v/>
      </c>
    </row>
    <row r="982" spans="1:5">
      <c r="A982" t="s">
        <v>1271</v>
      </c>
      <c r="B982" s="198">
        <f t="shared" si="30"/>
        <v>9575</v>
      </c>
      <c r="C982">
        <f t="shared" si="31"/>
        <v>50269815</v>
      </c>
      <c r="E982" t="str">
        <f>IF(ISERROR(MATCH(C982,Sales!$D$3:$D$1000,0)),"","Used")</f>
        <v/>
      </c>
    </row>
    <row r="983" spans="1:5">
      <c r="A983" t="s">
        <v>1272</v>
      </c>
      <c r="B983" s="198">
        <f t="shared" si="30"/>
        <v>9575</v>
      </c>
      <c r="C983">
        <f t="shared" si="31"/>
        <v>50269823</v>
      </c>
      <c r="E983" t="str">
        <f>IF(ISERROR(MATCH(C983,Sales!$D$3:$D$1000,0)),"","Used")</f>
        <v/>
      </c>
    </row>
    <row r="984" spans="1:5">
      <c r="A984" t="s">
        <v>1273</v>
      </c>
      <c r="B984" s="198">
        <f t="shared" si="30"/>
        <v>9575</v>
      </c>
      <c r="C984">
        <f t="shared" si="31"/>
        <v>50269831</v>
      </c>
      <c r="E984" t="str">
        <f>IF(ISERROR(MATCH(C984,Sales!$D$3:$D$1000,0)),"","Used")</f>
        <v/>
      </c>
    </row>
    <row r="985" spans="1:5">
      <c r="A985" t="s">
        <v>1274</v>
      </c>
      <c r="B985" s="198">
        <f t="shared" si="30"/>
        <v>9575</v>
      </c>
      <c r="C985">
        <f t="shared" si="31"/>
        <v>50269849</v>
      </c>
      <c r="E985" t="str">
        <f>IF(ISERROR(MATCH(C985,Sales!$D$3:$D$1000,0)),"","Used")</f>
        <v/>
      </c>
    </row>
    <row r="986" spans="1:5">
      <c r="A986" t="s">
        <v>1275</v>
      </c>
      <c r="B986" s="198">
        <f t="shared" si="30"/>
        <v>9575</v>
      </c>
      <c r="C986">
        <f t="shared" si="31"/>
        <v>50269856</v>
      </c>
      <c r="E986" t="str">
        <f>IF(ISERROR(MATCH(C986,Sales!$D$3:$D$1000,0)),"","Used")</f>
        <v/>
      </c>
    </row>
    <row r="987" spans="1:5">
      <c r="A987" t="s">
        <v>1276</v>
      </c>
      <c r="B987" s="198">
        <f t="shared" si="30"/>
        <v>9575</v>
      </c>
      <c r="C987">
        <f t="shared" si="31"/>
        <v>50269864</v>
      </c>
      <c r="E987" t="str">
        <f>IF(ISERROR(MATCH(C987,Sales!$D$3:$D$1000,0)),"","Used")</f>
        <v/>
      </c>
    </row>
    <row r="988" spans="1:5">
      <c r="A988" t="s">
        <v>1277</v>
      </c>
      <c r="B988" s="198">
        <f t="shared" si="30"/>
        <v>9575</v>
      </c>
      <c r="C988">
        <f t="shared" si="31"/>
        <v>50269872</v>
      </c>
      <c r="E988" t="str">
        <f>IF(ISERROR(MATCH(C988,Sales!$D$3:$D$1000,0)),"","Used")</f>
        <v/>
      </c>
    </row>
    <row r="989" spans="1:5">
      <c r="A989" t="s">
        <v>1278</v>
      </c>
      <c r="B989" s="198">
        <f t="shared" si="30"/>
        <v>9575</v>
      </c>
      <c r="C989">
        <f t="shared" si="31"/>
        <v>50269880</v>
      </c>
      <c r="E989" t="str">
        <f>IF(ISERROR(MATCH(C989,Sales!$D$3:$D$1000,0)),"","Used")</f>
        <v/>
      </c>
    </row>
    <row r="990" spans="1:5">
      <c r="A990" t="s">
        <v>1279</v>
      </c>
      <c r="B990" s="198">
        <f t="shared" si="30"/>
        <v>9575</v>
      </c>
      <c r="C990">
        <f t="shared" si="31"/>
        <v>50269898</v>
      </c>
      <c r="E990" t="str">
        <f>IF(ISERROR(MATCH(C990,Sales!$D$3:$D$1000,0)),"","Used")</f>
        <v/>
      </c>
    </row>
    <row r="991" spans="1:5">
      <c r="A991" t="s">
        <v>1280</v>
      </c>
      <c r="B991" s="198">
        <f t="shared" si="30"/>
        <v>9575</v>
      </c>
      <c r="C991">
        <f t="shared" si="31"/>
        <v>50269906</v>
      </c>
      <c r="E991" t="str">
        <f>IF(ISERROR(MATCH(C991,Sales!$D$3:$D$1000,0)),"","Used")</f>
        <v/>
      </c>
    </row>
    <row r="992" spans="1:5">
      <c r="A992" t="s">
        <v>1281</v>
      </c>
      <c r="B992" s="198">
        <f t="shared" si="30"/>
        <v>9575</v>
      </c>
      <c r="C992">
        <f t="shared" si="31"/>
        <v>50269914</v>
      </c>
      <c r="E992" t="str">
        <f>IF(ISERROR(MATCH(C992,Sales!$D$3:$D$1000,0)),"","Used")</f>
        <v/>
      </c>
    </row>
    <row r="993" spans="1:5">
      <c r="A993" t="s">
        <v>1282</v>
      </c>
      <c r="B993" s="198">
        <f t="shared" si="30"/>
        <v>9575</v>
      </c>
      <c r="C993">
        <f t="shared" si="31"/>
        <v>50269922</v>
      </c>
      <c r="E993" t="str">
        <f>IF(ISERROR(MATCH(C993,Sales!$D$3:$D$1000,0)),"","Used")</f>
        <v/>
      </c>
    </row>
    <row r="994" spans="1:5">
      <c r="A994" t="s">
        <v>1283</v>
      </c>
      <c r="B994" s="198">
        <f t="shared" si="30"/>
        <v>9575</v>
      </c>
      <c r="C994">
        <f t="shared" si="31"/>
        <v>50269930</v>
      </c>
      <c r="E994" t="str">
        <f>IF(ISERROR(MATCH(C994,Sales!$D$3:$D$1000,0)),"","Used")</f>
        <v/>
      </c>
    </row>
    <row r="995" spans="1:5">
      <c r="A995" t="s">
        <v>1284</v>
      </c>
      <c r="B995" s="198">
        <f t="shared" si="30"/>
        <v>9575</v>
      </c>
      <c r="C995">
        <f t="shared" si="31"/>
        <v>50269948</v>
      </c>
      <c r="E995" t="str">
        <f>IF(ISERROR(MATCH(C995,Sales!$D$3:$D$1000,0)),"","Used")</f>
        <v/>
      </c>
    </row>
    <row r="996" spans="1:5">
      <c r="A996" t="s">
        <v>1285</v>
      </c>
      <c r="B996" s="198">
        <f t="shared" si="30"/>
        <v>9575</v>
      </c>
      <c r="C996">
        <f t="shared" si="31"/>
        <v>50269955</v>
      </c>
      <c r="E996" t="str">
        <f>IF(ISERROR(MATCH(C996,Sales!$D$3:$D$1000,0)),"","Used")</f>
        <v/>
      </c>
    </row>
    <row r="997" spans="1:5">
      <c r="A997" t="s">
        <v>1286</v>
      </c>
      <c r="B997" s="198">
        <f t="shared" si="30"/>
        <v>9575</v>
      </c>
      <c r="C997">
        <f t="shared" si="31"/>
        <v>50269963</v>
      </c>
      <c r="E997" t="str">
        <f>IF(ISERROR(MATCH(C997,Sales!$D$3:$D$1000,0)),"","Used")</f>
        <v/>
      </c>
    </row>
    <row r="998" spans="1:5">
      <c r="A998" t="s">
        <v>1287</v>
      </c>
      <c r="B998" s="198">
        <f t="shared" si="30"/>
        <v>9575</v>
      </c>
      <c r="C998">
        <f t="shared" si="31"/>
        <v>50269971</v>
      </c>
      <c r="E998" t="str">
        <f>IF(ISERROR(MATCH(C998,Sales!$D$3:$D$1000,0)),"","Used")</f>
        <v/>
      </c>
    </row>
    <row r="999" spans="1:5">
      <c r="A999" t="s">
        <v>1288</v>
      </c>
      <c r="B999" s="198">
        <f t="shared" si="30"/>
        <v>9575</v>
      </c>
      <c r="C999">
        <f t="shared" si="31"/>
        <v>50269989</v>
      </c>
      <c r="E999" t="str">
        <f>IF(ISERROR(MATCH(C999,Sales!$D$3:$D$1000,0)),"","Used")</f>
        <v/>
      </c>
    </row>
    <row r="1000" spans="1:5">
      <c r="A1000" t="s">
        <v>1289</v>
      </c>
      <c r="B1000" s="198">
        <f t="shared" si="30"/>
        <v>9575</v>
      </c>
      <c r="C1000">
        <f t="shared" si="31"/>
        <v>50269997</v>
      </c>
      <c r="E1000" t="str">
        <f>IF(ISERROR(MATCH(C1000,Sales!$D$3:$D$1000,0)),"","Used")</f>
        <v/>
      </c>
    </row>
    <row r="1001" spans="1:5">
      <c r="A1001" t="s">
        <v>1290</v>
      </c>
      <c r="B1001" s="198">
        <f t="shared" si="30"/>
        <v>9575</v>
      </c>
      <c r="C1001">
        <f t="shared" si="31"/>
        <v>50270003</v>
      </c>
      <c r="E1001" t="str">
        <f>IF(ISERROR(MATCH(C1001,Sales!$D$3:$D$1000,0)),"","Used")</f>
        <v/>
      </c>
    </row>
  </sheetData>
  <conditionalFormatting sqref="D3:D32">
    <cfRule type="expression" dxfId="64" priority="4">
      <formula>COUNTIF($A$3:$A$1000,D3)&gt;1</formula>
    </cfRule>
  </conditionalFormatting>
  <conditionalFormatting sqref="D63:D72">
    <cfRule type="expression" dxfId="63" priority="1">
      <formula>COUNTIF($A$3:$A$1000,D63)&gt;1</formula>
    </cfRule>
  </conditionalFormatting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I10"/>
  <sheetViews>
    <sheetView showGridLines="0" workbookViewId="0">
      <selection activeCell="J32" sqref="J32"/>
    </sheetView>
  </sheetViews>
  <sheetFormatPr defaultRowHeight="15"/>
  <cols>
    <col min="1" max="1" width="13.140625" customWidth="1"/>
    <col min="8" max="8" width="12.85546875" customWidth="1"/>
    <col min="9" max="9" width="9.140625" style="197"/>
  </cols>
  <sheetData>
    <row r="1" spans="1:9" ht="15.75" thickBot="1"/>
    <row r="2" spans="1:9" ht="15.75" thickBot="1">
      <c r="B2" s="200" t="s">
        <v>189</v>
      </c>
      <c r="C2" s="201"/>
      <c r="D2" s="200" t="s">
        <v>190</v>
      </c>
      <c r="E2" s="206"/>
      <c r="F2" s="201"/>
      <c r="H2" s="212" t="s">
        <v>199</v>
      </c>
      <c r="I2" s="208"/>
    </row>
    <row r="3" spans="1:9" ht="15.75" thickBot="1">
      <c r="A3" s="218" t="s">
        <v>188</v>
      </c>
      <c r="B3" s="212" t="s">
        <v>184</v>
      </c>
      <c r="C3" s="219" t="s">
        <v>1</v>
      </c>
      <c r="D3" s="212" t="s">
        <v>2</v>
      </c>
      <c r="E3" s="221" t="s">
        <v>184</v>
      </c>
      <c r="F3" s="219" t="s">
        <v>1</v>
      </c>
      <c r="H3" s="214" t="s">
        <v>195</v>
      </c>
      <c r="I3" s="215" t="s">
        <v>196</v>
      </c>
    </row>
    <row r="4" spans="1:9">
      <c r="A4" s="220" t="s">
        <v>65</v>
      </c>
      <c r="B4" s="222">
        <v>0.8</v>
      </c>
      <c r="C4" s="223">
        <v>0.2</v>
      </c>
      <c r="D4" s="222">
        <v>0</v>
      </c>
      <c r="E4" s="224">
        <v>0.6</v>
      </c>
      <c r="F4" s="223">
        <v>0.4</v>
      </c>
      <c r="H4" s="90" t="s">
        <v>197</v>
      </c>
      <c r="I4" s="213">
        <v>0</v>
      </c>
    </row>
    <row r="5" spans="1:9">
      <c r="A5" s="86" t="s">
        <v>262</v>
      </c>
      <c r="B5" s="202">
        <v>0.8</v>
      </c>
      <c r="C5" s="203">
        <v>0.2</v>
      </c>
      <c r="D5" s="202">
        <v>0.1</v>
      </c>
      <c r="E5" s="199">
        <v>0.4</v>
      </c>
      <c r="F5" s="203">
        <v>0.5</v>
      </c>
      <c r="H5" s="82" t="s">
        <v>191</v>
      </c>
      <c r="I5" s="209">
        <v>6.32</v>
      </c>
    </row>
    <row r="6" spans="1:9">
      <c r="A6" s="86" t="s">
        <v>67</v>
      </c>
      <c r="B6" s="202">
        <v>0.8</v>
      </c>
      <c r="C6" s="203">
        <v>0.2</v>
      </c>
      <c r="D6" s="202">
        <v>0</v>
      </c>
      <c r="E6" s="199">
        <v>0.6</v>
      </c>
      <c r="F6" s="203">
        <v>0.4</v>
      </c>
      <c r="H6" s="82" t="s">
        <v>194</v>
      </c>
      <c r="I6" s="209">
        <v>0</v>
      </c>
    </row>
    <row r="7" spans="1:9" ht="15.75" thickBot="1">
      <c r="A7" s="86" t="s">
        <v>117</v>
      </c>
      <c r="B7" s="202">
        <v>0.8</v>
      </c>
      <c r="C7" s="203">
        <v>0.2</v>
      </c>
      <c r="D7" s="202">
        <v>0.3</v>
      </c>
      <c r="E7" s="199">
        <v>0</v>
      </c>
      <c r="F7" s="203">
        <v>0.7</v>
      </c>
      <c r="H7" s="210" t="s">
        <v>192</v>
      </c>
      <c r="I7" s="211">
        <v>0</v>
      </c>
    </row>
    <row r="8" spans="1:9">
      <c r="A8" s="86" t="s">
        <v>68</v>
      </c>
      <c r="B8" s="202">
        <v>0.8</v>
      </c>
      <c r="C8" s="203">
        <v>0.2</v>
      </c>
      <c r="D8" s="202">
        <v>0.3</v>
      </c>
      <c r="E8" s="199">
        <v>0</v>
      </c>
      <c r="F8" s="203">
        <v>0.7</v>
      </c>
    </row>
    <row r="9" spans="1:9">
      <c r="A9" s="86" t="s">
        <v>263</v>
      </c>
      <c r="B9" s="202">
        <v>0.8</v>
      </c>
      <c r="C9" s="203">
        <v>0.2</v>
      </c>
      <c r="D9" s="202">
        <v>0.15</v>
      </c>
      <c r="E9" s="199">
        <v>0.3</v>
      </c>
      <c r="F9" s="203">
        <v>0.55000000000000004</v>
      </c>
    </row>
    <row r="10" spans="1:9" ht="15.75" thickBot="1">
      <c r="A10" s="87" t="s">
        <v>264</v>
      </c>
      <c r="B10" s="204">
        <v>0.8</v>
      </c>
      <c r="C10" s="205">
        <v>0.2</v>
      </c>
      <c r="D10" s="226">
        <v>0.22500000000000001</v>
      </c>
      <c r="E10" s="207">
        <v>0.15</v>
      </c>
      <c r="F10" s="60">
        <v>0.625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D7:U37"/>
  <sheetViews>
    <sheetView showGridLines="0" showRowColHeaders="0" workbookViewId="0"/>
  </sheetViews>
  <sheetFormatPr defaultRowHeight="15"/>
  <cols>
    <col min="1" max="1" width="4.28515625" customWidth="1"/>
    <col min="2" max="2" width="19" customWidth="1"/>
    <col min="3" max="3" width="6.42578125" customWidth="1"/>
    <col min="4" max="4" width="6.140625" customWidth="1"/>
    <col min="5" max="5" width="15.7109375" customWidth="1"/>
    <col min="6" max="6" width="10.28515625" customWidth="1"/>
    <col min="7" max="16" width="8.42578125" customWidth="1"/>
    <col min="17" max="17" width="19.140625" customWidth="1"/>
    <col min="18" max="18" width="7" customWidth="1"/>
    <col min="19" max="19" width="8.42578125" customWidth="1"/>
    <col min="21" max="21" width="17.28515625" bestFit="1" customWidth="1"/>
  </cols>
  <sheetData>
    <row r="7" spans="4:21">
      <c r="D7" s="240"/>
    </row>
    <row r="8" spans="4:21" ht="16.5">
      <c r="D8" s="241"/>
    </row>
    <row r="9" spans="4:21" ht="42">
      <c r="K9" s="242" t="s">
        <v>1629</v>
      </c>
      <c r="U9" s="262">
        <f ca="1">TODAY()</f>
        <v>42196</v>
      </c>
    </row>
    <row r="10" spans="4:21">
      <c r="D10" s="243"/>
    </row>
    <row r="11" spans="4:21" ht="16.5">
      <c r="K11" s="255" t="s">
        <v>1633</v>
      </c>
    </row>
    <row r="12" spans="4:21">
      <c r="D12" s="245"/>
    </row>
    <row r="13" spans="4:21" ht="45.75">
      <c r="D13" s="246"/>
      <c r="K13" s="247" t="s">
        <v>2018</v>
      </c>
    </row>
    <row r="14" spans="4:21">
      <c r="D14" s="246"/>
    </row>
    <row r="15" spans="4:21" ht="16.5">
      <c r="K15" s="255" t="s">
        <v>1637</v>
      </c>
    </row>
    <row r="16" spans="4:21" ht="16.5">
      <c r="D16" s="248"/>
      <c r="K16" s="244" t="s">
        <v>1632</v>
      </c>
    </row>
    <row r="17" spans="4:13">
      <c r="D17" s="243"/>
    </row>
    <row r="18" spans="4:13">
      <c r="D18" s="243"/>
      <c r="K18" s="250" t="s">
        <v>1630</v>
      </c>
    </row>
    <row r="19" spans="4:13">
      <c r="K19" s="250" t="s">
        <v>1631</v>
      </c>
    </row>
    <row r="20" spans="4:13">
      <c r="K20" s="250" t="s">
        <v>1645</v>
      </c>
    </row>
    <row r="21" spans="4:13" ht="19.5">
      <c r="D21" s="249"/>
    </row>
    <row r="24" spans="4:13" ht="22.5" customHeight="1">
      <c r="E24" s="258">
        <f ca="1">DAY(U9)</f>
        <v>11</v>
      </c>
      <c r="F24" s="281" t="str">
        <f ca="1">IF(RIGHT(E24,1)="1","st",IF(RIGHT(E24,1)="2","nd",IF(RIGHT(E24,1)="3","rd","th")))</f>
        <v>st</v>
      </c>
    </row>
    <row r="25" spans="4:13" ht="18" customHeight="1">
      <c r="D25" s="243"/>
      <c r="E25" s="496" t="str">
        <f ca="1">CHOOSE(MONTH(U9),"January","February","March","April","May","June","July","August","September","October","November","December")</f>
        <v>July</v>
      </c>
      <c r="F25" s="497"/>
    </row>
    <row r="26" spans="4:13" ht="32.25" customHeight="1">
      <c r="D26" s="243"/>
      <c r="E26" s="498">
        <f ca="1">YEAR(U9)</f>
        <v>2015</v>
      </c>
      <c r="F26" s="499"/>
    </row>
    <row r="27" spans="4:13" ht="18.75">
      <c r="D27" s="243"/>
      <c r="I27" s="257" t="s">
        <v>1634</v>
      </c>
      <c r="K27" s="260" t="s">
        <v>80</v>
      </c>
      <c r="M27" s="259" t="s">
        <v>1635</v>
      </c>
    </row>
    <row r="28" spans="4:13">
      <c r="D28" s="243"/>
      <c r="L28" s="261"/>
    </row>
    <row r="29" spans="4:13" ht="15.75">
      <c r="D29" s="243"/>
      <c r="E29" s="256"/>
      <c r="F29" s="256"/>
    </row>
    <row r="30" spans="4:13">
      <c r="D30" s="243"/>
      <c r="K30" s="239" t="s">
        <v>1677</v>
      </c>
    </row>
    <row r="31" spans="4:13">
      <c r="D31" s="243"/>
    </row>
    <row r="32" spans="4:13">
      <c r="D32" s="243"/>
      <c r="F32" s="254"/>
    </row>
    <row r="33" spans="4:4" ht="15" customHeight="1">
      <c r="D33" s="251"/>
    </row>
    <row r="34" spans="4:4" ht="15" customHeight="1">
      <c r="D34" s="252"/>
    </row>
    <row r="35" spans="4:4" ht="15" customHeight="1">
      <c r="D35" s="253"/>
    </row>
    <row r="36" spans="4:4">
      <c r="D36" s="243"/>
    </row>
    <row r="37" spans="4:4">
      <c r="D37" s="243"/>
    </row>
  </sheetData>
  <mergeCells count="2">
    <mergeCell ref="E25:F25"/>
    <mergeCell ref="E26:F26"/>
  </mergeCells>
  <printOptions horizontalCentered="1" verticalCentered="1"/>
  <pageMargins left="0.4" right="0.4" top="0.4" bottom="0.4" header="0.3" footer="0.3"/>
  <pageSetup paperSize="9" scale="93" orientation="landscape" verticalDpi="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Q3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Q31" sqref="Q31"/>
    </sheetView>
  </sheetViews>
  <sheetFormatPr defaultRowHeight="15"/>
  <cols>
    <col min="1" max="1" width="7" style="230" customWidth="1"/>
    <col min="4" max="4" width="10.7109375" style="401" bestFit="1" customWidth="1"/>
    <col min="5" max="5" width="16.85546875" customWidth="1"/>
    <col min="6" max="6" width="6.85546875" style="261" customWidth="1"/>
    <col min="8" max="8" width="10.140625" customWidth="1"/>
    <col min="9" max="14" width="9.140625" style="197"/>
    <col min="17" max="17" width="9.140625" style="197"/>
    <col min="19" max="21" width="9.140625" style="197"/>
    <col min="22" max="23" width="9.140625" style="400"/>
    <col min="24" max="25" width="9.140625" style="197"/>
    <col min="28" max="28" width="10.7109375" style="235" bestFit="1" customWidth="1"/>
    <col min="29" max="29" width="9.140625" style="403"/>
    <col min="30" max="30" width="10.85546875" style="403" customWidth="1"/>
    <col min="31" max="31" width="9.140625" style="403"/>
    <col min="32" max="32" width="9.140625" style="197"/>
    <col min="33" max="33" width="9.140625" style="403"/>
    <col min="34" max="34" width="9.140625" style="197"/>
    <col min="35" max="35" width="9.140625" style="236"/>
    <col min="37" max="38" width="9.140625" style="197"/>
    <col min="39" max="39" width="29" customWidth="1"/>
  </cols>
  <sheetData>
    <row r="1" spans="1:43" ht="23.25" customHeight="1">
      <c r="A1" s="264" t="s">
        <v>1713</v>
      </c>
      <c r="B1" s="35"/>
      <c r="C1" s="35"/>
      <c r="F1" s="216"/>
      <c r="G1" s="301" t="s">
        <v>1768</v>
      </c>
      <c r="H1">
        <f ca="1">COUNTA(A3:A10000)</f>
        <v>29</v>
      </c>
      <c r="N1" s="403" t="s">
        <v>1769</v>
      </c>
      <c r="O1" s="335">
        <f ca="1">COUNT(V3:V7)</f>
        <v>2</v>
      </c>
      <c r="U1" s="197" t="s">
        <v>1698</v>
      </c>
      <c r="V1" s="238">
        <v>5</v>
      </c>
      <c r="W1" s="400" t="s">
        <v>1627</v>
      </c>
      <c r="X1" s="407">
        <v>6</v>
      </c>
      <c r="Y1" s="197" t="s">
        <v>1628</v>
      </c>
      <c r="Z1" s="238">
        <v>2015</v>
      </c>
      <c r="AA1" s="337" t="s">
        <v>1699</v>
      </c>
      <c r="AB1" s="300">
        <f>DATEVALUE(V1&amp;"/"&amp;X1&amp;"/"&amp;Z1)</f>
        <v>42160</v>
      </c>
      <c r="AC1" s="406" t="s">
        <v>1700</v>
      </c>
      <c r="AD1" s="398">
        <f>DATEVALUE(V1-1&amp;"/"&amp;X1+1&amp;"/"&amp;Z1)</f>
        <v>42189</v>
      </c>
    </row>
    <row r="2" spans="1:43" ht="73.5" customHeight="1">
      <c r="A2" s="231" t="s">
        <v>1554</v>
      </c>
      <c r="B2" s="231" t="s">
        <v>1555</v>
      </c>
      <c r="C2" s="231" t="s">
        <v>1442</v>
      </c>
      <c r="D2" s="232" t="s">
        <v>1403</v>
      </c>
      <c r="E2" s="231" t="s">
        <v>1564</v>
      </c>
      <c r="F2" s="231" t="s">
        <v>1566</v>
      </c>
      <c r="G2" s="231" t="s">
        <v>1556</v>
      </c>
      <c r="H2" s="231" t="s">
        <v>1557</v>
      </c>
      <c r="I2" s="234" t="s">
        <v>1558</v>
      </c>
      <c r="J2" s="234" t="s">
        <v>1559</v>
      </c>
      <c r="K2" s="234" t="s">
        <v>1560</v>
      </c>
      <c r="L2" s="234" t="s">
        <v>1561</v>
      </c>
      <c r="M2" s="234" t="s">
        <v>1559</v>
      </c>
      <c r="N2" s="234" t="s">
        <v>1560</v>
      </c>
      <c r="O2" s="231" t="s">
        <v>188</v>
      </c>
      <c r="P2" s="231" t="s">
        <v>1664</v>
      </c>
      <c r="Q2" s="234" t="s">
        <v>1445</v>
      </c>
      <c r="R2" s="217"/>
      <c r="S2" s="234" t="s">
        <v>1696</v>
      </c>
      <c r="T2" s="234" t="s">
        <v>1568</v>
      </c>
      <c r="U2" s="234" t="s">
        <v>1697</v>
      </c>
      <c r="V2" s="231" t="s">
        <v>1562</v>
      </c>
      <c r="W2" s="231" t="s">
        <v>1574</v>
      </c>
      <c r="X2" s="234" t="s">
        <v>1559</v>
      </c>
      <c r="Y2" s="234" t="s">
        <v>1563</v>
      </c>
      <c r="AB2"/>
      <c r="AC2" s="234" t="s">
        <v>1701</v>
      </c>
      <c r="AD2" s="234" t="s">
        <v>1444</v>
      </c>
      <c r="AE2" s="234" t="s">
        <v>1569</v>
      </c>
      <c r="AF2" s="234" t="s">
        <v>1570</v>
      </c>
      <c r="AG2" s="234" t="s">
        <v>1445</v>
      </c>
      <c r="AH2" s="234" t="s">
        <v>1571</v>
      </c>
      <c r="AI2" s="233" t="s">
        <v>1572</v>
      </c>
      <c r="AK2" s="234" t="s">
        <v>1697</v>
      </c>
      <c r="AL2" s="234" t="s">
        <v>1702</v>
      </c>
      <c r="AM2" s="233" t="s">
        <v>1573</v>
      </c>
      <c r="AQ2" t="s">
        <v>65</v>
      </c>
    </row>
    <row r="3" spans="1:43">
      <c r="A3" s="230" t="str">
        <f t="shared" ref="A3:A31" ca="1" si="0">IF(INDIRECT("Sales!C"&amp;ROW())="","",INDIRECT("Sales!C"&amp;ROW()))</f>
        <v>9575</v>
      </c>
      <c r="B3">
        <f t="shared" ref="B3:B31" ca="1" si="1">IF(INDIRECT("Sales!D"&amp;ROW())="","",INDIRECT("Sales!D"&amp;ROW()))</f>
        <v>50260319</v>
      </c>
      <c r="C3" t="str">
        <f t="shared" ref="C3:C31" ca="1" si="2">IF(INDIRECT("Sales!BE"&amp;ROW())="","",INDIRECT("Sales!BE"&amp;ROW()))</f>
        <v>ACF10</v>
      </c>
      <c r="D3" s="401">
        <f t="shared" ref="D3:D31" ca="1" si="3">IF(INDIRECT("Sales!B"&amp;ROW())="","",INDIRECT("Sales!B"&amp;ROW()))</f>
        <v>42095</v>
      </c>
      <c r="E3" t="str">
        <f t="shared" ref="E3:E31" ca="1" si="4">IF(AND(INDIRECT("Sales!H"&amp;ROW())="",INDIRECT("Sales!G"&amp;ROW())),"",IF(INDIRECT("Sales!H"&amp;ROW())="",INDIRECT("Sales!G"&amp;ROW()),INDIRECT("Sales!H"&amp;ROW())&amp;" "&amp;INDIRECT("Sales!G"&amp;ROW())))</f>
        <v>C S M Stapelberg</v>
      </c>
      <c r="F3">
        <f t="shared" ref="F3" ca="1" si="5">IF(A3="","",IF(INDIRECT("Sales!EU"&amp;ROW())="",0,INDIRECT("Sales!EU"&amp;ROW())))</f>
        <v>0</v>
      </c>
      <c r="G3" t="str">
        <f t="shared" ref="G3" ca="1" si="6">IF(A3="","",LEFT(H3,4))</f>
        <v>dfb1</v>
      </c>
      <c r="H3" t="str">
        <f t="shared" ref="H3:H31" ca="1" si="7">IF(INDIRECT("Sales!E"&amp;ROW())="","",INDIRECT("Sales!E"&amp;ROW()))</f>
        <v>dfb1/1200</v>
      </c>
      <c r="I3" s="197">
        <f t="shared" ref="I3:I31" ca="1" si="8">IF(INDIRECT("Sales!FO"&amp;ROW())="","",VALUE(INDIRECT("Sales!FO"&amp;ROW())))</f>
        <v>79.5</v>
      </c>
      <c r="J3" s="197">
        <f ca="1">IF(A3="","",OFFSET('Commission splits'!$A$3,MATCH(Commission!$O3,'Commission splits'!$A$4:$A$10,0),2)*OFFSET('Policy breakdown'!$A$2,MATCH(Commission!$C3,'Policy breakdown'!$A$3:$A$41,0),7)+OFFSET('Commission splits'!$A$3,MATCH(Commission!$O3,'Commission splits'!$A$4:$A$10,0),5)*OFFSET('Policy breakdown'!$A$2,MATCH(Commission!$C3,'Policy breakdown'!$A$3:$A$41,0),8)+$F3*'Policy breakdown'!$I$33*OFFSET('Commission splits'!$A$3,MATCH(Commission!$O3,'Commission splits'!$A$4:$A$10,0),5))</f>
        <v>19.3</v>
      </c>
      <c r="K3" s="197">
        <f ca="1">IF(A3="","",OFFSET('Commission splits'!$A$3,MATCH(Commission!$O3,'Commission splits'!$A$4:$A$10,0),1)*OFFSET('Policy breakdown'!$A$2,MATCH(Commission!$C3,'[1]Policy breakdown'!$A$3:$A$41,0),7)+OFFSET('Commission splits'!$A$3,MATCH(Commission!$O3,'Commission splits'!$A$4:$A$10,0),4)*OFFSET('Policy breakdown'!$A$2,MATCH(Commission!$C3,'Policy breakdown'!$A$3:$A$41,0),8)+$F3*'Policy breakdown'!$I$33*OFFSET('Commission splits'!$A$3,MATCH(Commission!$O3,'Commission splits'!$A$4:$A$10,0),4))</f>
        <v>60.2</v>
      </c>
      <c r="L3" s="197">
        <f t="shared" ref="L3:L8" ca="1" si="9">IF(A3="","",IF(INDIRECT("Sales!FP"&amp;ROW())="","",VALUE(INDIRECT("Sales!FP"&amp;ROW()))))</f>
        <v>17</v>
      </c>
      <c r="M3" s="197">
        <f ca="1">IF(A3="","",$L3*OFFSET('Commission splits'!$A$3,MATCH(Commission!$O3,'Commission splits'!$A$4:$A$10,0),5))</f>
        <v>6.8000000000000007</v>
      </c>
      <c r="N3" s="197">
        <f ca="1">IF(A3="","",$L3*OFFSET('Commission splits'!$A$3,MATCH(Commission!$O3,'Commission splits'!$A$4:$A$10,0),4))</f>
        <v>10.199999999999999</v>
      </c>
      <c r="O3" t="str">
        <f ca="1">IF(A3="","",OFFSET(Agent!$A$2,MATCH(Commission!H3,Agent!$A$3:$A$2000,0),21))</f>
        <v>Active</v>
      </c>
      <c r="P3" t="str">
        <f t="shared" ref="P3" ca="1" si="10">IF(A3="","",INDIRECT("Sales!FS"&amp;ROW()))</f>
        <v>Cancelled</v>
      </c>
      <c r="Q3" s="197">
        <f t="shared" ref="Q3:Q8" ca="1" si="11">IF(A3="","",IF(INDIRECT("Sales!FS"&amp;ROW())="Cancelled",0,INDIRECT("Sales!FL"&amp;ROW())))</f>
        <v>0</v>
      </c>
      <c r="S3" s="197">
        <f t="array" aca="1" ref="S3" ca="1">IF(A3="","",SUM((CommReceived!$D$2:$D$1001=Commission!$B3)*(CommReceived!$F$2:$F$1001))+AK3)</f>
        <v>402</v>
      </c>
      <c r="T3" s="197" t="str">
        <f t="shared" ref="T3:T8" ca="1" si="12">IF($A3="","",IF(P3="Cancelled","",IF(D3&gt;$AD$1,0,IF($W3="Y",VALUE(INDIRECT("Sales!FD"&amp;ROW())),VALUE(INDIRECT("Sales!FE"&amp;ROW()))))))</f>
        <v/>
      </c>
      <c r="U3" s="197" t="str">
        <f t="shared" ref="U3:U8" ca="1" si="13">IF(A3="","",IF(P3="Cancelled","",AK3+S3-T3))</f>
        <v/>
      </c>
      <c r="V3" s="400" t="str">
        <f t="shared" ref="V3" ca="1" si="14">IF(AND(P3&lt;&gt;"Active",P3&lt;&gt;"Dormant"),"",IF(OR(S3=0,S3&lt;T3),0,1))</f>
        <v/>
      </c>
      <c r="W3" s="400" t="str">
        <f ca="1">IF(A3="","",IF(AND(($D3)&gt;=($AB$1),($D3)&lt;=($AD$1),P3="Active"),"Y",""))</f>
        <v/>
      </c>
      <c r="X3" s="197" t="str">
        <f ca="1">IF(V3="","",IF(V3&lt;&gt;1,"",IF(W3="y",J3,M3*V3)))</f>
        <v/>
      </c>
      <c r="Y3" s="197" t="str">
        <f ca="1">IF(V3="","",IF(V3&lt;&gt;1,"",IF(W3="y",K3,N3*V3)))</f>
        <v/>
      </c>
      <c r="AB3"/>
      <c r="AC3" s="197">
        <f t="shared" ref="AC3" ca="1" si="15">IF(A3="","",IF(V3=1,T3,0))</f>
        <v>0</v>
      </c>
      <c r="AD3" s="197" t="str">
        <f ca="1">IF(OR(A3="",AC3=0),"",INDIRECT("Sales!FH"&amp;ROW())*Commission!V3)</f>
        <v/>
      </c>
      <c r="AE3" s="197" t="str">
        <f t="shared" ref="AE3" ca="1" si="16">IF(OR($A3="",$AC3=0),"",T3-AD3)</f>
        <v/>
      </c>
      <c r="AF3" s="197" t="str">
        <f t="shared" ref="AF3" ca="1" si="17">IF(OR($A3="",$AC3=0),"",SUM(X3:Y3))</f>
        <v/>
      </c>
      <c r="AG3" s="197" t="str">
        <f t="shared" ref="AG3" ca="1" si="18">IF(OR(AC3=0,A3=""),"",INDIRECT("Sales!FL"&amp;ROW()))</f>
        <v/>
      </c>
      <c r="AH3" s="197" t="str">
        <f t="shared" ref="AH3" ca="1" si="19">IF(OR(AC3=0,A3=""),"",AE3-SUM(AF3:AG3))</f>
        <v/>
      </c>
      <c r="AI3" s="400" t="str">
        <f t="shared" ref="AI3" ca="1" si="20">IF(V3="","",IF(AND(W3="y",V3=1,AG3&gt;0),"Y",""))</f>
        <v/>
      </c>
      <c r="AL3" s="197">
        <f t="shared" ref="AL3" ca="1" si="21">IF(A3="","",IF(V3&lt;&gt;1,S3,U3))</f>
        <v>402</v>
      </c>
      <c r="AQ3" t="s">
        <v>1655</v>
      </c>
    </row>
    <row r="4" spans="1:43">
      <c r="A4" s="230" t="str">
        <f t="shared" ca="1" si="0"/>
        <v>9575</v>
      </c>
      <c r="B4">
        <f t="shared" ca="1" si="1"/>
        <v>50260111</v>
      </c>
      <c r="C4" t="str">
        <f t="shared" ca="1" si="2"/>
        <v>ACF10</v>
      </c>
      <c r="D4" s="401">
        <f t="shared" ca="1" si="3"/>
        <v>42095</v>
      </c>
      <c r="E4" t="str">
        <f t="shared" ca="1" si="4"/>
        <v>N M L Jonkers</v>
      </c>
      <c r="F4">
        <f t="shared" ref="F4" ca="1" si="22">IF(A4="","",IF(INDIRECT("Sales!EU"&amp;ROW())="",0,INDIRECT("Sales!EU"&amp;ROW())))</f>
        <v>1</v>
      </c>
      <c r="G4" t="str">
        <f t="shared" ref="G4" ca="1" si="23">IF(A4="","",LEFT(H4,4))</f>
        <v>jdj1</v>
      </c>
      <c r="H4" t="str">
        <f t="shared" ca="1" si="7"/>
        <v>jdj1/1001</v>
      </c>
      <c r="I4" s="197">
        <f t="shared" ca="1" si="8"/>
        <v>83.5</v>
      </c>
      <c r="J4" s="197">
        <f ca="1">IF(A4="","",OFFSET('Commission splits'!$A$3,MATCH(Commission!$O4,'Commission splits'!$A$4:$A$10,0),2)*OFFSET('Policy breakdown'!$A$2,MATCH(Commission!$C4,'Policy breakdown'!$A$3:$A$41,0),7)+OFFSET('Commission splits'!$A$3,MATCH(Commission!$O4,'Commission splits'!$A$4:$A$10,0),5)*OFFSET('Policy breakdown'!$A$2,MATCH(Commission!$C4,'Policy breakdown'!$A$3:$A$41,0),8)+$F4*'Policy breakdown'!$I$33*OFFSET('Commission splits'!$A$3,MATCH(Commission!$O4,'Commission splits'!$A$4:$A$10,0),5))</f>
        <v>20.900000000000002</v>
      </c>
      <c r="K4" s="197">
        <f ca="1">IF(A4="","",OFFSET('Commission splits'!$A$3,MATCH(Commission!$O4,'Commission splits'!$A$4:$A$10,0),1)*OFFSET('Policy breakdown'!$A$2,MATCH(Commission!$C4,'[1]Policy breakdown'!$A$3:$A$41,0),7)+OFFSET('Commission splits'!$A$3,MATCH(Commission!$O4,'Commission splits'!$A$4:$A$10,0),4)*OFFSET('Policy breakdown'!$A$2,MATCH(Commission!$C4,'Policy breakdown'!$A$3:$A$41,0),8)+$F4*'Policy breakdown'!$I$33*OFFSET('Commission splits'!$A$3,MATCH(Commission!$O4,'Commission splits'!$A$4:$A$10,0),4))</f>
        <v>62.6</v>
      </c>
      <c r="L4" s="197">
        <f t="shared" ca="1" si="9"/>
        <v>21</v>
      </c>
      <c r="M4" s="197">
        <f ca="1">IF(A4="","",$L4*OFFSET('Commission splits'!$A$3,MATCH(Commission!$O4,'Commission splits'!$A$4:$A$10,0),5))</f>
        <v>8.4</v>
      </c>
      <c r="N4" s="197">
        <f ca="1">IF(A4="","",$L4*OFFSET('Commission splits'!$A$3,MATCH(Commission!$O4,'Commission splits'!$A$4:$A$10,0),4))</f>
        <v>12.6</v>
      </c>
      <c r="O4" t="str">
        <f ca="1">IF(A4="","",OFFSET(Agent!$A$2,MATCH(Commission!H4,Agent!$A$3:$A$2000,0),21))</f>
        <v>Active</v>
      </c>
      <c r="P4" t="str">
        <f t="shared" ref="P4" ca="1" si="24">IF(A4="","",INDIRECT("Sales!FS"&amp;ROW()))</f>
        <v>Active</v>
      </c>
      <c r="Q4" s="197">
        <f t="shared" ca="1" si="11"/>
        <v>32.75</v>
      </c>
      <c r="S4" s="197">
        <f t="array" aca="1" ref="S4" ca="1">IF(A4="","",SUM((CommReceived!$D$2:$D$1001=Commission!$B4)*(CommReceived!$F$2:$F$1001))+AK4)</f>
        <v>611</v>
      </c>
      <c r="T4" s="197">
        <f t="shared" ca="1" si="12"/>
        <v>159</v>
      </c>
      <c r="U4" s="197">
        <f t="shared" ca="1" si="13"/>
        <v>452</v>
      </c>
      <c r="V4" s="400">
        <f t="shared" ref="V4" ca="1" si="25">IF(AND(P4&lt;&gt;"Active",P4&lt;&gt;"Dormant"),"",IF(OR(S4=0,S4&lt;T4),0,1))</f>
        <v>1</v>
      </c>
      <c r="W4" s="428" t="str">
        <f t="shared" ref="W4:W8" ca="1" si="26">IF(A4="","",IF(AND(($D4)&gt;=($AB$1),($D4)&lt;=($AD$1),P4="Active"),"Y",""))</f>
        <v/>
      </c>
      <c r="X4" s="197">
        <f t="shared" ref="X4:X8" ca="1" si="27">IF(V4="","",IF(V4&lt;&gt;1,"",IF(W4="y",J4,M4*V4)))</f>
        <v>8.4</v>
      </c>
      <c r="Y4" s="197">
        <f t="shared" ref="Y4:Y8" ca="1" si="28">IF(V4="","",IF(V4&lt;&gt;1,"",IF(W4="y",K4,N4*V4)))</f>
        <v>12.6</v>
      </c>
      <c r="AB4"/>
      <c r="AC4" s="197">
        <f t="shared" ref="AC4" ca="1" si="29">IF(A4="","",IF(V4=1,T4,0))</f>
        <v>159</v>
      </c>
      <c r="AD4" s="197">
        <f ca="1">IF(OR(A4="",AC4=0),"",INDIRECT("Sales!FH"&amp;ROW())*Commission!V4)</f>
        <v>70</v>
      </c>
      <c r="AE4" s="197">
        <f t="shared" ref="AE4" ca="1" si="30">IF(OR($A4="",$AC4=0),"",T4-AD4)</f>
        <v>89</v>
      </c>
      <c r="AF4" s="197">
        <f t="shared" ref="AF4" ca="1" si="31">IF(OR($A4="",$AC4=0),"",SUM(X4:Y4))</f>
        <v>21</v>
      </c>
      <c r="AG4" s="197">
        <f t="shared" ref="AG4" ca="1" si="32">IF(OR(AC4=0,A4=""),"",INDIRECT("Sales!FL"&amp;ROW()))</f>
        <v>32.75</v>
      </c>
      <c r="AH4" s="197">
        <f t="shared" ref="AH4" ca="1" si="33">IF(OR(AC4=0,A4=""),"",AE4-SUM(AF4:AG4))</f>
        <v>35.25</v>
      </c>
      <c r="AI4" s="400" t="str">
        <f t="shared" ref="AI4" ca="1" si="34">IF(V4="","",IF(AND(W4="y",V4=1,AG4&gt;0),"Y",""))</f>
        <v/>
      </c>
      <c r="AL4" s="197">
        <f t="shared" ref="AL4" ca="1" si="35">IF(A4="","",IF(V4&lt;&gt;1,S4,U4))</f>
        <v>452</v>
      </c>
      <c r="AQ4" t="s">
        <v>1656</v>
      </c>
    </row>
    <row r="5" spans="1:43">
      <c r="A5" s="230" t="str">
        <f t="shared" ca="1" si="0"/>
        <v>9575</v>
      </c>
      <c r="B5">
        <f t="shared" ca="1" si="1"/>
        <v>50260327</v>
      </c>
      <c r="C5" t="str">
        <f t="shared" ca="1" si="2"/>
        <v>ACF10</v>
      </c>
      <c r="D5" s="401">
        <f t="shared" ca="1" si="3"/>
        <v>42186</v>
      </c>
      <c r="E5" t="str">
        <f t="shared" ca="1" si="4"/>
        <v>F Dass</v>
      </c>
      <c r="F5">
        <f t="shared" ref="F5" ca="1" si="36">IF(A5="","",IF(INDIRECT("Sales!EU"&amp;ROW())="",0,INDIRECT("Sales!EU"&amp;ROW())))</f>
        <v>0</v>
      </c>
      <c r="G5" t="str">
        <f t="shared" ref="G5" ca="1" si="37">IF(A5="","",LEFT(H5,4))</f>
        <v>dfb1</v>
      </c>
      <c r="H5" t="str">
        <f t="shared" ca="1" si="7"/>
        <v>dfb1/1202</v>
      </c>
      <c r="I5" s="197">
        <f t="shared" ca="1" si="8"/>
        <v>79.5</v>
      </c>
      <c r="J5" s="197">
        <f ca="1">IF(A5="","",OFFSET('Commission splits'!$A$3,MATCH(Commission!$O5,'Commission splits'!$A$4:$A$10,0),2)*OFFSET('Policy breakdown'!$A$2,MATCH(Commission!$C5,'Policy breakdown'!$A$3:$A$41,0),7)+OFFSET('Commission splits'!$A$3,MATCH(Commission!$O5,'Commission splits'!$A$4:$A$10,0),5)*OFFSET('Policy breakdown'!$A$2,MATCH(Commission!$C5,'Policy breakdown'!$A$3:$A$41,0),8)+$F5*'Policy breakdown'!$I$33*OFFSET('Commission splits'!$A$3,MATCH(Commission!$O5,'Commission splits'!$A$4:$A$10,0),5))</f>
        <v>24.4</v>
      </c>
      <c r="K5" s="197">
        <f ca="1">IF(A5="","",OFFSET('Commission splits'!$A$3,MATCH(Commission!$O5,'Commission splits'!$A$4:$A$10,0),1)*OFFSET('Policy breakdown'!$A$2,MATCH(Commission!$C5,'[1]Policy breakdown'!$A$3:$A$41,0),7)+OFFSET('Commission splits'!$A$3,MATCH(Commission!$O5,'Commission splits'!$A$4:$A$10,0),4)*OFFSET('Policy breakdown'!$A$2,MATCH(Commission!$C5,'Policy breakdown'!$A$3:$A$41,0),8)+$F5*'Policy breakdown'!$I$33*OFFSET('Commission splits'!$A$3,MATCH(Commission!$O5,'Commission splits'!$A$4:$A$10,0),4))</f>
        <v>50</v>
      </c>
      <c r="L5" s="197">
        <f t="shared" ca="1" si="9"/>
        <v>17</v>
      </c>
      <c r="M5" s="197">
        <f ca="1">IF(A5="","",$L5*OFFSET('Commission splits'!$A$3,MATCH(Commission!$O5,'Commission splits'!$A$4:$A$10,0),5))</f>
        <v>11.899999999999999</v>
      </c>
      <c r="N5" s="197">
        <f ca="1">IF(A5="","",$L5*OFFSET('Commission splits'!$A$3,MATCH(Commission!$O5,'Commission splits'!$A$4:$A$10,0),4))</f>
        <v>0</v>
      </c>
      <c r="O5" t="str">
        <f ca="1">IF(A5="","",OFFSET(Agent!$A$2,MATCH(Commission!H5,Agent!$A$3:$A$2000,0),21))</f>
        <v>Terminated</v>
      </c>
      <c r="P5" t="str">
        <f t="shared" ref="P5" ca="1" si="38">IF(A5="","",INDIRECT("Sales!FS"&amp;ROW()))</f>
        <v>Cancelled</v>
      </c>
      <c r="Q5" s="197">
        <f t="shared" ca="1" si="11"/>
        <v>0</v>
      </c>
      <c r="S5" s="197">
        <f t="array" aca="1" ref="S5" ca="1">IF(A5="","",SUM((CommReceived!$D$2:$D$1001=Commission!$B5)*(CommReceived!$F$2:$F$1001))+AK5)</f>
        <v>0</v>
      </c>
      <c r="T5" s="197" t="str">
        <f t="shared" ca="1" si="12"/>
        <v/>
      </c>
      <c r="U5" s="197" t="str">
        <f t="shared" ca="1" si="13"/>
        <v/>
      </c>
      <c r="V5" s="400" t="str">
        <f t="shared" ref="V5" ca="1" si="39">IF(AND(P5&lt;&gt;"Active",P5&lt;&gt;"Dormant"),"",IF(OR(S5=0,S5&lt;T5),0,1))</f>
        <v/>
      </c>
      <c r="W5" s="428" t="str">
        <f t="shared" ca="1" si="26"/>
        <v/>
      </c>
      <c r="X5" s="197" t="str">
        <f t="shared" ca="1" si="27"/>
        <v/>
      </c>
      <c r="Y5" s="197" t="str">
        <f t="shared" ca="1" si="28"/>
        <v/>
      </c>
      <c r="AB5"/>
      <c r="AC5" s="197">
        <f t="shared" ref="AC5" ca="1" si="40">IF(A5="","",IF(V5=1,T5,0))</f>
        <v>0</v>
      </c>
      <c r="AD5" s="197" t="str">
        <f ca="1">IF(OR(A5="",AC5=0),"",INDIRECT("Sales!FH"&amp;ROW())*Commission!V5)</f>
        <v/>
      </c>
      <c r="AE5" s="197" t="str">
        <f t="shared" ref="AE5" ca="1" si="41">IF(OR($A5="",$AC5=0),"",T5-AD5)</f>
        <v/>
      </c>
      <c r="AF5" s="197" t="str">
        <f t="shared" ref="AF5" ca="1" si="42">IF(OR($A5="",$AC5=0),"",SUM(X5:Y5))</f>
        <v/>
      </c>
      <c r="AG5" s="197" t="str">
        <f t="shared" ref="AG5" ca="1" si="43">IF(OR(AC5=0,A5=""),"",INDIRECT("Sales!FL"&amp;ROW()))</f>
        <v/>
      </c>
      <c r="AH5" s="197" t="str">
        <f t="shared" ref="AH5" ca="1" si="44">IF(OR(AC5=0,A5=""),"",AE5-SUM(AF5:AG5))</f>
        <v/>
      </c>
      <c r="AI5" s="400" t="str">
        <f t="shared" ref="AI5" ca="1" si="45">IF(V5="","",IF(AND(W5="y",V5=1,AG5&gt;0),"Y",""))</f>
        <v/>
      </c>
      <c r="AL5" s="197">
        <f t="shared" ref="AL5" ca="1" si="46">IF(A5="","",IF(V5&lt;&gt;1,S5,U5))</f>
        <v>0</v>
      </c>
    </row>
    <row r="6" spans="1:43">
      <c r="A6" s="230" t="str">
        <f t="shared" ca="1" si="0"/>
        <v>9575</v>
      </c>
      <c r="B6">
        <f t="shared" ca="1" si="1"/>
        <v>50260012</v>
      </c>
      <c r="C6" t="str">
        <f t="shared" ca="1" si="2"/>
        <v>ACF10</v>
      </c>
      <c r="D6" s="401">
        <f t="shared" ca="1" si="3"/>
        <v>42125</v>
      </c>
      <c r="E6" t="str">
        <f t="shared" ca="1" si="4"/>
        <v>Zelda Kleinsmith</v>
      </c>
      <c r="F6">
        <f t="shared" ref="F6" ca="1" si="47">IF(A6="","",IF(INDIRECT("Sales!EU"&amp;ROW())="",0,INDIRECT("Sales!EU"&amp;ROW())))</f>
        <v>0</v>
      </c>
      <c r="G6" t="str">
        <f t="shared" ref="G6" ca="1" si="48">IF(A6="","",LEFT(H6,4))</f>
        <v>tjv1</v>
      </c>
      <c r="H6" t="str">
        <f t="shared" ca="1" si="7"/>
        <v>tjv1/1000</v>
      </c>
      <c r="I6" s="197">
        <f t="shared" ca="1" si="8"/>
        <v>79.5</v>
      </c>
      <c r="J6" s="197">
        <f ca="1">IF(A6="","",OFFSET('Commission splits'!$A$3,MATCH(Commission!$O6,'Commission splits'!$A$4:$A$10,0),2)*OFFSET('Policy breakdown'!$A$2,MATCH(Commission!$C6,'Policy breakdown'!$A$3:$A$41,0),7)+OFFSET('Commission splits'!$A$3,MATCH(Commission!$O6,'Commission splits'!$A$4:$A$10,0),5)*OFFSET('Policy breakdown'!$A$2,MATCH(Commission!$C6,'Policy breakdown'!$A$3:$A$41,0),8)+$F6*'Policy breakdown'!$I$33*OFFSET('Commission splits'!$A$3,MATCH(Commission!$O6,'Commission splits'!$A$4:$A$10,0),5))</f>
        <v>19.3</v>
      </c>
      <c r="K6" s="197">
        <f ca="1">IF(A6="","",OFFSET('Commission splits'!$A$3,MATCH(Commission!$O6,'Commission splits'!$A$4:$A$10,0),1)*OFFSET('Policy breakdown'!$A$2,MATCH(Commission!$C6,'[1]Policy breakdown'!$A$3:$A$41,0),7)+OFFSET('Commission splits'!$A$3,MATCH(Commission!$O6,'Commission splits'!$A$4:$A$10,0),4)*OFFSET('Policy breakdown'!$A$2,MATCH(Commission!$C6,'Policy breakdown'!$A$3:$A$41,0),8)+$F6*'Policy breakdown'!$I$33*OFFSET('Commission splits'!$A$3,MATCH(Commission!$O6,'Commission splits'!$A$4:$A$10,0),4))</f>
        <v>60.2</v>
      </c>
      <c r="L6" s="197">
        <f t="shared" ca="1" si="9"/>
        <v>17</v>
      </c>
      <c r="M6" s="197">
        <f ca="1">IF(A6="","",$L6*OFFSET('Commission splits'!$A$3,MATCH(Commission!$O6,'Commission splits'!$A$4:$A$10,0),5))</f>
        <v>6.8000000000000007</v>
      </c>
      <c r="N6" s="197">
        <f ca="1">IF(A6="","",$L6*OFFSET('Commission splits'!$A$3,MATCH(Commission!$O6,'Commission splits'!$A$4:$A$10,0),4))</f>
        <v>10.199999999999999</v>
      </c>
      <c r="O6" t="str">
        <f ca="1">IF(A6="","",OFFSET(Agent!$A$2,MATCH(Commission!H6,Agent!$A$3:$A$2000,0),21))</f>
        <v>Active</v>
      </c>
      <c r="P6" t="str">
        <f t="shared" ref="P6" ca="1" si="49">IF(A6="","",INDIRECT("Sales!FS"&amp;ROW()))</f>
        <v>Cancelled</v>
      </c>
      <c r="Q6" s="197">
        <f t="shared" ca="1" si="11"/>
        <v>0</v>
      </c>
      <c r="S6" s="197">
        <f t="array" aca="1" ref="S6" ca="1">IF(A6="","",SUM((CommReceived!$D$2:$D$1001=Commission!$B6)*(CommReceived!$F$2:$F$1001))+AK6)</f>
        <v>0</v>
      </c>
      <c r="T6" s="197" t="str">
        <f t="shared" ca="1" si="12"/>
        <v/>
      </c>
      <c r="U6" s="197" t="str">
        <f t="shared" ca="1" si="13"/>
        <v/>
      </c>
      <c r="V6" s="400" t="str">
        <f t="shared" ref="V6" ca="1" si="50">IF(AND(P6&lt;&gt;"Active",P6&lt;&gt;"Dormant"),"",IF(OR(S6=0,S6&lt;T6),0,1))</f>
        <v/>
      </c>
      <c r="W6" s="428" t="str">
        <f t="shared" ca="1" si="26"/>
        <v/>
      </c>
      <c r="X6" s="197" t="str">
        <f t="shared" ca="1" si="27"/>
        <v/>
      </c>
      <c r="Y6" s="197" t="str">
        <f t="shared" ca="1" si="28"/>
        <v/>
      </c>
      <c r="AB6"/>
      <c r="AC6" s="197">
        <f t="shared" ref="AC6" ca="1" si="51">IF(A6="","",IF(V6=1,T6,0))</f>
        <v>0</v>
      </c>
      <c r="AD6" s="197" t="str">
        <f ca="1">IF(OR(A6="",AC6=0),"",INDIRECT("Sales!FH"&amp;ROW())*Commission!V6)</f>
        <v/>
      </c>
      <c r="AE6" s="197" t="str">
        <f t="shared" ref="AE6" ca="1" si="52">IF(OR($A6="",$AC6=0),"",T6-AD6)</f>
        <v/>
      </c>
      <c r="AF6" s="197" t="str">
        <f t="shared" ref="AF6" ca="1" si="53">IF(OR($A6="",$AC6=0),"",SUM(X6:Y6))</f>
        <v/>
      </c>
      <c r="AG6" s="197" t="str">
        <f t="shared" ref="AG6" ca="1" si="54">IF(OR(AC6=0,A6=""),"",INDIRECT("Sales!FL"&amp;ROW()))</f>
        <v/>
      </c>
      <c r="AH6" s="197" t="str">
        <f t="shared" ref="AH6" ca="1" si="55">IF(OR(AC6=0,A6=""),"",AE6-SUM(AF6:AG6))</f>
        <v/>
      </c>
      <c r="AI6" s="400" t="str">
        <f t="shared" ref="AI6" ca="1" si="56">IF(V6="","",IF(AND(W6="y",V6=1,AG6&gt;0),"Y",""))</f>
        <v/>
      </c>
      <c r="AL6" s="197">
        <f t="shared" ref="AL6" ca="1" si="57">IF(A6="","",IF(V6&lt;&gt;1,S6,U6))</f>
        <v>0</v>
      </c>
    </row>
    <row r="7" spans="1:43">
      <c r="A7">
        <f t="shared" ca="1" si="0"/>
        <v>9575</v>
      </c>
      <c r="B7">
        <f t="shared" ca="1" si="1"/>
        <v>50260129</v>
      </c>
      <c r="C7" t="str">
        <f t="shared" ca="1" si="2"/>
        <v>ACF10</v>
      </c>
      <c r="D7" s="401">
        <f t="shared" ca="1" si="3"/>
        <v>42156</v>
      </c>
      <c r="E7" t="str">
        <f t="shared" ca="1" si="4"/>
        <v>Maroschoné Petra Jonkers</v>
      </c>
      <c r="F7">
        <f t="shared" ref="F7" ca="1" si="58">IF(A7="","",IF(INDIRECT("Sales!EU"&amp;ROW())="",0,INDIRECT("Sales!EU"&amp;ROW())))</f>
        <v>0</v>
      </c>
      <c r="G7" t="str">
        <f t="shared" ref="G7" ca="1" si="59">IF(A7="","",LEFT(H7,4))</f>
        <v>jdj1</v>
      </c>
      <c r="H7" t="str">
        <f t="shared" ca="1" si="7"/>
        <v>jdj1/1001</v>
      </c>
      <c r="I7" s="197">
        <f t="shared" ca="1" si="8"/>
        <v>79.5</v>
      </c>
      <c r="J7" s="197">
        <f ca="1">IF(A7="","",OFFSET('Commission splits'!$A$3,MATCH(Commission!$O7,'Commission splits'!$A$4:$A$10,0),2)*OFFSET('Policy breakdown'!$A$2,MATCH(Commission!$C7,'Policy breakdown'!$A$3:$A$41,0),7)+OFFSET('Commission splits'!$A$3,MATCH(Commission!$O7,'Commission splits'!$A$4:$A$10,0),5)*OFFSET('Policy breakdown'!$A$2,MATCH(Commission!$C7,'Policy breakdown'!$A$3:$A$41,0),8)+$F7*'Policy breakdown'!$I$33*OFFSET('Commission splits'!$A$3,MATCH(Commission!$O7,'Commission splits'!$A$4:$A$10,0),5))</f>
        <v>19.3</v>
      </c>
      <c r="K7" s="197">
        <f ca="1">IF(A7="","",OFFSET('Commission splits'!$A$3,MATCH(Commission!$O7,'Commission splits'!$A$4:$A$10,0),1)*OFFSET('Policy breakdown'!$A$2,MATCH(Commission!$C7,'[1]Policy breakdown'!$A$3:$A$41,0),7)+OFFSET('Commission splits'!$A$3,MATCH(Commission!$O7,'Commission splits'!$A$4:$A$10,0),4)*OFFSET('Policy breakdown'!$A$2,MATCH(Commission!$C7,'Policy breakdown'!$A$3:$A$41,0),8)+$F7*'Policy breakdown'!$I$33*OFFSET('Commission splits'!$A$3,MATCH(Commission!$O7,'Commission splits'!$A$4:$A$10,0),4))</f>
        <v>60.2</v>
      </c>
      <c r="L7" s="197">
        <f t="shared" ca="1" si="9"/>
        <v>17</v>
      </c>
      <c r="M7" s="197">
        <f ca="1">IF(A7="","",$L7*OFFSET('Commission splits'!$A$3,MATCH(Commission!$O7,'Commission splits'!$A$4:$A$10,0),5))</f>
        <v>6.8000000000000007</v>
      </c>
      <c r="N7" s="197">
        <f ca="1">IF(A7="","",$L7*OFFSET('Commission splits'!$A$3,MATCH(Commission!$O7,'Commission splits'!$A$4:$A$10,0),4))</f>
        <v>10.199999999999999</v>
      </c>
      <c r="O7" t="str">
        <f ca="1">IF(A7="","",OFFSET(Agent!$A$2,MATCH(Commission!H7,Agent!$A$3:$A$2000,0),21))</f>
        <v>Active</v>
      </c>
      <c r="P7" t="str">
        <f t="shared" ref="P7" ca="1" si="60">IF(A7="","",INDIRECT("Sales!FS"&amp;ROW()))</f>
        <v>Active</v>
      </c>
      <c r="Q7" s="403" t="str">
        <f t="shared" ca="1" si="11"/>
        <v>50.00</v>
      </c>
      <c r="S7" s="197">
        <f t="array" aca="1" ref="S7" ca="1">IF(A7="","",SUM((CommReceived!$D$2:$D$1001=Commission!$B7)*(CommReceived!$F$2:$F$1001))+AK7)</f>
        <v>325</v>
      </c>
      <c r="T7" s="197">
        <f t="shared" ca="1" si="12"/>
        <v>125</v>
      </c>
      <c r="U7" s="197">
        <f t="shared" ca="1" si="13"/>
        <v>200</v>
      </c>
      <c r="V7" s="400">
        <f t="shared" ref="V7" ca="1" si="61">IF(AND(P7&lt;&gt;"Active",P7&lt;&gt;"Dormant"),"",IF(OR(S7=0,S7&lt;T7),0,1))</f>
        <v>1</v>
      </c>
      <c r="W7" s="428" t="str">
        <f t="shared" ca="1" si="26"/>
        <v/>
      </c>
      <c r="X7" s="197">
        <f t="shared" ca="1" si="27"/>
        <v>6.8000000000000007</v>
      </c>
      <c r="Y7" s="197">
        <f t="shared" ca="1" si="28"/>
        <v>10.199999999999999</v>
      </c>
      <c r="AB7"/>
      <c r="AC7" s="197">
        <f t="shared" ref="AC7" ca="1" si="62">IF(A7="","",IF(V7=1,T7,0))</f>
        <v>125</v>
      </c>
      <c r="AD7" s="197">
        <f ca="1">IF(OR(A7="",AC7=0),"",INDIRECT("Sales!FH"&amp;ROW())*Commission!V7)</f>
        <v>28</v>
      </c>
      <c r="AE7" s="197">
        <f t="shared" ref="AE7" ca="1" si="63">IF(OR($A7="",$AC7=0),"",T7-AD7)</f>
        <v>97</v>
      </c>
      <c r="AF7" s="197">
        <f t="shared" ref="AF7" ca="1" si="64">IF(OR($A7="",$AC7=0),"",SUM(X7:Y7))</f>
        <v>17</v>
      </c>
      <c r="AG7" s="197" t="str">
        <f t="shared" ref="AG7" ca="1" si="65">IF(OR(AC7=0,A7=""),"",INDIRECT("Sales!FL"&amp;ROW()))</f>
        <v>50.00</v>
      </c>
      <c r="AH7" s="197">
        <f t="shared" ref="AH7" ca="1" si="66">IF(OR(AC7=0,A7=""),"",AE7-SUM(AF7:AG7))</f>
        <v>80</v>
      </c>
      <c r="AI7" s="400" t="str">
        <f t="shared" ref="AI7" ca="1" si="67">IF(V7="","",IF(AND(W7="y",V7=1,AG7&gt;0),"Y",""))</f>
        <v/>
      </c>
      <c r="AL7" s="197">
        <f t="shared" ref="AL7" ca="1" si="68">IF(A7="","",IF(V7&lt;&gt;1,S7,U7))</f>
        <v>200</v>
      </c>
    </row>
    <row r="8" spans="1:43">
      <c r="A8">
        <f t="shared" ca="1" si="0"/>
        <v>9575</v>
      </c>
      <c r="B8">
        <f t="shared" ca="1" si="1"/>
        <v>50260145</v>
      </c>
      <c r="C8" t="str">
        <f t="shared" ca="1" si="2"/>
        <v>ACF10</v>
      </c>
      <c r="D8" s="424">
        <f t="shared" ca="1" si="3"/>
        <v>42156</v>
      </c>
      <c r="E8" t="str">
        <f t="shared" ca="1" si="4"/>
        <v>Rozanne Morris</v>
      </c>
      <c r="F8">
        <f t="shared" ref="F8" ca="1" si="69">IF(A8="","",IF(INDIRECT("Sales!EU"&amp;ROW())="",0,INDIRECT("Sales!EU"&amp;ROW())))</f>
        <v>0</v>
      </c>
      <c r="G8" t="str">
        <f t="shared" ref="G8" ca="1" si="70">IF(A8="","",LEFT(H8,4))</f>
        <v>jdj1</v>
      </c>
      <c r="H8" t="str">
        <f t="shared" ca="1" si="7"/>
        <v>jdj1/1004</v>
      </c>
      <c r="I8" s="197">
        <f t="shared" ca="1" si="8"/>
        <v>80</v>
      </c>
      <c r="J8" s="197">
        <f ca="1">IF(A8="","",OFFSET('Commission splits'!$A$3,MATCH(Commission!$O8,'Commission splits'!$A$4:$A$10,0),2)*OFFSET('Policy breakdown'!$A$2,MATCH(Commission!$C8,'Policy breakdown'!$A$3:$A$41,0),7)+OFFSET('Commission splits'!$A$3,MATCH(Commission!$O8,'Commission splits'!$A$4:$A$10,0),5)*OFFSET('Policy breakdown'!$A$2,MATCH(Commission!$C8,'Policy breakdown'!$A$3:$A$41,0),8)+$F8*'Policy breakdown'!$I$33*OFFSET('Commission splits'!$A$3,MATCH(Commission!$O8,'Commission splits'!$A$4:$A$10,0),5))</f>
        <v>19.3</v>
      </c>
      <c r="K8" s="197">
        <f ca="1">IF(A8="","",OFFSET('Commission splits'!$A$3,MATCH(Commission!$O8,'Commission splits'!$A$4:$A$10,0),1)*OFFSET('Policy breakdown'!$A$2,MATCH(Commission!$C8,'[1]Policy breakdown'!$A$3:$A$41,0),7)+OFFSET('Commission splits'!$A$3,MATCH(Commission!$O8,'Commission splits'!$A$4:$A$10,0),4)*OFFSET('Policy breakdown'!$A$2,MATCH(Commission!$C8,'Policy breakdown'!$A$3:$A$41,0),8)+$F8*'Policy breakdown'!$I$33*OFFSET('Commission splits'!$A$3,MATCH(Commission!$O8,'Commission splits'!$A$4:$A$10,0),4))</f>
        <v>60.2</v>
      </c>
      <c r="L8" s="197">
        <f t="shared" ca="1" si="9"/>
        <v>17</v>
      </c>
      <c r="M8" s="197">
        <f ca="1">IF(A8="","",$L8*OFFSET('Commission splits'!$A$3,MATCH(Commission!$O8,'Commission splits'!$A$4:$A$10,0),5))</f>
        <v>6.8000000000000007</v>
      </c>
      <c r="N8" s="197">
        <f ca="1">IF(A8="","",$L8*OFFSET('Commission splits'!$A$3,MATCH(Commission!$O8,'Commission splits'!$A$4:$A$10,0),4))</f>
        <v>10.199999999999999</v>
      </c>
      <c r="O8" t="str">
        <f ca="1">IF(A8="","",OFFSET(Agent!$A$2,MATCH(Commission!H8,Agent!$A$3:$A$2000,0),21))</f>
        <v>Active</v>
      </c>
      <c r="P8" t="str">
        <f t="shared" ref="P8" ca="1" si="71">IF(A8="","",INDIRECT("Sales!FS"&amp;ROW()))</f>
        <v>Active</v>
      </c>
      <c r="Q8" s="403">
        <f t="shared" ca="1" si="11"/>
        <v>50</v>
      </c>
      <c r="S8" s="197">
        <f t="array" aca="1" ref="S8" ca="1">IF(A8="","",SUM((CommReceived!$D$2:$D$1001=Commission!$B8)*(CommReceived!$F$2:$F$1001))+AK8)</f>
        <v>325</v>
      </c>
      <c r="T8" s="197">
        <f t="shared" ca="1" si="12"/>
        <v>125</v>
      </c>
      <c r="U8" s="197">
        <f t="shared" ca="1" si="13"/>
        <v>200</v>
      </c>
      <c r="V8" s="422">
        <f t="shared" ref="V8" ca="1" si="72">IF(AND(P8&lt;&gt;"Active",P8&lt;&gt;"Dormant"),"",IF(OR(S8=0,S8&lt;T8),0,1))</f>
        <v>1</v>
      </c>
      <c r="W8" s="428" t="str">
        <f t="shared" ca="1" si="26"/>
        <v/>
      </c>
      <c r="X8" s="197">
        <f t="shared" ca="1" si="27"/>
        <v>6.8000000000000007</v>
      </c>
      <c r="Y8" s="197">
        <f t="shared" ca="1" si="28"/>
        <v>10.199999999999999</v>
      </c>
      <c r="AB8"/>
      <c r="AC8" s="197">
        <f t="shared" ref="AC8" ca="1" si="73">IF(A8="","",IF(V8=1,T8,0))</f>
        <v>125</v>
      </c>
      <c r="AD8" s="197">
        <f ca="1">IF(OR(A8="",AC8=0),"",INDIRECT("Sales!FH"&amp;ROW())*Commission!V8)</f>
        <v>28</v>
      </c>
      <c r="AE8" s="197">
        <f t="shared" ref="AE8" ca="1" si="74">IF(OR($A8="",$AC8=0),"",T8-AD8)</f>
        <v>97</v>
      </c>
      <c r="AF8" s="197">
        <f t="shared" ref="AF8" ca="1" si="75">IF(OR($A8="",$AC8=0),"",SUM(X8:Y8))</f>
        <v>17</v>
      </c>
      <c r="AG8" s="197">
        <f t="shared" ref="AG8" ca="1" si="76">IF(OR(AC8=0,A8=""),"",INDIRECT("Sales!FL"&amp;ROW()))</f>
        <v>50</v>
      </c>
      <c r="AH8" s="197">
        <f t="shared" ref="AH8" ca="1" si="77">IF(OR(AC8=0,A8=""),"",AE8-SUM(AF8:AG8))</f>
        <v>30</v>
      </c>
      <c r="AI8" s="422" t="str">
        <f t="shared" ref="AI8" ca="1" si="78">IF(V8="","",IF(AND(W8="y",V8=1,AG8&gt;0),"Y",""))</f>
        <v/>
      </c>
      <c r="AL8" s="197">
        <f t="shared" ref="AL8" ca="1" si="79">IF(A8="","",IF(V8&lt;&gt;1,S8,U8))</f>
        <v>200</v>
      </c>
    </row>
    <row r="9" spans="1:43">
      <c r="A9">
        <f t="shared" ca="1" si="0"/>
        <v>9575</v>
      </c>
      <c r="B9">
        <f t="shared" ca="1" si="1"/>
        <v>50260525</v>
      </c>
      <c r="C9" t="str">
        <f t="shared" ca="1" si="2"/>
        <v>GBF48</v>
      </c>
      <c r="D9" s="429">
        <f t="shared" ca="1" si="3"/>
        <v>42125</v>
      </c>
      <c r="E9" t="str">
        <f t="shared" ca="1" si="4"/>
        <v>M C J Van Wyk</v>
      </c>
      <c r="F9" s="198">
        <v>1</v>
      </c>
      <c r="G9" t="str">
        <f t="shared" ref="G9" ca="1" si="80">IF(A9="","",LEFT(H9,4))</f>
        <v>cdr1</v>
      </c>
      <c r="H9" t="str">
        <f t="shared" ca="1" si="7"/>
        <v>cdr1/1001</v>
      </c>
      <c r="I9" s="197">
        <f t="shared" ca="1" si="8"/>
        <v>62</v>
      </c>
      <c r="J9" s="197">
        <f ca="1">IF(A9="","",OFFSET('Commission splits'!$A$3,MATCH(Commission!$O9,'Commission splits'!$A$4:$A$10,0),2)*OFFSET('Policy breakdown'!$A$2,MATCH(Commission!$C9,'Policy breakdown'!$A$3:$A$41,0),7)+OFFSET('Commission splits'!$A$3,MATCH(Commission!$O9,'Commission splits'!$A$4:$A$10,0),5)*OFFSET('Policy breakdown'!$A$2,MATCH(Commission!$C9,'Policy breakdown'!$A$3:$A$41,0),8)+$F9*'Policy breakdown'!$I$33*OFFSET('Commission splits'!$A$3,MATCH(Commission!$O9,'Commission splits'!$A$4:$A$10,0),5))</f>
        <v>14.6</v>
      </c>
      <c r="K9" s="197">
        <f ca="1">IF(A9="","",OFFSET('Commission splits'!$A$3,MATCH(Commission!$O9,'Commission splits'!$A$4:$A$10,0),1)*OFFSET('Policy breakdown'!$A$2,MATCH(Commission!$C9,'[1]Policy breakdown'!$A$3:$A$41,0),7)+OFFSET('Commission splits'!$A$3,MATCH(Commission!$O9,'Commission splits'!$A$4:$A$10,0),4)*OFFSET('Policy breakdown'!$A$2,MATCH(Commission!$C9,'Policy breakdown'!$A$3:$A$41,0),8)+$F9*'Policy breakdown'!$I$33*OFFSET('Commission splits'!$A$3,MATCH(Commission!$O9,'Commission splits'!$A$4:$A$10,0),4))</f>
        <v>46.9</v>
      </c>
      <c r="L9" s="197">
        <f t="shared" ref="L9" ca="1" si="81">IF(A9="","",IF(INDIRECT("Sales!FP"&amp;ROW())="","",VALUE(INDIRECT("Sales!FP"&amp;ROW()))))</f>
        <v>12</v>
      </c>
      <c r="M9" s="197">
        <f ca="1">IF(A9="","",$L9*OFFSET('Commission splits'!$A$3,MATCH(Commission!$O9,'Commission splits'!$A$4:$A$10,0),5))</f>
        <v>4.8000000000000007</v>
      </c>
      <c r="N9" s="197">
        <f ca="1">IF(A9="","",$L9*OFFSET('Commission splits'!$A$3,MATCH(Commission!$O9,'Commission splits'!$A$4:$A$10,0),4))</f>
        <v>7.1999999999999993</v>
      </c>
      <c r="O9" t="str">
        <f ca="1">IF(A9="","",OFFSET(Agent!$A$2,MATCH(Commission!H9,Agent!$A$3:$A$2000,0),21))</f>
        <v>Active</v>
      </c>
      <c r="P9" t="str">
        <f t="shared" ref="P9" ca="1" si="82">IF(A9="","",INDIRECT("Sales!FS"&amp;ROW()))</f>
        <v>Active</v>
      </c>
      <c r="Q9" s="403">
        <f t="shared" ref="Q9:Q18" ca="1" si="83">IF(A9="","",IF(INDIRECT("Sales!FS"&amp;ROW())="Cancelled",0,INDIRECT("Sales!FL"&amp;ROW())))</f>
        <v>0</v>
      </c>
      <c r="S9" s="197">
        <f t="array" aca="1" ref="S9" ca="1">IF(A9="","",SUM((CommReceived!$D$2:$D$1001=Commission!$B9)*(CommReceived!$F$2:$F$1001))+AK9)</f>
        <v>246</v>
      </c>
      <c r="T9" s="197">
        <f t="shared" ref="T9" ca="1" si="84">IF($A9="","",IF(P9="Cancelled","",IF(D9&gt;$AD$1,0,IF($W9="Y",VALUE(INDIRECT("Sales!FD"&amp;ROW())),VALUE(INDIRECT("Sales!FE"&amp;ROW()))))))</f>
        <v>98</v>
      </c>
      <c r="U9" s="197">
        <f t="shared" ref="U9" ca="1" si="85">IF(A9="","",IF(P9="Cancelled","",AK9+S9-T9))</f>
        <v>148</v>
      </c>
      <c r="V9" s="433">
        <f t="shared" ref="V9" ca="1" si="86">IF(AND(P9&lt;&gt;"Active",P9&lt;&gt;"Dormant"),"",IF(OR(S9=0,S9&lt;T9),0,1))</f>
        <v>1</v>
      </c>
      <c r="W9" s="433" t="str">
        <f t="shared" ref="W9" ca="1" si="87">IF(A9="","",IF(AND(($D9)&gt;=($AB$1),($D9)&lt;=($AD$1),P9="Active"),"Y",""))</f>
        <v/>
      </c>
      <c r="X9" s="197">
        <f t="shared" ref="X9" ca="1" si="88">IF(V9="","",IF(V9&lt;&gt;1,"",IF(W9="y",J9,M9*V9)))</f>
        <v>4.8000000000000007</v>
      </c>
      <c r="Y9" s="197">
        <f t="shared" ref="Y9" ca="1" si="89">IF(V9="","",IF(V9&lt;&gt;1,"",IF(W9="y",K9,N9*V9)))</f>
        <v>7.1999999999999993</v>
      </c>
      <c r="AB9"/>
      <c r="AC9" s="197">
        <f t="shared" ref="AC9" ca="1" si="90">IF(A9="","",IF(V9=1,T9,0))</f>
        <v>98</v>
      </c>
      <c r="AD9" s="197">
        <f ca="1">IF(OR(A9="",AC9=0),"",INDIRECT("Sales!FH"&amp;ROW())*Commission!V9)</f>
        <v>50</v>
      </c>
      <c r="AE9" s="197">
        <f t="shared" ref="AE9" ca="1" si="91">IF(OR($A9="",$AC9=0),"",T9-AD9)</f>
        <v>48</v>
      </c>
      <c r="AF9" s="197">
        <f t="shared" ref="AF9" ca="1" si="92">IF(OR($A9="",$AC9=0),"",SUM(X9:Y9))</f>
        <v>12</v>
      </c>
      <c r="AG9" s="197">
        <f t="shared" ref="AG9" ca="1" si="93">IF(OR(AC9=0,A9=""),"",INDIRECT("Sales!FL"&amp;ROW()))</f>
        <v>0</v>
      </c>
      <c r="AH9" s="197">
        <f t="shared" ref="AH9" ca="1" si="94">IF(OR(AC9=0,A9=""),"",AE9-SUM(AF9:AG9))</f>
        <v>36</v>
      </c>
      <c r="AI9" s="433" t="str">
        <f t="shared" ref="AI9" ca="1" si="95">IF(V9="","",IF(AND(W9="y",V9=1,AG9&gt;0),"Y",""))</f>
        <v/>
      </c>
      <c r="AL9" s="197">
        <f t="shared" ref="AL9" ca="1" si="96">IF(A9="","",IF(V9&lt;&gt;1,S9,U9))</f>
        <v>148</v>
      </c>
    </row>
    <row r="10" spans="1:43">
      <c r="A10">
        <f t="shared" ca="1" si="0"/>
        <v>9575</v>
      </c>
      <c r="B10">
        <f t="shared" ca="1" si="1"/>
        <v>50260517</v>
      </c>
      <c r="C10" t="str">
        <f t="shared" ca="1" si="2"/>
        <v>GBS48</v>
      </c>
      <c r="D10" s="437">
        <f t="shared" ca="1" si="3"/>
        <v>42125</v>
      </c>
      <c r="E10" t="str">
        <f t="shared" ca="1" si="4"/>
        <v>Michael Craig Abrahams</v>
      </c>
      <c r="F10" s="198">
        <v>1</v>
      </c>
      <c r="G10" t="str">
        <f t="shared" ref="G10" ca="1" si="97">IF(A10="","",LEFT(H10,4))</f>
        <v>cdr1</v>
      </c>
      <c r="H10" t="str">
        <f t="shared" ca="1" si="7"/>
        <v>cdr1/1001</v>
      </c>
      <c r="I10" s="197">
        <f t="shared" ca="1" si="8"/>
        <v>58</v>
      </c>
      <c r="J10" s="197">
        <f ca="1">IF(A10="","",OFFSET('Commission splits'!$A$3,MATCH(Commission!$O10,'Commission splits'!$A$4:$A$10,0),2)*OFFSET('Policy breakdown'!$A$2,MATCH(Commission!$C10,'Policy breakdown'!$A$3:$A$41,0),7)+OFFSET('Commission splits'!$A$3,MATCH(Commission!$O10,'Commission splits'!$A$4:$A$10,0),5)*OFFSET('Policy breakdown'!$A$2,MATCH(Commission!$C10,'Policy breakdown'!$A$3:$A$41,0),8)+$F10*'Policy breakdown'!$I$33*OFFSET('Commission splits'!$A$3,MATCH(Commission!$O10,'Commission splits'!$A$4:$A$10,0),5))</f>
        <v>14.6</v>
      </c>
      <c r="K10" s="197">
        <f ca="1">IF(A10="","",OFFSET('Commission splits'!$A$3,MATCH(Commission!$O10,'Commission splits'!$A$4:$A$10,0),1)*OFFSET('Policy breakdown'!$A$2,MATCH(Commission!$C10,'[1]Policy breakdown'!$A$3:$A$41,0),7)+OFFSET('Commission splits'!$A$3,MATCH(Commission!$O10,'Commission splits'!$A$4:$A$10,0),4)*OFFSET('Policy breakdown'!$A$2,MATCH(Commission!$C10,'Policy breakdown'!$A$3:$A$41,0),8)+$F10*'Policy breakdown'!$I$33*OFFSET('Commission splits'!$A$3,MATCH(Commission!$O10,'Commission splits'!$A$4:$A$10,0),4))</f>
        <v>46.9</v>
      </c>
      <c r="L10" s="197">
        <f t="shared" ref="L10" ca="1" si="98">IF(A10="","",IF(INDIRECT("Sales!FP"&amp;ROW())="","",VALUE(INDIRECT("Sales!FP"&amp;ROW()))))</f>
        <v>8</v>
      </c>
      <c r="M10" s="197">
        <f ca="1">IF(A10="","",$L10*OFFSET('Commission splits'!$A$3,MATCH(Commission!$O10,'Commission splits'!$A$4:$A$10,0),5))</f>
        <v>3.2</v>
      </c>
      <c r="N10" s="197">
        <f ca="1">IF(A10="","",$L10*OFFSET('Commission splits'!$A$3,MATCH(Commission!$O10,'Commission splits'!$A$4:$A$10,0),4))</f>
        <v>4.8</v>
      </c>
      <c r="O10" t="str">
        <f ca="1">IF(A10="","",OFFSET(Agent!$A$2,MATCH(Commission!H10,Agent!$A$3:$A$2000,0),21))</f>
        <v>Active</v>
      </c>
      <c r="P10" t="str">
        <f t="shared" ref="P10" ca="1" si="99">IF(A10="","",INDIRECT("Sales!FS"&amp;ROW()))</f>
        <v>Active</v>
      </c>
      <c r="Q10" s="403">
        <f t="shared" ca="1" si="83"/>
        <v>0</v>
      </c>
      <c r="S10" s="197">
        <f t="array" aca="1" ref="S10" ca="1">IF(A10="","",SUM((CommReceived!$D$2:$D$1001=Commission!$B10)*(CommReceived!$F$2:$F$1001))+AK10)</f>
        <v>194</v>
      </c>
      <c r="T10" s="197">
        <f t="shared" ref="T10" ca="1" si="100">IF($A10="","",IF(P10="Cancelled","",IF(D10&gt;$AD$1,0,IF($W10="Y",VALUE(INDIRECT("Sales!FD"&amp;ROW())),VALUE(INDIRECT("Sales!FE"&amp;ROW()))))))</f>
        <v>48</v>
      </c>
      <c r="U10" s="197">
        <f t="shared" ref="U10" ca="1" si="101">IF(A10="","",IF(P10="Cancelled","",AK10+S10-T10))</f>
        <v>146</v>
      </c>
      <c r="V10" s="436">
        <f t="shared" ref="V10" ca="1" si="102">IF(AND(P10&lt;&gt;"Active",P10&lt;&gt;"Dormant"),"",IF(OR(S10=0,S10&lt;T10),0,1))</f>
        <v>1</v>
      </c>
      <c r="W10" s="436" t="str">
        <f t="shared" ref="W10" ca="1" si="103">IF(A10="","",IF(AND(($D10)&gt;=($AB$1),($D10)&lt;=($AD$1),P10="Active"),"Y",""))</f>
        <v/>
      </c>
      <c r="X10" s="197">
        <f t="shared" ref="X10" ca="1" si="104">IF(V10="","",IF(V10&lt;&gt;1,"",IF(W10="y",J10,M10*V10)))</f>
        <v>3.2</v>
      </c>
      <c r="Y10" s="197">
        <f t="shared" ref="Y10" ca="1" si="105">IF(V10="","",IF(V10&lt;&gt;1,"",IF(W10="y",K10,N10*V10)))</f>
        <v>4.8</v>
      </c>
      <c r="AB10"/>
      <c r="AC10" s="197">
        <f t="shared" ref="AC10" ca="1" si="106">IF(A10="","",IF(V10=1,T10,0))</f>
        <v>48</v>
      </c>
      <c r="AD10" s="197">
        <f ca="1">IF(OR(A10="",AC10=0),"",INDIRECT("Sales!FH"&amp;ROW())*Commission!V10)</f>
        <v>22</v>
      </c>
      <c r="AE10" s="197">
        <f t="shared" ref="AE10" ca="1" si="107">IF(OR($A10="",$AC10=0),"",T10-AD10)</f>
        <v>26</v>
      </c>
      <c r="AF10" s="197">
        <f t="shared" ref="AF10" ca="1" si="108">IF(OR($A10="",$AC10=0),"",SUM(X10:Y10))</f>
        <v>8</v>
      </c>
      <c r="AG10" s="197">
        <f t="shared" ref="AG10" ca="1" si="109">IF(OR(AC10=0,A10=""),"",INDIRECT("Sales!FL"&amp;ROW()))</f>
        <v>0</v>
      </c>
      <c r="AH10" s="197">
        <f t="shared" ref="AH10" ca="1" si="110">IF(OR(AC10=0,A10=""),"",AE10-SUM(AF10:AG10))</f>
        <v>18</v>
      </c>
      <c r="AI10" s="436" t="str">
        <f t="shared" ref="AI10" ca="1" si="111">IF(V10="","",IF(AND(W10="y",V10=1,AG10&gt;0),"Y",""))</f>
        <v/>
      </c>
      <c r="AL10" s="197">
        <f t="shared" ref="AL10" ca="1" si="112">IF(A10="","",IF(V10&lt;&gt;1,S10,U10))</f>
        <v>146</v>
      </c>
    </row>
    <row r="11" spans="1:43">
      <c r="A11">
        <f t="shared" ca="1" si="0"/>
        <v>9575</v>
      </c>
      <c r="B11">
        <f t="shared" ca="1" si="1"/>
        <v>50260335</v>
      </c>
      <c r="C11" t="str">
        <f t="shared" ca="1" si="2"/>
        <v>ACS18</v>
      </c>
      <c r="D11" s="437">
        <f t="shared" ca="1" si="3"/>
        <v>42156</v>
      </c>
      <c r="E11" t="str">
        <f t="shared" ca="1" si="4"/>
        <v>Willem McDonald Theart</v>
      </c>
      <c r="F11" s="198">
        <v>1</v>
      </c>
      <c r="G11" t="str">
        <f t="shared" ref="G11" ca="1" si="113">IF(A11="","",LEFT(H11,4))</f>
        <v>dfb1</v>
      </c>
      <c r="H11" t="str">
        <f t="shared" ca="1" si="7"/>
        <v>dfb1/1002</v>
      </c>
      <c r="I11" s="197">
        <f t="shared" ca="1" si="8"/>
        <v>102.5</v>
      </c>
      <c r="J11" s="197">
        <f ca="1">IF(A11="","",OFFSET('Commission splits'!$A$3,MATCH(Commission!$O11,'Commission splits'!$A$4:$A$10,0),2)*OFFSET('Policy breakdown'!$A$2,MATCH(Commission!$C11,'Policy breakdown'!$A$3:$A$41,0),7)+OFFSET('Commission splits'!$A$3,MATCH(Commission!$O11,'Commission splits'!$A$4:$A$10,0),5)*OFFSET('Policy breakdown'!$A$2,MATCH(Commission!$C11,'Policy breakdown'!$A$3:$A$41,0),8)+$F11*'Policy breakdown'!$I$33*OFFSET('Commission splits'!$A$3,MATCH(Commission!$O11,'Commission splits'!$A$4:$A$10,0),5))</f>
        <v>28.5</v>
      </c>
      <c r="K11" s="197">
        <f ca="1">IF(A11="","",OFFSET('Commission splits'!$A$3,MATCH(Commission!$O11,'Commission splits'!$A$4:$A$10,0),1)*OFFSET('Policy breakdown'!$A$2,MATCH(Commission!$C11,'[1]Policy breakdown'!$A$3:$A$41,0),7)+OFFSET('Commission splits'!$A$3,MATCH(Commission!$O11,'Commission splits'!$A$4:$A$10,0),4)*OFFSET('Policy breakdown'!$A$2,MATCH(Commission!$C11,'Policy breakdown'!$A$3:$A$41,0),8)+$F11*'Policy breakdown'!$I$33*OFFSET('Commission splits'!$A$3,MATCH(Commission!$O11,'Commission splits'!$A$4:$A$10,0),4))</f>
        <v>74</v>
      </c>
      <c r="L11" s="197">
        <f t="shared" ref="L11" ca="1" si="114">IF(A11="","",IF(INDIRECT("Sales!FP"&amp;ROW())="","",VALUE(INDIRECT("Sales!FP"&amp;ROW()))))</f>
        <v>36</v>
      </c>
      <c r="M11" s="197">
        <f ca="1">IF(A11="","",$L11*OFFSET('Commission splits'!$A$3,MATCH(Commission!$O11,'Commission splits'!$A$4:$A$10,0),5))</f>
        <v>14.4</v>
      </c>
      <c r="N11" s="197">
        <f ca="1">IF(A11="","",$L11*OFFSET('Commission splits'!$A$3,MATCH(Commission!$O11,'Commission splits'!$A$4:$A$10,0),4))</f>
        <v>21.599999999999998</v>
      </c>
      <c r="O11" t="str">
        <f ca="1">IF(A11="","",OFFSET(Agent!$A$2,MATCH(Commission!H11,Agent!$A$3:$A$2000,0),21))</f>
        <v>Active</v>
      </c>
      <c r="P11" t="str">
        <f t="shared" ref="P11" ca="1" si="115">IF(A11="","",INDIRECT("Sales!FS"&amp;ROW()))</f>
        <v>Cancelled</v>
      </c>
      <c r="Q11" s="403">
        <f t="shared" ca="1" si="83"/>
        <v>0</v>
      </c>
      <c r="S11" s="197">
        <f t="array" aca="1" ref="S11" ca="1">IF(A11="","",SUM((CommReceived!$D$2:$D$1001=Commission!$B11)*(CommReceived!$F$2:$F$1001))+AK11)</f>
        <v>0</v>
      </c>
      <c r="T11" s="197" t="str">
        <f t="shared" ref="T11" ca="1" si="116">IF($A11="","",IF(P11="Cancelled","",IF(D11&gt;$AD$1,0,IF($W11="Y",VALUE(INDIRECT("Sales!FD"&amp;ROW())),VALUE(INDIRECT("Sales!FE"&amp;ROW()))))))</f>
        <v/>
      </c>
      <c r="U11" s="197" t="str">
        <f t="shared" ref="U11" ca="1" si="117">IF(A11="","",IF(P11="Cancelled","",AK11+S11-T11))</f>
        <v/>
      </c>
      <c r="V11" s="436" t="str">
        <f t="shared" ref="V11" ca="1" si="118">IF(AND(P11&lt;&gt;"Active",P11&lt;&gt;"Dormant"),"",IF(OR(S11=0,S11&lt;T11),0,1))</f>
        <v/>
      </c>
      <c r="W11" s="436" t="str">
        <f t="shared" ref="W11" ca="1" si="119">IF(A11="","",IF(AND(($D11)&gt;=($AB$1),($D11)&lt;=($AD$1),P11="Active"),"Y",""))</f>
        <v/>
      </c>
      <c r="X11" s="197" t="str">
        <f t="shared" ref="X11" ca="1" si="120">IF(V11="","",IF(V11&lt;&gt;1,"",IF(W11="y",J11,M11*V11)))</f>
        <v/>
      </c>
      <c r="Y11" s="197" t="str">
        <f t="shared" ref="Y11" ca="1" si="121">IF(V11="","",IF(V11&lt;&gt;1,"",IF(W11="y",K11,N11*V11)))</f>
        <v/>
      </c>
      <c r="AB11"/>
      <c r="AC11" s="197">
        <f t="shared" ref="AC11" ca="1" si="122">IF(A11="","",IF(V11=1,T11,0))</f>
        <v>0</v>
      </c>
      <c r="AD11" s="197" t="str">
        <f ca="1">IF(OR(A11="",AC11=0),"",INDIRECT("Sales!FH"&amp;ROW())*Commission!V11)</f>
        <v/>
      </c>
      <c r="AE11" s="197" t="str">
        <f t="shared" ref="AE11" ca="1" si="123">IF(OR($A11="",$AC11=0),"",T11-AD11)</f>
        <v/>
      </c>
      <c r="AF11" s="197" t="str">
        <f t="shared" ref="AF11" ca="1" si="124">IF(OR($A11="",$AC11=0),"",SUM(X11:Y11))</f>
        <v/>
      </c>
      <c r="AG11" s="197" t="str">
        <f t="shared" ref="AG11" ca="1" si="125">IF(OR(AC11=0,A11=""),"",INDIRECT("Sales!FL"&amp;ROW()))</f>
        <v/>
      </c>
      <c r="AH11" s="197" t="str">
        <f t="shared" ref="AH11" ca="1" si="126">IF(OR(AC11=0,A11=""),"",AE11-SUM(AF11:AG11))</f>
        <v/>
      </c>
      <c r="AI11" s="436" t="str">
        <f t="shared" ref="AI11" ca="1" si="127">IF(V11="","",IF(AND(W11="y",V11=1,AG11&gt;0),"Y",""))</f>
        <v/>
      </c>
      <c r="AL11" s="197">
        <f t="shared" ref="AL11" ca="1" si="128">IF(A11="","",IF(V11&lt;&gt;1,S11,U11))</f>
        <v>0</v>
      </c>
    </row>
    <row r="12" spans="1:43">
      <c r="A12">
        <f t="shared" ca="1" si="0"/>
        <v>9575</v>
      </c>
      <c r="B12">
        <f t="shared" ca="1" si="1"/>
        <v>50260715</v>
      </c>
      <c r="C12" t="str">
        <f t="shared" ca="1" si="2"/>
        <v>CGBF58</v>
      </c>
      <c r="D12" s="454">
        <f t="shared" ca="1" si="3"/>
        <v>42186</v>
      </c>
      <c r="E12" t="str">
        <f t="shared" ca="1" si="4"/>
        <v>Sinalo Xogo</v>
      </c>
      <c r="F12" s="198">
        <v>1</v>
      </c>
      <c r="G12" t="str">
        <f t="shared" ref="G12" ca="1" si="129">IF(A12="","",LEFT(H12,4))</f>
        <v>jlg1</v>
      </c>
      <c r="H12" t="str">
        <f t="shared" ca="1" si="7"/>
        <v>jlg1/1002</v>
      </c>
      <c r="I12" s="197">
        <f t="shared" ca="1" si="8"/>
        <v>56</v>
      </c>
      <c r="J12" s="197">
        <f ca="1">IF(A12="","",OFFSET('Commission splits'!$A$3,MATCH(Commission!$O12,'Commission splits'!$A$4:$A$10,0),2)*OFFSET('Policy breakdown'!$A$2,MATCH(Commission!$C12,'Policy breakdown'!$A$3:$A$41,0),7)+OFFSET('Commission splits'!$A$3,MATCH(Commission!$O12,'Commission splits'!$A$4:$A$10,0),5)*OFFSET('Policy breakdown'!$A$2,MATCH(Commission!$C12,'Policy breakdown'!$A$3:$A$41,0),8)+$F12*'Policy breakdown'!$I$33*OFFSET('Commission splits'!$A$3,MATCH(Commission!$O12,'Commission splits'!$A$4:$A$10,0),5))</f>
        <v>16</v>
      </c>
      <c r="K12" s="197">
        <f ca="1">IF(A12="","",OFFSET('Commission splits'!$A$3,MATCH(Commission!$O12,'Commission splits'!$A$4:$A$10,0),1)*OFFSET('Policy breakdown'!$A$2,MATCH(Commission!$C12,'[1]Policy breakdown'!$A$3:$A$41,0),7)+OFFSET('Commission splits'!$A$3,MATCH(Commission!$O12,'Commission splits'!$A$4:$A$10,0),4)*OFFSET('Policy breakdown'!$A$2,MATCH(Commission!$C12,'Policy breakdown'!$A$3:$A$41,0),8)+$F12*'Policy breakdown'!$I$33*OFFSET('Commission splits'!$A$3,MATCH(Commission!$O12,'Commission splits'!$A$4:$A$10,0),4))</f>
        <v>44</v>
      </c>
      <c r="L12" s="197">
        <f t="shared" ref="L12" ca="1" si="130">IF(A12="","",IF(INDIRECT("Sales!FP"&amp;ROW())="","",VALUE(INDIRECT("Sales!FP"&amp;ROW()))))</f>
        <v>16</v>
      </c>
      <c r="M12" s="197">
        <f ca="1">IF(A12="","",$L12*OFFSET('Commission splits'!$A$3,MATCH(Commission!$O12,'Commission splits'!$A$4:$A$10,0),5))</f>
        <v>6.4</v>
      </c>
      <c r="N12" s="197">
        <f ca="1">IF(A12="","",$L12*OFFSET('Commission splits'!$A$3,MATCH(Commission!$O12,'Commission splits'!$A$4:$A$10,0),4))</f>
        <v>9.6</v>
      </c>
      <c r="O12" t="str">
        <f ca="1">IF(A12="","",OFFSET(Agent!$A$2,MATCH(Commission!H12,Agent!$A$3:$A$2000,0),21))</f>
        <v>Active</v>
      </c>
      <c r="P12" t="str">
        <f t="shared" ref="P12" ca="1" si="131">IF(A12="","",INDIRECT("Sales!FS"&amp;ROW()))</f>
        <v>Active</v>
      </c>
      <c r="Q12" s="403">
        <f t="shared" ca="1" si="83"/>
        <v>0</v>
      </c>
      <c r="S12" s="197">
        <f t="array" aca="1" ref="S12" ca="1">IF(A12="","",SUM((CommReceived!$D$2:$D$1001=Commission!$B12)*(CommReceived!$F$2:$F$1001))+AK12)</f>
        <v>0</v>
      </c>
      <c r="T12" s="197">
        <f t="shared" ref="T12" ca="1" si="132">IF($A12="","",IF(P12="Cancelled","",IF(D12&gt;$AD$1,0,IF($W12="Y",VALUE(INDIRECT("Sales!FD"&amp;ROW())),VALUE(INDIRECT("Sales!FE"&amp;ROW()))))))</f>
        <v>108</v>
      </c>
      <c r="U12" s="197">
        <f t="shared" ref="U12" ca="1" si="133">IF(A12="","",IF(P12="Cancelled","",AK12+S12-T12))</f>
        <v>-108</v>
      </c>
      <c r="V12" s="455">
        <f t="shared" ref="V12" ca="1" si="134">IF(AND(P12&lt;&gt;"Active",P12&lt;&gt;"Dormant"),"",IF(OR(S12=0,S12&lt;T12),0,1))</f>
        <v>0</v>
      </c>
      <c r="W12" s="455" t="str">
        <f t="shared" ref="W12" ca="1" si="135">IF(A12="","",IF(AND(($D12)&gt;=($AB$1),($D12)&lt;=($AD$1),P12="Active"),"Y",""))</f>
        <v>Y</v>
      </c>
      <c r="X12" s="197" t="str">
        <f t="shared" ref="X12" ca="1" si="136">IF(V12="","",IF(V12&lt;&gt;1,"",IF(W12="y",J12,M12*V12)))</f>
        <v/>
      </c>
      <c r="Y12" s="197" t="str">
        <f t="shared" ref="Y12" ca="1" si="137">IF(V12="","",IF(V12&lt;&gt;1,"",IF(W12="y",K12,N12*V12)))</f>
        <v/>
      </c>
      <c r="AB12"/>
      <c r="AC12" s="197">
        <f t="shared" ref="AC12" ca="1" si="138">IF(A12="","",IF(V12=1,T12,0))</f>
        <v>0</v>
      </c>
      <c r="AD12" s="197" t="str">
        <f ca="1">IF(OR(A12="",AC12=0),"",INDIRECT("Sales!FH"&amp;ROW())*Commission!V12)</f>
        <v/>
      </c>
      <c r="AE12" s="197" t="str">
        <f t="shared" ref="AE12" ca="1" si="139">IF(OR($A12="",$AC12=0),"",T12-AD12)</f>
        <v/>
      </c>
      <c r="AF12" s="197" t="str">
        <f t="shared" ref="AF12" ca="1" si="140">IF(OR($A12="",$AC12=0),"",SUM(X12:Y12))</f>
        <v/>
      </c>
      <c r="AG12" s="197" t="str">
        <f t="shared" ref="AG12" ca="1" si="141">IF(OR(AC12=0,A12=""),"",INDIRECT("Sales!FL"&amp;ROW()))</f>
        <v/>
      </c>
      <c r="AH12" s="197" t="str">
        <f t="shared" ref="AH12" ca="1" si="142">IF(OR(AC12=0,A12=""),"",AE12-SUM(AF12:AG12))</f>
        <v/>
      </c>
      <c r="AI12" s="455" t="str">
        <f t="shared" ref="AI12" ca="1" si="143">IF(V12="","",IF(AND(W12="y",V12=1,AG12&gt;0),"Y",""))</f>
        <v/>
      </c>
      <c r="AL12" s="197">
        <f t="shared" ref="AL12" ca="1" si="144">IF(A12="","",IF(V12&lt;&gt;1,S12,U12))</f>
        <v>0</v>
      </c>
    </row>
    <row r="13" spans="1:43">
      <c r="A13">
        <f t="shared" ca="1" si="0"/>
        <v>9575</v>
      </c>
      <c r="B13">
        <f t="shared" ca="1" si="1"/>
        <v>50260723</v>
      </c>
      <c r="C13" t="str">
        <f t="shared" ca="1" si="2"/>
        <v>CGGF88</v>
      </c>
      <c r="D13" s="454">
        <f t="shared" ca="1" si="3"/>
        <v>42186</v>
      </c>
      <c r="E13" t="str">
        <f t="shared" ca="1" si="4"/>
        <v>Michael Mavangwe</v>
      </c>
      <c r="F13" s="198">
        <v>1</v>
      </c>
      <c r="G13" t="str">
        <f t="shared" ref="G13" ca="1" si="145">IF(A13="","",LEFT(H13,4))</f>
        <v>jlg1</v>
      </c>
      <c r="H13" t="str">
        <f t="shared" ca="1" si="7"/>
        <v>jlg1/1002</v>
      </c>
      <c r="I13" s="197">
        <f t="shared" ca="1" si="8"/>
        <v>60</v>
      </c>
      <c r="J13" s="197">
        <f ca="1">IF(A13="","",OFFSET('Commission splits'!$A$3,MATCH(Commission!$O13,'Commission splits'!$A$4:$A$10,0),2)*OFFSET('Policy breakdown'!$A$2,MATCH(Commission!$C13,'Policy breakdown'!$A$3:$A$41,0),7)+OFFSET('Commission splits'!$A$3,MATCH(Commission!$O13,'Commission splits'!$A$4:$A$10,0),5)*OFFSET('Policy breakdown'!$A$2,MATCH(Commission!$C13,'Policy breakdown'!$A$3:$A$41,0),8)+$F13*'Policy breakdown'!$I$33*OFFSET('Commission splits'!$A$3,MATCH(Commission!$O13,'Commission splits'!$A$4:$A$10,0),5))</f>
        <v>17.600000000000001</v>
      </c>
      <c r="K13" s="197">
        <f ca="1">IF(A13="","",OFFSET('Commission splits'!$A$3,MATCH(Commission!$O13,'Commission splits'!$A$4:$A$10,0),1)*OFFSET('Policy breakdown'!$A$2,MATCH(Commission!$C13,'[1]Policy breakdown'!$A$3:$A$41,0),7)+OFFSET('Commission splits'!$A$3,MATCH(Commission!$O13,'Commission splits'!$A$4:$A$10,0),4)*OFFSET('Policy breakdown'!$A$2,MATCH(Commission!$C13,'Policy breakdown'!$A$3:$A$41,0),8)+$F13*'Policy breakdown'!$I$33*OFFSET('Commission splits'!$A$3,MATCH(Commission!$O13,'Commission splits'!$A$4:$A$10,0),4))</f>
        <v>46.4</v>
      </c>
      <c r="L13" s="197">
        <f t="shared" ref="L13" ca="1" si="146">IF(A13="","",IF(INDIRECT("Sales!FP"&amp;ROW())="","",VALUE(INDIRECT("Sales!FP"&amp;ROW()))))</f>
        <v>20</v>
      </c>
      <c r="M13" s="197">
        <f ca="1">IF(A13="","",$L13*OFFSET('Commission splits'!$A$3,MATCH(Commission!$O13,'Commission splits'!$A$4:$A$10,0),5))</f>
        <v>8</v>
      </c>
      <c r="N13" s="197">
        <f ca="1">IF(A13="","",$L13*OFFSET('Commission splits'!$A$3,MATCH(Commission!$O13,'Commission splits'!$A$4:$A$10,0),4))</f>
        <v>12</v>
      </c>
      <c r="O13" t="str">
        <f ca="1">IF(A13="","",OFFSET(Agent!$A$2,MATCH(Commission!H13,Agent!$A$3:$A$2000,0),21))</f>
        <v>Active</v>
      </c>
      <c r="P13" t="str">
        <f t="shared" ref="P13" ca="1" si="147">IF(A13="","",INDIRECT("Sales!FS"&amp;ROW()))</f>
        <v>Active</v>
      </c>
      <c r="Q13" s="403">
        <f t="shared" ca="1" si="83"/>
        <v>0</v>
      </c>
      <c r="S13" s="197">
        <f t="array" aca="1" ref="S13" ca="1">IF(A13="","",SUM((CommReceived!$D$2:$D$1001=Commission!$B13)*(CommReceived!$F$2:$F$1001))+AK13)</f>
        <v>0</v>
      </c>
      <c r="T13" s="197">
        <f t="shared" ref="T13" ca="1" si="148">IF($A13="","",IF(P13="Cancelled","",IF(D13&gt;$AD$1,0,IF($W13="Y",VALUE(INDIRECT("Sales!FD"&amp;ROW())),VALUE(INDIRECT("Sales!FE"&amp;ROW()))))))</f>
        <v>138</v>
      </c>
      <c r="U13" s="197">
        <f t="shared" ref="U13" ca="1" si="149">IF(A13="","",IF(P13="Cancelled","",AK13+S13-T13))</f>
        <v>-138</v>
      </c>
      <c r="V13" s="455">
        <f t="shared" ref="V13" ca="1" si="150">IF(AND(P13&lt;&gt;"Active",P13&lt;&gt;"Dormant"),"",IF(OR(S13=0,S13&lt;T13),0,1))</f>
        <v>0</v>
      </c>
      <c r="W13" s="455" t="str">
        <f t="shared" ref="W13" ca="1" si="151">IF(A13="","",IF(AND(($D13)&gt;=($AB$1),($D13)&lt;=($AD$1),P13="Active"),"Y",""))</f>
        <v>Y</v>
      </c>
      <c r="X13" s="197" t="str">
        <f t="shared" ref="X13" ca="1" si="152">IF(V13="","",IF(V13&lt;&gt;1,"",IF(W13="y",J13,M13*V13)))</f>
        <v/>
      </c>
      <c r="Y13" s="197" t="str">
        <f t="shared" ref="Y13" ca="1" si="153">IF(V13="","",IF(V13&lt;&gt;1,"",IF(W13="y",K13,N13*V13)))</f>
        <v/>
      </c>
      <c r="AB13"/>
      <c r="AC13" s="197">
        <f t="shared" ref="AC13" ca="1" si="154">IF(A13="","",IF(V13=1,T13,0))</f>
        <v>0</v>
      </c>
      <c r="AD13" s="197" t="str">
        <f ca="1">IF(OR(A13="",AC13=0),"",INDIRECT("Sales!FH"&amp;ROW())*Commission!V13)</f>
        <v/>
      </c>
      <c r="AE13" s="197" t="str">
        <f t="shared" ref="AE13" ca="1" si="155">IF(OR($A13="",$AC13=0),"",T13-AD13)</f>
        <v/>
      </c>
      <c r="AF13" s="197" t="str">
        <f t="shared" ref="AF13" ca="1" si="156">IF(OR($A13="",$AC13=0),"",SUM(X13:Y13))</f>
        <v/>
      </c>
      <c r="AG13" s="197" t="str">
        <f t="shared" ref="AG13" ca="1" si="157">IF(OR(AC13=0,A13=""),"",INDIRECT("Sales!FL"&amp;ROW()))</f>
        <v/>
      </c>
      <c r="AH13" s="197" t="str">
        <f t="shared" ref="AH13" ca="1" si="158">IF(OR(AC13=0,A13=""),"",AE13-SUM(AF13:AG13))</f>
        <v/>
      </c>
      <c r="AI13" s="455" t="str">
        <f t="shared" ref="AI13" ca="1" si="159">IF(V13="","",IF(AND(W13="y",V13=1,AG13&gt;0),"Y",""))</f>
        <v/>
      </c>
      <c r="AL13" s="197">
        <f t="shared" ref="AL13" ca="1" si="160">IF(A13="","",IF(V13&lt;&gt;1,S13,U13))</f>
        <v>0</v>
      </c>
    </row>
    <row r="14" spans="1:43">
      <c r="A14">
        <f t="shared" ca="1" si="0"/>
        <v>9575</v>
      </c>
      <c r="B14">
        <f t="shared" ca="1" si="1"/>
        <v>50260731</v>
      </c>
      <c r="C14" t="str">
        <f t="shared" ca="1" si="2"/>
        <v>CGES50</v>
      </c>
      <c r="D14" s="454">
        <f t="shared" ca="1" si="3"/>
        <v>42186</v>
      </c>
      <c r="E14" t="str">
        <f t="shared" ca="1" si="4"/>
        <v>Notgru Betty Tyambetyu</v>
      </c>
      <c r="F14" s="198">
        <v>1</v>
      </c>
      <c r="G14" t="str">
        <f t="shared" ref="G14" ca="1" si="161">IF(A14="","",LEFT(H14,4))</f>
        <v>jlg1</v>
      </c>
      <c r="H14" t="str">
        <f t="shared" ca="1" si="7"/>
        <v>jlg1/1002</v>
      </c>
      <c r="I14" s="197">
        <f t="shared" ca="1" si="8"/>
        <v>40</v>
      </c>
      <c r="J14" s="197">
        <f ca="1">IF(A14="","",OFFSET('Commission splits'!$A$3,MATCH(Commission!$O14,'Commission splits'!$A$4:$A$10,0),2)*OFFSET('Policy breakdown'!$A$2,MATCH(Commission!$C14,'Policy breakdown'!$A$3:$A$41,0),7)+OFFSET('Commission splits'!$A$3,MATCH(Commission!$O14,'Commission splits'!$A$4:$A$10,0),5)*OFFSET('Policy breakdown'!$A$2,MATCH(Commission!$C14,'Policy breakdown'!$A$3:$A$41,0),8)+$F14*'Policy breakdown'!$I$33*OFFSET('Commission splits'!$A$3,MATCH(Commission!$O14,'Commission splits'!$A$4:$A$10,0),5))</f>
        <v>9.6</v>
      </c>
      <c r="K14" s="197">
        <f ca="1">IF(A14="","",OFFSET('Commission splits'!$A$3,MATCH(Commission!$O14,'Commission splits'!$A$4:$A$10,0),1)*OFFSET('Policy breakdown'!$A$2,MATCH(Commission!$C14,'[1]Policy breakdown'!$A$3:$A$41,0),7)+OFFSET('Commission splits'!$A$3,MATCH(Commission!$O14,'Commission splits'!$A$4:$A$10,0),4)*OFFSET('Policy breakdown'!$A$2,MATCH(Commission!$C14,'Policy breakdown'!$A$3:$A$41,0),8)+$F14*'Policy breakdown'!$I$33*OFFSET('Commission splits'!$A$3,MATCH(Commission!$O14,'Commission splits'!$A$4:$A$10,0),4))</f>
        <v>34.4</v>
      </c>
      <c r="L14" s="197">
        <f t="shared" ref="L14" ca="1" si="162">IF(A14="","",IF(INDIRECT("Sales!FP"&amp;ROW())="","",VALUE(INDIRECT("Sales!FP"&amp;ROW()))))</f>
        <v>0</v>
      </c>
      <c r="M14" s="197">
        <f ca="1">IF(A14="","",$L14*OFFSET('Commission splits'!$A$3,MATCH(Commission!$O14,'Commission splits'!$A$4:$A$10,0),5))</f>
        <v>0</v>
      </c>
      <c r="N14" s="197">
        <f ca="1">IF(A14="","",$L14*OFFSET('Commission splits'!$A$3,MATCH(Commission!$O14,'Commission splits'!$A$4:$A$10,0),4))</f>
        <v>0</v>
      </c>
      <c r="O14" t="str">
        <f ca="1">IF(A14="","",OFFSET(Agent!$A$2,MATCH(Commission!H14,Agent!$A$3:$A$2000,0),21))</f>
        <v>Active</v>
      </c>
      <c r="P14" t="str">
        <f t="shared" ref="P14" ca="1" si="163">IF(A14="","",INDIRECT("Sales!FS"&amp;ROW()))</f>
        <v>Active</v>
      </c>
      <c r="Q14" s="403">
        <f t="shared" ca="1" si="83"/>
        <v>0</v>
      </c>
      <c r="S14" s="197">
        <f t="array" aca="1" ref="S14" ca="1">IF(A14="","",SUM((CommReceived!$D$2:$D$1001=Commission!$B14)*(CommReceived!$F$2:$F$1001))+AK14)</f>
        <v>0</v>
      </c>
      <c r="T14" s="197">
        <f t="shared" ref="T14" ca="1" si="164">IF($A14="","",IF(P14="Cancelled","",IF(D14&gt;$AD$1,0,IF($W14="Y",VALUE(INDIRECT("Sales!FD"&amp;ROW())),VALUE(INDIRECT("Sales!FE"&amp;ROW()))))))</f>
        <v>100</v>
      </c>
      <c r="U14" s="197">
        <f t="shared" ref="U14" ca="1" si="165">IF(A14="","",IF(P14="Cancelled","",AK14+S14-T14))</f>
        <v>-100</v>
      </c>
      <c r="V14" s="455">
        <f t="shared" ref="V14" ca="1" si="166">IF(AND(P14&lt;&gt;"Active",P14&lt;&gt;"Dormant"),"",IF(OR(S14=0,S14&lt;T14),0,1))</f>
        <v>0</v>
      </c>
      <c r="W14" s="455" t="str">
        <f t="shared" ref="W14" ca="1" si="167">IF(A14="","",IF(AND(($D14)&gt;=($AB$1),($D14)&lt;=($AD$1),P14="Active"),"Y",""))</f>
        <v>Y</v>
      </c>
      <c r="X14" s="197" t="str">
        <f t="shared" ref="X14" ca="1" si="168">IF(V14="","",IF(V14&lt;&gt;1,"",IF(W14="y",J14,M14*V14)))</f>
        <v/>
      </c>
      <c r="Y14" s="197" t="str">
        <f t="shared" ref="Y14" ca="1" si="169">IF(V14="","",IF(V14&lt;&gt;1,"",IF(W14="y",K14,N14*V14)))</f>
        <v/>
      </c>
      <c r="AB14"/>
      <c r="AC14" s="197">
        <f t="shared" ref="AC14" ca="1" si="170">IF(A14="","",IF(V14=1,T14,0))</f>
        <v>0</v>
      </c>
      <c r="AD14" s="197" t="str">
        <f ca="1">IF(OR(A14="",AC14=0),"",INDIRECT("Sales!FH"&amp;ROW())*Commission!V14)</f>
        <v/>
      </c>
      <c r="AE14" s="197" t="str">
        <f t="shared" ref="AE14" ca="1" si="171">IF(OR($A14="",$AC14=0),"",T14-AD14)</f>
        <v/>
      </c>
      <c r="AF14" s="197" t="str">
        <f t="shared" ref="AF14" ca="1" si="172">IF(OR($A14="",$AC14=0),"",SUM(X14:Y14))</f>
        <v/>
      </c>
      <c r="AG14" s="197" t="str">
        <f t="shared" ref="AG14" ca="1" si="173">IF(OR(AC14=0,A14=""),"",INDIRECT("Sales!FL"&amp;ROW()))</f>
        <v/>
      </c>
      <c r="AH14" s="197" t="str">
        <f t="shared" ref="AH14" ca="1" si="174">IF(OR(AC14=0,A14=""),"",AE14-SUM(AF14:AG14))</f>
        <v/>
      </c>
      <c r="AI14" s="455" t="str">
        <f t="shared" ref="AI14" ca="1" si="175">IF(V14="","",IF(AND(W14="y",V14=1,AG14&gt;0),"Y",""))</f>
        <v/>
      </c>
      <c r="AL14" s="197">
        <f t="shared" ref="AL14" ca="1" si="176">IF(A14="","",IF(V14&lt;&gt;1,S14,U14))</f>
        <v>0</v>
      </c>
    </row>
    <row r="15" spans="1:43">
      <c r="A15">
        <f t="shared" ca="1" si="0"/>
        <v>9575</v>
      </c>
      <c r="B15">
        <f t="shared" ca="1" si="1"/>
        <v>50260749</v>
      </c>
      <c r="C15" t="str">
        <f t="shared" ca="1" si="2"/>
        <v>CGES50</v>
      </c>
      <c r="D15" s="454">
        <f t="shared" ca="1" si="3"/>
        <v>42186</v>
      </c>
      <c r="E15" t="str">
        <f t="shared" ca="1" si="4"/>
        <v>Lucy Somikazi Mateta</v>
      </c>
      <c r="F15" s="198">
        <v>1</v>
      </c>
      <c r="G15" t="str">
        <f t="shared" ref="G15" ca="1" si="177">IF(A15="","",LEFT(H15,4))</f>
        <v>jlg1</v>
      </c>
      <c r="H15" t="str">
        <f t="shared" ca="1" si="7"/>
        <v>jlg1/1002</v>
      </c>
      <c r="I15" s="197">
        <f t="shared" ca="1" si="8"/>
        <v>40</v>
      </c>
      <c r="J15" s="197">
        <f ca="1">IF(A15="","",OFFSET('Commission splits'!$A$3,MATCH(Commission!$O15,'Commission splits'!$A$4:$A$10,0),2)*OFFSET('Policy breakdown'!$A$2,MATCH(Commission!$C15,'Policy breakdown'!$A$3:$A$41,0),7)+OFFSET('Commission splits'!$A$3,MATCH(Commission!$O15,'Commission splits'!$A$4:$A$10,0),5)*OFFSET('Policy breakdown'!$A$2,MATCH(Commission!$C15,'Policy breakdown'!$A$3:$A$41,0),8)+$F15*'Policy breakdown'!$I$33*OFFSET('Commission splits'!$A$3,MATCH(Commission!$O15,'Commission splits'!$A$4:$A$10,0),5))</f>
        <v>9.6</v>
      </c>
      <c r="K15" s="197">
        <f ca="1">IF(A15="","",OFFSET('Commission splits'!$A$3,MATCH(Commission!$O15,'Commission splits'!$A$4:$A$10,0),1)*OFFSET('Policy breakdown'!$A$2,MATCH(Commission!$C15,'[1]Policy breakdown'!$A$3:$A$41,0),7)+OFFSET('Commission splits'!$A$3,MATCH(Commission!$O15,'Commission splits'!$A$4:$A$10,0),4)*OFFSET('Policy breakdown'!$A$2,MATCH(Commission!$C15,'Policy breakdown'!$A$3:$A$41,0),8)+$F15*'Policy breakdown'!$I$33*OFFSET('Commission splits'!$A$3,MATCH(Commission!$O15,'Commission splits'!$A$4:$A$10,0),4))</f>
        <v>34.4</v>
      </c>
      <c r="L15" s="197">
        <f t="shared" ref="L15" ca="1" si="178">IF(A15="","",IF(INDIRECT("Sales!FP"&amp;ROW())="","",VALUE(INDIRECT("Sales!FP"&amp;ROW()))))</f>
        <v>0</v>
      </c>
      <c r="M15" s="197">
        <f ca="1">IF(A15="","",$L15*OFFSET('Commission splits'!$A$3,MATCH(Commission!$O15,'Commission splits'!$A$4:$A$10,0),5))</f>
        <v>0</v>
      </c>
      <c r="N15" s="197">
        <f ca="1">IF(A15="","",$L15*OFFSET('Commission splits'!$A$3,MATCH(Commission!$O15,'Commission splits'!$A$4:$A$10,0),4))</f>
        <v>0</v>
      </c>
      <c r="O15" t="str">
        <f ca="1">IF(A15="","",OFFSET(Agent!$A$2,MATCH(Commission!H15,Agent!$A$3:$A$2000,0),21))</f>
        <v>Active</v>
      </c>
      <c r="P15" t="str">
        <f t="shared" ref="P15" ca="1" si="179">IF(A15="","",INDIRECT("Sales!FS"&amp;ROW()))</f>
        <v>Active</v>
      </c>
      <c r="Q15" s="403">
        <f t="shared" ca="1" si="83"/>
        <v>0</v>
      </c>
      <c r="S15" s="197">
        <f t="array" aca="1" ref="S15" ca="1">IF(A15="","",SUM((CommReceived!$D$2:$D$1001=Commission!$B15)*(CommReceived!$F$2:$F$1001))+AK15)</f>
        <v>0</v>
      </c>
      <c r="T15" s="197">
        <f t="shared" ref="T15" ca="1" si="180">IF($A15="","",IF(P15="Cancelled","",IF(D15&gt;$AD$1,0,IF($W15="Y",VALUE(INDIRECT("Sales!FD"&amp;ROW())),VALUE(INDIRECT("Sales!FE"&amp;ROW()))))))</f>
        <v>100</v>
      </c>
      <c r="U15" s="197">
        <f t="shared" ref="U15" ca="1" si="181">IF(A15="","",IF(P15="Cancelled","",AK15+S15-T15))</f>
        <v>-100</v>
      </c>
      <c r="V15" s="455">
        <f t="shared" ref="V15" ca="1" si="182">IF(AND(P15&lt;&gt;"Active",P15&lt;&gt;"Dormant"),"",IF(OR(S15=0,S15&lt;T15),0,1))</f>
        <v>0</v>
      </c>
      <c r="W15" s="455" t="str">
        <f t="shared" ref="W15" ca="1" si="183">IF(A15="","",IF(AND(($D15)&gt;=($AB$1),($D15)&lt;=($AD$1),P15="Active"),"Y",""))</f>
        <v>Y</v>
      </c>
      <c r="X15" s="197" t="str">
        <f t="shared" ref="X15" ca="1" si="184">IF(V15="","",IF(V15&lt;&gt;1,"",IF(W15="y",J15,M15*V15)))</f>
        <v/>
      </c>
      <c r="Y15" s="197" t="str">
        <f t="shared" ref="Y15" ca="1" si="185">IF(V15="","",IF(V15&lt;&gt;1,"",IF(W15="y",K15,N15*V15)))</f>
        <v/>
      </c>
      <c r="AB15"/>
      <c r="AC15" s="197">
        <f t="shared" ref="AC15" ca="1" si="186">IF(A15="","",IF(V15=1,T15,0))</f>
        <v>0</v>
      </c>
      <c r="AD15" s="197" t="str">
        <f ca="1">IF(OR(A15="",AC15=0),"",INDIRECT("Sales!FH"&amp;ROW())*Commission!V15)</f>
        <v/>
      </c>
      <c r="AE15" s="197" t="str">
        <f t="shared" ref="AE15" ca="1" si="187">IF(OR($A15="",$AC15=0),"",T15-AD15)</f>
        <v/>
      </c>
      <c r="AF15" s="197" t="str">
        <f t="shared" ref="AF15" ca="1" si="188">IF(OR($A15="",$AC15=0),"",SUM(X15:Y15))</f>
        <v/>
      </c>
      <c r="AG15" s="197" t="str">
        <f t="shared" ref="AG15" ca="1" si="189">IF(OR(AC15=0,A15=""),"",INDIRECT("Sales!FL"&amp;ROW()))</f>
        <v/>
      </c>
      <c r="AH15" s="197" t="str">
        <f t="shared" ref="AH15" ca="1" si="190">IF(OR(AC15=0,A15=""),"",AE15-SUM(AF15:AG15))</f>
        <v/>
      </c>
      <c r="AI15" s="455" t="str">
        <f t="shared" ref="AI15" ca="1" si="191">IF(V15="","",IF(AND(W15="y",V15=1,AG15&gt;0),"Y",""))</f>
        <v/>
      </c>
      <c r="AL15" s="197">
        <f t="shared" ref="AL15" ca="1" si="192">IF(A15="","",IF(V15&lt;&gt;1,S15,U15))</f>
        <v>0</v>
      </c>
    </row>
    <row r="16" spans="1:43">
      <c r="A16">
        <f t="shared" ca="1" si="0"/>
        <v>9575</v>
      </c>
      <c r="B16">
        <f t="shared" ca="1" si="1"/>
        <v>50260756</v>
      </c>
      <c r="C16" t="str">
        <f t="shared" ca="1" si="2"/>
        <v>CGBF58</v>
      </c>
      <c r="D16" s="454">
        <f t="shared" ca="1" si="3"/>
        <v>42186</v>
      </c>
      <c r="E16" t="str">
        <f t="shared" ca="1" si="4"/>
        <v>Mawethu Xongo</v>
      </c>
      <c r="F16" s="198">
        <v>1</v>
      </c>
      <c r="G16" t="str">
        <f t="shared" ref="G16" ca="1" si="193">IF(A16="","",LEFT(H16,4))</f>
        <v>jlg1</v>
      </c>
      <c r="H16" t="str">
        <f t="shared" ca="1" si="7"/>
        <v>jlg1/1002</v>
      </c>
      <c r="I16" s="197">
        <f t="shared" ca="1" si="8"/>
        <v>56</v>
      </c>
      <c r="J16" s="197">
        <f ca="1">IF(A16="","",OFFSET('Commission splits'!$A$3,MATCH(Commission!$O16,'Commission splits'!$A$4:$A$10,0),2)*OFFSET('Policy breakdown'!$A$2,MATCH(Commission!$C16,'Policy breakdown'!$A$3:$A$41,0),7)+OFFSET('Commission splits'!$A$3,MATCH(Commission!$O16,'Commission splits'!$A$4:$A$10,0),5)*OFFSET('Policy breakdown'!$A$2,MATCH(Commission!$C16,'Policy breakdown'!$A$3:$A$41,0),8)+$F16*'Policy breakdown'!$I$33*OFFSET('Commission splits'!$A$3,MATCH(Commission!$O16,'Commission splits'!$A$4:$A$10,0),5))</f>
        <v>16</v>
      </c>
      <c r="K16" s="197">
        <f ca="1">IF(A16="","",OFFSET('Commission splits'!$A$3,MATCH(Commission!$O16,'Commission splits'!$A$4:$A$10,0),1)*OFFSET('Policy breakdown'!$A$2,MATCH(Commission!$C16,'[1]Policy breakdown'!$A$3:$A$41,0),7)+OFFSET('Commission splits'!$A$3,MATCH(Commission!$O16,'Commission splits'!$A$4:$A$10,0),4)*OFFSET('Policy breakdown'!$A$2,MATCH(Commission!$C16,'Policy breakdown'!$A$3:$A$41,0),8)+$F16*'Policy breakdown'!$I$33*OFFSET('Commission splits'!$A$3,MATCH(Commission!$O16,'Commission splits'!$A$4:$A$10,0),4))</f>
        <v>44</v>
      </c>
      <c r="L16" s="197">
        <f t="shared" ref="L16" ca="1" si="194">IF(A16="","",IF(INDIRECT("Sales!FP"&amp;ROW())="","",VALUE(INDIRECT("Sales!FP"&amp;ROW()))))</f>
        <v>16</v>
      </c>
      <c r="M16" s="197">
        <f ca="1">IF(A16="","",$L16*OFFSET('Commission splits'!$A$3,MATCH(Commission!$O16,'Commission splits'!$A$4:$A$10,0),5))</f>
        <v>6.4</v>
      </c>
      <c r="N16" s="197">
        <f ca="1">IF(A16="","",$L16*OFFSET('Commission splits'!$A$3,MATCH(Commission!$O16,'Commission splits'!$A$4:$A$10,0),4))</f>
        <v>9.6</v>
      </c>
      <c r="O16" t="str">
        <f ca="1">IF(A16="","",OFFSET(Agent!$A$2,MATCH(Commission!H16,Agent!$A$3:$A$2000,0),21))</f>
        <v>Active</v>
      </c>
      <c r="P16" t="str">
        <f t="shared" ref="P16" ca="1" si="195">IF(A16="","",INDIRECT("Sales!FS"&amp;ROW()))</f>
        <v>Active</v>
      </c>
      <c r="Q16" s="403">
        <f t="shared" ca="1" si="83"/>
        <v>0</v>
      </c>
      <c r="S16" s="197">
        <f t="array" aca="1" ref="S16" ca="1">IF(A16="","",SUM((CommReceived!$D$2:$D$1001=Commission!$B16)*(CommReceived!$F$2:$F$1001))+AK16)</f>
        <v>0</v>
      </c>
      <c r="T16" s="197">
        <f t="shared" ref="T16" ca="1" si="196">IF($A16="","",IF(P16="Cancelled","",IF(D16&gt;$AD$1,0,IF($W16="Y",VALUE(INDIRECT("Sales!FD"&amp;ROW())),VALUE(INDIRECT("Sales!FE"&amp;ROW()))))))</f>
        <v>108</v>
      </c>
      <c r="U16" s="197">
        <f t="shared" ref="U16" ca="1" si="197">IF(A16="","",IF(P16="Cancelled","",AK16+S16-T16))</f>
        <v>-108</v>
      </c>
      <c r="V16" s="455">
        <f t="shared" ref="V16" ca="1" si="198">IF(AND(P16&lt;&gt;"Active",P16&lt;&gt;"Dormant"),"",IF(OR(S16=0,S16&lt;T16),0,1))</f>
        <v>0</v>
      </c>
      <c r="W16" s="455" t="str">
        <f t="shared" ref="W16" ca="1" si="199">IF(A16="","",IF(AND(($D16)&gt;=($AB$1),($D16)&lt;=($AD$1),P16="Active"),"Y",""))</f>
        <v>Y</v>
      </c>
      <c r="X16" s="197" t="str">
        <f t="shared" ref="X16" ca="1" si="200">IF(V16="","",IF(V16&lt;&gt;1,"",IF(W16="y",J16,M16*V16)))</f>
        <v/>
      </c>
      <c r="Y16" s="197" t="str">
        <f t="shared" ref="Y16" ca="1" si="201">IF(V16="","",IF(V16&lt;&gt;1,"",IF(W16="y",K16,N16*V16)))</f>
        <v/>
      </c>
      <c r="AB16"/>
      <c r="AC16" s="197">
        <f t="shared" ref="AC16" ca="1" si="202">IF(A16="","",IF(V16=1,T16,0))</f>
        <v>0</v>
      </c>
      <c r="AD16" s="197" t="str">
        <f ca="1">IF(OR(A16="",AC16=0),"",INDIRECT("Sales!FH"&amp;ROW())*Commission!V16)</f>
        <v/>
      </c>
      <c r="AE16" s="197" t="str">
        <f t="shared" ref="AE16" ca="1" si="203">IF(OR($A16="",$AC16=0),"",T16-AD16)</f>
        <v/>
      </c>
      <c r="AF16" s="197" t="str">
        <f t="shared" ref="AF16" ca="1" si="204">IF(OR($A16="",$AC16=0),"",SUM(X16:Y16))</f>
        <v/>
      </c>
      <c r="AG16" s="197" t="str">
        <f t="shared" ref="AG16" ca="1" si="205">IF(OR(AC16=0,A16=""),"",INDIRECT("Sales!FL"&amp;ROW()))</f>
        <v/>
      </c>
      <c r="AH16" s="197" t="str">
        <f t="shared" ref="AH16" ca="1" si="206">IF(OR(AC16=0,A16=""),"",AE16-SUM(AF16:AG16))</f>
        <v/>
      </c>
      <c r="AI16" s="455" t="str">
        <f t="shared" ref="AI16" ca="1" si="207">IF(V16="","",IF(AND(W16="y",V16=1,AG16&gt;0),"Y",""))</f>
        <v/>
      </c>
      <c r="AL16" s="197">
        <f t="shared" ref="AL16" ca="1" si="208">IF(A16="","",IF(V16&lt;&gt;1,S16,U16))</f>
        <v>0</v>
      </c>
    </row>
    <row r="17" spans="1:38">
      <c r="A17">
        <f t="shared" ca="1" si="0"/>
        <v>9575</v>
      </c>
      <c r="B17">
        <f t="shared" ca="1" si="1"/>
        <v>50260533</v>
      </c>
      <c r="C17" t="str">
        <f t="shared" ca="1" si="2"/>
        <v>ACF10</v>
      </c>
      <c r="D17" s="454">
        <f t="shared" ca="1" si="3"/>
        <v>42186</v>
      </c>
      <c r="E17" t="str">
        <f t="shared" ca="1" si="4"/>
        <v>Berenice Louise Naidoo</v>
      </c>
      <c r="F17" s="198">
        <v>1</v>
      </c>
      <c r="G17" t="str">
        <f t="shared" ref="G17" ca="1" si="209">IF(A17="","",LEFT(H17,4))</f>
        <v>cdr1</v>
      </c>
      <c r="H17" t="str">
        <f t="shared" ca="1" si="7"/>
        <v>cdr1/1002</v>
      </c>
      <c r="I17" s="197">
        <f t="shared" ca="1" si="8"/>
        <v>80</v>
      </c>
      <c r="J17" s="197">
        <f ca="1">IF(A17="","",OFFSET('Commission splits'!$A$3,MATCH(Commission!$O17,'Commission splits'!$A$4:$A$10,0),2)*OFFSET('Policy breakdown'!$A$2,MATCH(Commission!$C17,'Policy breakdown'!$A$3:$A$41,0),7)+OFFSET('Commission splits'!$A$3,MATCH(Commission!$O17,'Commission splits'!$A$4:$A$10,0),5)*OFFSET('Policy breakdown'!$A$2,MATCH(Commission!$C17,'Policy breakdown'!$A$3:$A$41,0),8)+$F17*'Policy breakdown'!$I$33*OFFSET('Commission splits'!$A$3,MATCH(Commission!$O17,'Commission splits'!$A$4:$A$10,0),5))</f>
        <v>20.900000000000002</v>
      </c>
      <c r="K17" s="197">
        <f ca="1">IF(A17="","",OFFSET('Commission splits'!$A$3,MATCH(Commission!$O17,'Commission splits'!$A$4:$A$10,0),1)*OFFSET('Policy breakdown'!$A$2,MATCH(Commission!$C17,'[1]Policy breakdown'!$A$3:$A$41,0),7)+OFFSET('Commission splits'!$A$3,MATCH(Commission!$O17,'Commission splits'!$A$4:$A$10,0),4)*OFFSET('Policy breakdown'!$A$2,MATCH(Commission!$C17,'Policy breakdown'!$A$3:$A$41,0),8)+$F17*'Policy breakdown'!$I$33*OFFSET('Commission splits'!$A$3,MATCH(Commission!$O17,'Commission splits'!$A$4:$A$10,0),4))</f>
        <v>62.6</v>
      </c>
      <c r="L17" s="197">
        <f t="shared" ref="L17" ca="1" si="210">IF(A17="","",IF(INDIRECT("Sales!FP"&amp;ROW())="","",VALUE(INDIRECT("Sales!FP"&amp;ROW()))))</f>
        <v>17</v>
      </c>
      <c r="M17" s="197">
        <f ca="1">IF(A17="","",$L17*OFFSET('Commission splits'!$A$3,MATCH(Commission!$O17,'Commission splits'!$A$4:$A$10,0),5))</f>
        <v>6.8000000000000007</v>
      </c>
      <c r="N17" s="197">
        <f ca="1">IF(A17="","",$L17*OFFSET('Commission splits'!$A$3,MATCH(Commission!$O17,'Commission splits'!$A$4:$A$10,0),4))</f>
        <v>10.199999999999999</v>
      </c>
      <c r="O17" t="str">
        <f ca="1">IF(A17="","",OFFSET(Agent!$A$2,MATCH(Commission!H17,Agent!$A$3:$A$2000,0),21))</f>
        <v>Active</v>
      </c>
      <c r="P17" t="str">
        <f t="shared" ref="P17" ca="1" si="211">IF(A17="","",INDIRECT("Sales!FS"&amp;ROW()))</f>
        <v>Active</v>
      </c>
      <c r="Q17" s="403">
        <f t="shared" ca="1" si="83"/>
        <v>50</v>
      </c>
      <c r="S17" s="197">
        <f t="array" aca="1" ref="S17" ca="1">IF(A17="","",SUM((CommReceived!$D$2:$D$1001=Commission!$B17)*(CommReceived!$F$2:$F$1001))+AK17)</f>
        <v>200</v>
      </c>
      <c r="T17" s="197">
        <f t="shared" ref="T17" ca="1" si="212">IF($A17="","",IF(P17="Cancelled","",IF(D17&gt;$AD$1,0,IF($W17="Y",VALUE(INDIRECT("Sales!FD"&amp;ROW())),VALUE(INDIRECT("Sales!FE"&amp;ROW()))))))</f>
        <v>200</v>
      </c>
      <c r="U17" s="197">
        <f t="shared" ref="U17" ca="1" si="213">IF(A17="","",IF(P17="Cancelled","",AK17+S17-T17))</f>
        <v>0</v>
      </c>
      <c r="V17" s="455">
        <f t="shared" ref="V17" ca="1" si="214">IF(AND(P17&lt;&gt;"Active",P17&lt;&gt;"Dormant"),"",IF(OR(S17=0,S17&lt;T17),0,1))</f>
        <v>1</v>
      </c>
      <c r="W17" s="455" t="str">
        <f t="shared" ref="W17" ca="1" si="215">IF(A17="","",IF(AND(($D17)&gt;=($AB$1),($D17)&lt;=($AD$1),P17="Active"),"Y",""))</f>
        <v>Y</v>
      </c>
      <c r="X17" s="197">
        <f t="shared" ref="X17" ca="1" si="216">IF(V17="","",IF(V17&lt;&gt;1,"",IF(W17="y",J17,M17*V17)))</f>
        <v>20.900000000000002</v>
      </c>
      <c r="Y17" s="197">
        <f t="shared" ref="Y17" ca="1" si="217">IF(V17="","",IF(V17&lt;&gt;1,"",IF(W17="y",K17,N17*V17)))</f>
        <v>62.6</v>
      </c>
      <c r="AB17"/>
      <c r="AC17" s="197">
        <f t="shared" ref="AC17" ca="1" si="218">IF(A17="","",IF(V17=1,T17,0))</f>
        <v>200</v>
      </c>
      <c r="AD17" s="197">
        <f ca="1">IF(OR(A17="",AC17=0),"",INDIRECT("Sales!FH"&amp;ROW())*Commission!V17)</f>
        <v>28</v>
      </c>
      <c r="AE17" s="197">
        <f t="shared" ref="AE17" ca="1" si="219">IF(OR($A17="",$AC17=0),"",T17-AD17)</f>
        <v>172</v>
      </c>
      <c r="AF17" s="197">
        <f t="shared" ref="AF17" ca="1" si="220">IF(OR($A17="",$AC17=0),"",SUM(X17:Y17))</f>
        <v>83.5</v>
      </c>
      <c r="AG17" s="197">
        <f t="shared" ref="AG17" ca="1" si="221">IF(OR(AC17=0,A17=""),"",INDIRECT("Sales!FL"&amp;ROW()))</f>
        <v>50</v>
      </c>
      <c r="AH17" s="197">
        <f t="shared" ref="AH17" ca="1" si="222">IF(OR(AC17=0,A17=""),"",AE17-SUM(AF17:AG17))</f>
        <v>38.5</v>
      </c>
      <c r="AI17" s="455" t="str">
        <f t="shared" ref="AI17" ca="1" si="223">IF(V17="","",IF(AND(W17="y",V17=1,AG17&gt;0),"Y",""))</f>
        <v>Y</v>
      </c>
      <c r="AL17" s="197">
        <f t="shared" ref="AL17" ca="1" si="224">IF(A17="","",IF(V17&lt;&gt;1,S17,U17))</f>
        <v>0</v>
      </c>
    </row>
    <row r="18" spans="1:38">
      <c r="A18">
        <f t="shared" ca="1" si="0"/>
        <v>9575</v>
      </c>
      <c r="B18">
        <f t="shared" ca="1" si="1"/>
        <v>50260558</v>
      </c>
      <c r="C18" t="str">
        <f t="shared" ca="1" si="2"/>
        <v>ACF10</v>
      </c>
      <c r="D18" s="454">
        <f t="shared" ca="1" si="3"/>
        <v>42186</v>
      </c>
      <c r="E18" t="str">
        <f t="shared" ca="1" si="4"/>
        <v>Wendy Engelbrecht</v>
      </c>
      <c r="F18" s="198">
        <v>1</v>
      </c>
      <c r="G18" t="str">
        <f t="shared" ref="G18" ca="1" si="225">IF(A18="","",LEFT(H18,4))</f>
        <v>cdr1</v>
      </c>
      <c r="H18" t="str">
        <f t="shared" ca="1" si="7"/>
        <v>cdr1/1002</v>
      </c>
      <c r="I18" s="197">
        <f t="shared" ca="1" si="8"/>
        <v>80</v>
      </c>
      <c r="J18" s="197">
        <f ca="1">IF(A18="","",OFFSET('Commission splits'!$A$3,MATCH(Commission!$O18,'Commission splits'!$A$4:$A$10,0),2)*OFFSET('Policy breakdown'!$A$2,MATCH(Commission!$C18,'Policy breakdown'!$A$3:$A$41,0),7)+OFFSET('Commission splits'!$A$3,MATCH(Commission!$O18,'Commission splits'!$A$4:$A$10,0),5)*OFFSET('Policy breakdown'!$A$2,MATCH(Commission!$C18,'Policy breakdown'!$A$3:$A$41,0),8)+$F18*'Policy breakdown'!$I$33*OFFSET('Commission splits'!$A$3,MATCH(Commission!$O18,'Commission splits'!$A$4:$A$10,0),5))</f>
        <v>20.900000000000002</v>
      </c>
      <c r="K18" s="197">
        <f ca="1">IF(A18="","",OFFSET('Commission splits'!$A$3,MATCH(Commission!$O18,'Commission splits'!$A$4:$A$10,0),1)*OFFSET('Policy breakdown'!$A$2,MATCH(Commission!$C18,'[1]Policy breakdown'!$A$3:$A$41,0),7)+OFFSET('Commission splits'!$A$3,MATCH(Commission!$O18,'Commission splits'!$A$4:$A$10,0),4)*OFFSET('Policy breakdown'!$A$2,MATCH(Commission!$C18,'Policy breakdown'!$A$3:$A$41,0),8)+$F18*'Policy breakdown'!$I$33*OFFSET('Commission splits'!$A$3,MATCH(Commission!$O18,'Commission splits'!$A$4:$A$10,0),4))</f>
        <v>62.6</v>
      </c>
      <c r="L18" s="197">
        <f t="shared" ref="L18" ca="1" si="226">IF(A18="","",IF(INDIRECT("Sales!FP"&amp;ROW())="","",VALUE(INDIRECT("Sales!FP"&amp;ROW()))))</f>
        <v>17</v>
      </c>
      <c r="M18" s="197">
        <f ca="1">IF(A18="","",$L18*OFFSET('Commission splits'!$A$3,MATCH(Commission!$O18,'Commission splits'!$A$4:$A$10,0),5))</f>
        <v>6.8000000000000007</v>
      </c>
      <c r="N18" s="197">
        <f ca="1">IF(A18="","",$L18*OFFSET('Commission splits'!$A$3,MATCH(Commission!$O18,'Commission splits'!$A$4:$A$10,0),4))</f>
        <v>10.199999999999999</v>
      </c>
      <c r="O18" t="str">
        <f ca="1">IF(A18="","",OFFSET(Agent!$A$2,MATCH(Commission!H18,Agent!$A$3:$A$2000,0),21))</f>
        <v>Active</v>
      </c>
      <c r="P18" t="str">
        <f t="shared" ref="P18" ca="1" si="227">IF(A18="","",INDIRECT("Sales!FS"&amp;ROW()))</f>
        <v>Active</v>
      </c>
      <c r="Q18" s="403">
        <f t="shared" ca="1" si="83"/>
        <v>50</v>
      </c>
      <c r="S18" s="197">
        <f t="array" aca="1" ref="S18" ca="1">IF(A18="","",SUM((CommReceived!$D$2:$D$1001=Commission!$B18)*(CommReceived!$F$2:$F$1001))+AK18)</f>
        <v>0</v>
      </c>
      <c r="T18" s="197">
        <f t="shared" ref="T18" ca="1" si="228">IF($A18="","",IF(P18="Cancelled","",IF(D18&gt;$AD$1,0,IF($W18="Y",VALUE(INDIRECT("Sales!FD"&amp;ROW())),VALUE(INDIRECT("Sales!FE"&amp;ROW()))))))</f>
        <v>200</v>
      </c>
      <c r="U18" s="197">
        <f t="shared" ref="U18" ca="1" si="229">IF(A18="","",IF(P18="Cancelled","",AK18+S18-T18))</f>
        <v>-200</v>
      </c>
      <c r="V18" s="455">
        <f t="shared" ref="V18" ca="1" si="230">IF(AND(P18&lt;&gt;"Active",P18&lt;&gt;"Dormant"),"",IF(OR(S18=0,S18&lt;T18),0,1))</f>
        <v>0</v>
      </c>
      <c r="W18" s="455" t="str">
        <f t="shared" ref="W18" ca="1" si="231">IF(A18="","",IF(AND(($D18)&gt;=($AB$1),($D18)&lt;=($AD$1),P18="Active"),"Y",""))</f>
        <v>Y</v>
      </c>
      <c r="X18" s="197" t="str">
        <f t="shared" ref="X18" ca="1" si="232">IF(V18="","",IF(V18&lt;&gt;1,"",IF(W18="y",J18,M18*V18)))</f>
        <v/>
      </c>
      <c r="Y18" s="197" t="str">
        <f t="shared" ref="Y18" ca="1" si="233">IF(V18="","",IF(V18&lt;&gt;1,"",IF(W18="y",K18,N18*V18)))</f>
        <v/>
      </c>
      <c r="AB18"/>
      <c r="AC18" s="197">
        <f t="shared" ref="AC18" ca="1" si="234">IF(A18="","",IF(V18=1,T18,0))</f>
        <v>0</v>
      </c>
      <c r="AD18" s="197" t="str">
        <f ca="1">IF(OR(A18="",AC18=0),"",INDIRECT("Sales!FH"&amp;ROW())*Commission!V18)</f>
        <v/>
      </c>
      <c r="AE18" s="197" t="str">
        <f t="shared" ref="AE18" ca="1" si="235">IF(OR($A18="",$AC18=0),"",T18-AD18)</f>
        <v/>
      </c>
      <c r="AF18" s="197" t="str">
        <f t="shared" ref="AF18" ca="1" si="236">IF(OR($A18="",$AC18=0),"",SUM(X18:Y18))</f>
        <v/>
      </c>
      <c r="AG18" s="197" t="str">
        <f t="shared" ref="AG18" ca="1" si="237">IF(OR(AC18=0,A18=""),"",INDIRECT("Sales!FL"&amp;ROW()))</f>
        <v/>
      </c>
      <c r="AH18" s="197" t="str">
        <f t="shared" ref="AH18" ca="1" si="238">IF(OR(AC18=0,A18=""),"",AE18-SUM(AF18:AG18))</f>
        <v/>
      </c>
      <c r="AI18" s="455" t="str">
        <f t="shared" ref="AI18" ca="1" si="239">IF(V18="","",IF(AND(W18="y",V18=1,AG18&gt;0),"Y",""))</f>
        <v/>
      </c>
      <c r="AL18" s="197">
        <f t="shared" ref="AL18" ca="1" si="240">IF(A18="","",IF(V18&lt;&gt;1,S18,U18))</f>
        <v>0</v>
      </c>
    </row>
    <row r="19" spans="1:38">
      <c r="A19">
        <f t="shared" ca="1" si="0"/>
        <v>9575</v>
      </c>
      <c r="B19">
        <f t="shared" ca="1" si="1"/>
        <v>50260020</v>
      </c>
      <c r="C19" t="str">
        <f t="shared" ca="1" si="2"/>
        <v>GDF95</v>
      </c>
      <c r="D19" s="467">
        <f t="shared" ca="1" si="3"/>
        <v>42186</v>
      </c>
      <c r="E19" t="str">
        <f t="shared" ca="1" si="4"/>
        <v>Ingrid Kerin Thorne</v>
      </c>
      <c r="F19" s="198">
        <v>1</v>
      </c>
      <c r="G19" t="str">
        <f t="shared" ref="G19" ca="1" si="241">IF(A19="","",LEFT(H19,4))</f>
        <v>tjv1</v>
      </c>
      <c r="H19" t="str">
        <f t="shared" ca="1" si="7"/>
        <v>tjv1/1000</v>
      </c>
      <c r="I19" s="197">
        <f t="shared" ca="1" si="8"/>
        <v>72</v>
      </c>
      <c r="J19" s="197">
        <f ca="1">IF(A19="","",OFFSET('Commission splits'!$A$3,MATCH(Commission!$O19,'Commission splits'!$A$4:$A$10,0),2)*OFFSET('Policy breakdown'!$A$2,MATCH(Commission!$C19,'Policy breakdown'!$A$3:$A$41,0),7)+OFFSET('Commission splits'!$A$3,MATCH(Commission!$O19,'Commission splits'!$A$4:$A$10,0),5)*OFFSET('Policy breakdown'!$A$2,MATCH(Commission!$C19,'Policy breakdown'!$A$3:$A$41,0),8)+$F19*'Policy breakdown'!$I$33*OFFSET('Commission splits'!$A$3,MATCH(Commission!$O19,'Commission splits'!$A$4:$A$10,0),5))</f>
        <v>20.200000000000003</v>
      </c>
      <c r="K19" s="197">
        <f ca="1">IF(A19="","",OFFSET('Commission splits'!$A$3,MATCH(Commission!$O19,'Commission splits'!$A$4:$A$10,0),1)*OFFSET('Policy breakdown'!$A$2,MATCH(Commission!$C19,'[1]Policy breakdown'!$A$3:$A$41,0),7)+OFFSET('Commission splits'!$A$3,MATCH(Commission!$O19,'Commission splits'!$A$4:$A$10,0),4)*OFFSET('Policy breakdown'!$A$2,MATCH(Commission!$C19,'Policy breakdown'!$A$3:$A$41,0),8)+$F19*'Policy breakdown'!$I$33*OFFSET('Commission splits'!$A$3,MATCH(Commission!$O19,'Commission splits'!$A$4:$A$10,0),4))</f>
        <v>55.3</v>
      </c>
      <c r="L19" s="197">
        <f t="shared" ref="L19" ca="1" si="242">IF(A19="","",IF(INDIRECT("Sales!FP"&amp;ROW())="","",VALUE(INDIRECT("Sales!FP"&amp;ROW()))))</f>
        <v>22</v>
      </c>
      <c r="M19" s="197">
        <f ca="1">IF(A19="","",$L19*OFFSET('Commission splits'!$A$3,MATCH(Commission!$O19,'Commission splits'!$A$4:$A$10,0),5))</f>
        <v>8.8000000000000007</v>
      </c>
      <c r="N19" s="197">
        <f ca="1">IF(A19="","",$L19*OFFSET('Commission splits'!$A$3,MATCH(Commission!$O19,'Commission splits'!$A$4:$A$10,0),4))</f>
        <v>13.2</v>
      </c>
      <c r="O19" t="str">
        <f ca="1">IF(A19="","",OFFSET(Agent!$A$2,MATCH(Commission!H19,Agent!$A$3:$A$2000,0),21))</f>
        <v>Active</v>
      </c>
      <c r="P19" t="str">
        <f t="shared" ref="P19" ca="1" si="243">IF(A19="","",INDIRECT("Sales!FS"&amp;ROW()))</f>
        <v>Active</v>
      </c>
      <c r="Q19" s="403">
        <f t="shared" ref="Q19" ca="1" si="244">IF(A19="","",IF(INDIRECT("Sales!FS"&amp;ROW())="Cancelled",0,INDIRECT("Sales!FL"&amp;ROW())))</f>
        <v>0</v>
      </c>
      <c r="S19" s="197">
        <f t="array" aca="1" ref="S19" ca="1">IF(A19="","",SUM((CommReceived!$D$2:$D$1001=Commission!$B19)*(CommReceived!$F$2:$F$1001))+AK19)</f>
        <v>0</v>
      </c>
      <c r="T19" s="197">
        <f t="shared" ref="T19" ca="1" si="245">IF($A19="","",IF(P19="Cancelled","",IF(D19&gt;$AD$1,0,IF($W19="Y",VALUE(INDIRECT("Sales!FD"&amp;ROW())),VALUE(INDIRECT("Sales!FE"&amp;ROW()))))))</f>
        <v>145</v>
      </c>
      <c r="U19" s="197">
        <f t="shared" ref="U19" ca="1" si="246">IF(A19="","",IF(P19="Cancelled","",AK19+S19-T19))</f>
        <v>-145</v>
      </c>
      <c r="V19" s="470">
        <f t="shared" ref="V19" ca="1" si="247">IF(AND(P19&lt;&gt;"Active",P19&lt;&gt;"Dormant"),"",IF(OR(S19=0,S19&lt;T19),0,1))</f>
        <v>0</v>
      </c>
      <c r="W19" s="470" t="str">
        <f t="shared" ref="W19" ca="1" si="248">IF(A19="","",IF(AND(($D19)&gt;=($AB$1),($D19)&lt;=($AD$1),P19="Active"),"Y",""))</f>
        <v>Y</v>
      </c>
      <c r="X19" s="197" t="str">
        <f t="shared" ref="X19" ca="1" si="249">IF(V19="","",IF(V19&lt;&gt;1,"",IF(W19="y",J19,M19*V19)))</f>
        <v/>
      </c>
      <c r="Y19" s="197" t="str">
        <f t="shared" ref="Y19" ca="1" si="250">IF(V19="","",IF(V19&lt;&gt;1,"",IF(W19="y",K19,N19*V19)))</f>
        <v/>
      </c>
      <c r="AB19"/>
      <c r="AC19" s="197">
        <f t="shared" ref="AC19" ca="1" si="251">IF(A19="","",IF(V19=1,T19,0))</f>
        <v>0</v>
      </c>
      <c r="AD19" s="197" t="str">
        <f ca="1">IF(OR(A19="",AC19=0),"",INDIRECT("Sales!FH"&amp;ROW())*Commission!V19)</f>
        <v/>
      </c>
      <c r="AE19" s="197" t="str">
        <f t="shared" ref="AE19" ca="1" si="252">IF(OR($A19="",$AC19=0),"",T19-AD19)</f>
        <v/>
      </c>
      <c r="AF19" s="197" t="str">
        <f t="shared" ref="AF19" ca="1" si="253">IF(OR($A19="",$AC19=0),"",SUM(X19:Y19))</f>
        <v/>
      </c>
      <c r="AG19" s="197" t="str">
        <f t="shared" ref="AG19" ca="1" si="254">IF(OR(AC19=0,A19=""),"",INDIRECT("Sales!FL"&amp;ROW()))</f>
        <v/>
      </c>
      <c r="AH19" s="197" t="str">
        <f t="shared" ref="AH19" ca="1" si="255">IF(OR(AC19=0,A19=""),"",AE19-SUM(AF19:AG19))</f>
        <v/>
      </c>
      <c r="AI19" s="470" t="str">
        <f t="shared" ref="AI19" ca="1" si="256">IF(V19="","",IF(AND(W19="y",V19=1,AG19&gt;0),"Y",""))</f>
        <v/>
      </c>
      <c r="AL19" s="197">
        <f t="shared" ref="AL19" ca="1" si="257">IF(A19="","",IF(V19&lt;&gt;1,S19,U19))</f>
        <v>0</v>
      </c>
    </row>
    <row r="20" spans="1:38">
      <c r="A20">
        <f t="shared" ca="1" si="0"/>
        <v>9575</v>
      </c>
      <c r="B20">
        <f t="shared" ca="1" si="1"/>
        <v>50260038</v>
      </c>
      <c r="C20" t="str">
        <f t="shared" ca="1" si="2"/>
        <v>GGF78</v>
      </c>
      <c r="D20" s="467">
        <f t="shared" ca="1" si="3"/>
        <v>42217</v>
      </c>
      <c r="E20" t="str">
        <f t="shared" ca="1" si="4"/>
        <v>Monique Lea Jaars</v>
      </c>
      <c r="F20" s="198">
        <v>1</v>
      </c>
      <c r="G20" t="str">
        <f t="shared" ref="G20" ca="1" si="258">IF(A20="","",LEFT(H20,4))</f>
        <v>tjv1</v>
      </c>
      <c r="H20" t="str">
        <f t="shared" ca="1" si="7"/>
        <v>tjv1/1000</v>
      </c>
      <c r="I20" s="197">
        <f t="shared" ca="1" si="8"/>
        <v>67</v>
      </c>
      <c r="J20" s="197">
        <f ca="1">IF(A20="","",OFFSET('Commission splits'!$A$3,MATCH(Commission!$O20,'Commission splits'!$A$4:$A$10,0),2)*OFFSET('Policy breakdown'!$A$2,MATCH(Commission!$C20,'Policy breakdown'!$A$3:$A$41,0),7)+OFFSET('Commission splits'!$A$3,MATCH(Commission!$O20,'Commission splits'!$A$4:$A$10,0),5)*OFFSET('Policy breakdown'!$A$2,MATCH(Commission!$C20,'Policy breakdown'!$A$3:$A$41,0),8)+$F20*'Policy breakdown'!$I$33*OFFSET('Commission splits'!$A$3,MATCH(Commission!$O20,'Commission splits'!$A$4:$A$10,0),5))</f>
        <v>18.400000000000002</v>
      </c>
      <c r="K20" s="197">
        <f ca="1">IF(A20="","",OFFSET('Commission splits'!$A$3,MATCH(Commission!$O20,'Commission splits'!$A$4:$A$10,0),1)*OFFSET('Policy breakdown'!$A$2,MATCH(Commission!$C20,'[1]Policy breakdown'!$A$3:$A$41,0),7)+OFFSET('Commission splits'!$A$3,MATCH(Commission!$O20,'Commission splits'!$A$4:$A$10,0),4)*OFFSET('Policy breakdown'!$A$2,MATCH(Commission!$C20,'Policy breakdown'!$A$3:$A$41,0),8)+$F20*'Policy breakdown'!$I$33*OFFSET('Commission splits'!$A$3,MATCH(Commission!$O20,'Commission splits'!$A$4:$A$10,0),4))</f>
        <v>52.6</v>
      </c>
      <c r="L20" s="197">
        <f t="shared" ref="L20" ca="1" si="259">IF(A20="","",IF(INDIRECT("Sales!FP"&amp;ROW())="","",VALUE(INDIRECT("Sales!FP"&amp;ROW()))))</f>
        <v>17</v>
      </c>
      <c r="M20" s="197">
        <f ca="1">IF(A20="","",$L20*OFFSET('Commission splits'!$A$3,MATCH(Commission!$O20,'Commission splits'!$A$4:$A$10,0),5))</f>
        <v>6.8000000000000007</v>
      </c>
      <c r="N20" s="197">
        <f ca="1">IF(A20="","",$L20*OFFSET('Commission splits'!$A$3,MATCH(Commission!$O20,'Commission splits'!$A$4:$A$10,0),4))</f>
        <v>10.199999999999999</v>
      </c>
      <c r="O20" t="str">
        <f ca="1">IF(A20="","",OFFSET(Agent!$A$2,MATCH(Commission!H20,Agent!$A$3:$A$2000,0),21))</f>
        <v>Active</v>
      </c>
      <c r="P20" t="str">
        <f t="shared" ref="P20" ca="1" si="260">IF(A20="","",INDIRECT("Sales!FS"&amp;ROW()))</f>
        <v>Active</v>
      </c>
      <c r="Q20" s="403">
        <f t="shared" ref="Q20" ca="1" si="261">IF(A20="","",IF(INDIRECT("Sales!FS"&amp;ROW())="Cancelled",0,INDIRECT("Sales!FL"&amp;ROW())))</f>
        <v>0</v>
      </c>
      <c r="S20" s="197">
        <f t="array" aca="1" ref="S20" ca="1">IF(A20="","",SUM((CommReceived!$D$2:$D$1001=Commission!$B20)*(CommReceived!$F$2:$F$1001))+AK20)</f>
        <v>0</v>
      </c>
      <c r="T20" s="197">
        <f t="shared" ref="T20" ca="1" si="262">IF($A20="","",IF(P20="Cancelled","",IF(D20&gt;$AD$1,0,IF($W20="Y",VALUE(INDIRECT("Sales!FD"&amp;ROW())),VALUE(INDIRECT("Sales!FE"&amp;ROW()))))))</f>
        <v>0</v>
      </c>
      <c r="U20" s="197">
        <f t="shared" ref="U20" ca="1" si="263">IF(A20="","",IF(P20="Cancelled","",AK20+S20-T20))</f>
        <v>0</v>
      </c>
      <c r="V20" s="470">
        <f t="shared" ref="V20" ca="1" si="264">IF(AND(P20&lt;&gt;"Active",P20&lt;&gt;"Dormant"),"",IF(OR(S20=0,S20&lt;T20),0,1))</f>
        <v>0</v>
      </c>
      <c r="W20" s="470" t="str">
        <f t="shared" ref="W20" ca="1" si="265">IF(A20="","",IF(AND(($D20)&gt;=($AB$1),($D20)&lt;=($AD$1),P20="Active"),"Y",""))</f>
        <v/>
      </c>
      <c r="X20" s="197" t="str">
        <f t="shared" ref="X20" ca="1" si="266">IF(V20="","",IF(V20&lt;&gt;1,"",IF(W20="y",J20,M20*V20)))</f>
        <v/>
      </c>
      <c r="Y20" s="197" t="str">
        <f t="shared" ref="Y20" ca="1" si="267">IF(V20="","",IF(V20&lt;&gt;1,"",IF(W20="y",K20,N20*V20)))</f>
        <v/>
      </c>
      <c r="AB20"/>
      <c r="AC20" s="197">
        <f t="shared" ref="AC20" ca="1" si="268">IF(A20="","",IF(V20=1,T20,0))</f>
        <v>0</v>
      </c>
      <c r="AD20" s="197" t="str">
        <f ca="1">IF(OR(A20="",AC20=0),"",INDIRECT("Sales!FH"&amp;ROW())*Commission!V20)</f>
        <v/>
      </c>
      <c r="AE20" s="197" t="str">
        <f t="shared" ref="AE20" ca="1" si="269">IF(OR($A20="",$AC20=0),"",T20-AD20)</f>
        <v/>
      </c>
      <c r="AF20" s="197" t="str">
        <f t="shared" ref="AF20" ca="1" si="270">IF(OR($A20="",$AC20=0),"",SUM(X20:Y20))</f>
        <v/>
      </c>
      <c r="AG20" s="197" t="str">
        <f t="shared" ref="AG20" ca="1" si="271">IF(OR(AC20=0,A20=""),"",INDIRECT("Sales!FL"&amp;ROW()))</f>
        <v/>
      </c>
      <c r="AH20" s="197" t="str">
        <f t="shared" ref="AH20" ca="1" si="272">IF(OR(AC20=0,A20=""),"",AE20-SUM(AF20:AG20))</f>
        <v/>
      </c>
      <c r="AI20" s="470" t="str">
        <f t="shared" ref="AI20" ca="1" si="273">IF(V20="","",IF(AND(W20="y",V20=1,AG20&gt;0),"Y",""))</f>
        <v/>
      </c>
      <c r="AL20" s="197">
        <f t="shared" ref="AL20" ca="1" si="274">IF(A20="","",IF(V20&lt;&gt;1,S20,U20))</f>
        <v>0</v>
      </c>
    </row>
    <row r="21" spans="1:38">
      <c r="A21">
        <f t="shared" ca="1" si="0"/>
        <v>9575</v>
      </c>
      <c r="B21">
        <f t="shared" ca="1" si="1"/>
        <v>50260624</v>
      </c>
      <c r="C21" t="str">
        <f t="shared" ca="1" si="2"/>
        <v>ACF10</v>
      </c>
      <c r="D21" s="467">
        <f t="shared" ca="1" si="3"/>
        <v>42186</v>
      </c>
      <c r="E21" t="str">
        <f t="shared" ca="1" si="4"/>
        <v>Craig de Hahn</v>
      </c>
      <c r="F21" s="198">
        <v>1</v>
      </c>
      <c r="G21" t="str">
        <f t="shared" ref="G21" ca="1" si="275">IF(A21="","",LEFT(H21,4))</f>
        <v>jdj1</v>
      </c>
      <c r="H21" t="str">
        <f t="shared" ca="1" si="7"/>
        <v>jdj1/1001</v>
      </c>
      <c r="I21" s="197">
        <f t="shared" ca="1" si="8"/>
        <v>80</v>
      </c>
      <c r="J21" s="197">
        <f ca="1">IF(A21="","",OFFSET('Commission splits'!$A$3,MATCH(Commission!$O21,'Commission splits'!$A$4:$A$10,0),2)*OFFSET('Policy breakdown'!$A$2,MATCH(Commission!$C21,'Policy breakdown'!$A$3:$A$41,0),7)+OFFSET('Commission splits'!$A$3,MATCH(Commission!$O21,'Commission splits'!$A$4:$A$10,0),5)*OFFSET('Policy breakdown'!$A$2,MATCH(Commission!$C21,'Policy breakdown'!$A$3:$A$41,0),8)+$F21*'Policy breakdown'!$I$33*OFFSET('Commission splits'!$A$3,MATCH(Commission!$O21,'Commission splits'!$A$4:$A$10,0),5))</f>
        <v>20.900000000000002</v>
      </c>
      <c r="K21" s="197">
        <f ca="1">IF(A21="","",OFFSET('Commission splits'!$A$3,MATCH(Commission!$O21,'Commission splits'!$A$4:$A$10,0),1)*OFFSET('Policy breakdown'!$A$2,MATCH(Commission!$C21,'[1]Policy breakdown'!$A$3:$A$41,0),7)+OFFSET('Commission splits'!$A$3,MATCH(Commission!$O21,'Commission splits'!$A$4:$A$10,0),4)*OFFSET('Policy breakdown'!$A$2,MATCH(Commission!$C21,'Policy breakdown'!$A$3:$A$41,0),8)+$F21*'Policy breakdown'!$I$33*OFFSET('Commission splits'!$A$3,MATCH(Commission!$O21,'Commission splits'!$A$4:$A$10,0),4))</f>
        <v>62.6</v>
      </c>
      <c r="L21" s="197">
        <f t="shared" ref="L21" ca="1" si="276">IF(A21="","",IF(INDIRECT("Sales!FP"&amp;ROW())="","",VALUE(INDIRECT("Sales!FP"&amp;ROW()))))</f>
        <v>17</v>
      </c>
      <c r="M21" s="197">
        <f ca="1">IF(A21="","",$L21*OFFSET('Commission splits'!$A$3,MATCH(Commission!$O21,'Commission splits'!$A$4:$A$10,0),5))</f>
        <v>6.8000000000000007</v>
      </c>
      <c r="N21" s="197">
        <f ca="1">IF(A21="","",$L21*OFFSET('Commission splits'!$A$3,MATCH(Commission!$O21,'Commission splits'!$A$4:$A$10,0),4))</f>
        <v>10.199999999999999</v>
      </c>
      <c r="O21" t="str">
        <f ca="1">IF(A21="","",OFFSET(Agent!$A$2,MATCH(Commission!H21,Agent!$A$3:$A$2000,0),21))</f>
        <v>Active</v>
      </c>
      <c r="P21" t="str">
        <f t="shared" ref="P21" ca="1" si="277">IF(A21="","",INDIRECT("Sales!FS"&amp;ROW()))</f>
        <v>Active</v>
      </c>
      <c r="Q21" s="403">
        <f t="shared" ref="Q21" ca="1" si="278">IF(A21="","",IF(INDIRECT("Sales!FS"&amp;ROW())="Cancelled",0,INDIRECT("Sales!FL"&amp;ROW())))</f>
        <v>50</v>
      </c>
      <c r="S21" s="197">
        <f t="array" aca="1" ref="S21" ca="1">IF(A21="","",SUM((CommReceived!$D$2:$D$1001=Commission!$B21)*(CommReceived!$F$2:$F$1001))+AK21)</f>
        <v>200</v>
      </c>
      <c r="T21" s="197">
        <f t="shared" ref="T21" ca="1" si="279">IF($A21="","",IF(P21="Cancelled","",IF(D21&gt;$AD$1,0,IF($W21="Y",VALUE(INDIRECT("Sales!FD"&amp;ROW())),VALUE(INDIRECT("Sales!FE"&amp;ROW()))))))</f>
        <v>200</v>
      </c>
      <c r="U21" s="197">
        <f t="shared" ref="U21" ca="1" si="280">IF(A21="","",IF(P21="Cancelled","",AK21+S21-T21))</f>
        <v>0</v>
      </c>
      <c r="V21" s="470">
        <f t="shared" ref="V21" ca="1" si="281">IF(AND(P21&lt;&gt;"Active",P21&lt;&gt;"Dormant"),"",IF(OR(S21=0,S21&lt;T21),0,1))</f>
        <v>1</v>
      </c>
      <c r="W21" s="470" t="str">
        <f t="shared" ref="W21" ca="1" si="282">IF(A21="","",IF(AND(($D21)&gt;=($AB$1),($D21)&lt;=($AD$1),P21="Active"),"Y",""))</f>
        <v>Y</v>
      </c>
      <c r="X21" s="197">
        <f t="shared" ref="X21" ca="1" si="283">IF(V21="","",IF(V21&lt;&gt;1,"",IF(W21="y",J21,M21*V21)))</f>
        <v>20.900000000000002</v>
      </c>
      <c r="Y21" s="197">
        <f t="shared" ref="Y21" ca="1" si="284">IF(V21="","",IF(V21&lt;&gt;1,"",IF(W21="y",K21,N21*V21)))</f>
        <v>62.6</v>
      </c>
      <c r="AB21"/>
      <c r="AC21" s="197">
        <f t="shared" ref="AC21" ca="1" si="285">IF(A21="","",IF(V21=1,T21,0))</f>
        <v>200</v>
      </c>
      <c r="AD21" s="197">
        <f ca="1">IF(OR(A21="",AC21=0),"",INDIRECT("Sales!FH"&amp;ROW())*Commission!V21)</f>
        <v>28</v>
      </c>
      <c r="AE21" s="197">
        <f t="shared" ref="AE21" ca="1" si="286">IF(OR($A21="",$AC21=0),"",T21-AD21)</f>
        <v>172</v>
      </c>
      <c r="AF21" s="197">
        <f t="shared" ref="AF21" ca="1" si="287">IF(OR($A21="",$AC21=0),"",SUM(X21:Y21))</f>
        <v>83.5</v>
      </c>
      <c r="AG21" s="197">
        <f t="shared" ref="AG21" ca="1" si="288">IF(OR(AC21=0,A21=""),"",INDIRECT("Sales!FL"&amp;ROW()))</f>
        <v>50</v>
      </c>
      <c r="AH21" s="197">
        <f t="shared" ref="AH21" ca="1" si="289">IF(OR(AC21=0,A21=""),"",AE21-SUM(AF21:AG21))</f>
        <v>38.5</v>
      </c>
      <c r="AI21" s="470" t="str">
        <f t="shared" ref="AI21" ca="1" si="290">IF(V21="","",IF(AND(W21="y",V21=1,AG21&gt;0),"Y",""))</f>
        <v>Y</v>
      </c>
      <c r="AL21" s="197">
        <f t="shared" ref="AL21" ca="1" si="291">IF(A21="","",IF(V21&lt;&gt;1,S21,U21))</f>
        <v>0</v>
      </c>
    </row>
    <row r="22" spans="1:38">
      <c r="A22">
        <f t="shared" ca="1" si="0"/>
        <v>9575</v>
      </c>
      <c r="B22">
        <f t="shared" ca="1" si="1"/>
        <v>50260152</v>
      </c>
      <c r="C22" t="str">
        <f t="shared" ca="1" si="2"/>
        <v>ACF18</v>
      </c>
      <c r="D22" s="467">
        <f t="shared" ca="1" si="3"/>
        <v>42217</v>
      </c>
      <c r="E22" t="str">
        <f t="shared" ca="1" si="4"/>
        <v>Lucas Karels</v>
      </c>
      <c r="F22" s="198">
        <v>1</v>
      </c>
      <c r="G22" t="str">
        <f t="shared" ref="G22" ca="1" si="292">IF(A22="","",LEFT(H22,4))</f>
        <v>jdj1</v>
      </c>
      <c r="H22" t="str">
        <f t="shared" ca="1" si="7"/>
        <v>jdj1/1001</v>
      </c>
      <c r="I22" s="197">
        <f t="shared" ca="1" si="8"/>
        <v>110</v>
      </c>
      <c r="J22" s="197">
        <f ca="1">IF(A22="","",OFFSET('Commission splits'!$A$3,MATCH(Commission!$O22,'Commission splits'!$A$4:$A$10,0),2)*OFFSET('Policy breakdown'!$A$2,MATCH(Commission!$C22,'Policy breakdown'!$A$3:$A$41,0),7)+OFFSET('Commission splits'!$A$3,MATCH(Commission!$O22,'Commission splits'!$A$4:$A$10,0),5)*OFFSET('Policy breakdown'!$A$2,MATCH(Commission!$C22,'Policy breakdown'!$A$3:$A$41,0),8)+$F22*'Policy breakdown'!$I$33*OFFSET('Commission splits'!$A$3,MATCH(Commission!$O22,'Commission splits'!$A$4:$A$10,0),5))</f>
        <v>28.5</v>
      </c>
      <c r="K22" s="197">
        <f ca="1">IF(A22="","",OFFSET('Commission splits'!$A$3,MATCH(Commission!$O22,'Commission splits'!$A$4:$A$10,0),1)*OFFSET('Policy breakdown'!$A$2,MATCH(Commission!$C22,'[1]Policy breakdown'!$A$3:$A$41,0),7)+OFFSET('Commission splits'!$A$3,MATCH(Commission!$O22,'Commission splits'!$A$4:$A$10,0),4)*OFFSET('Policy breakdown'!$A$2,MATCH(Commission!$C22,'Policy breakdown'!$A$3:$A$41,0),8)+$F22*'Policy breakdown'!$I$33*OFFSET('Commission splits'!$A$3,MATCH(Commission!$O22,'Commission splits'!$A$4:$A$10,0),4))</f>
        <v>74</v>
      </c>
      <c r="L22" s="197">
        <f t="shared" ref="L22" ca="1" si="293">IF(A22="","",IF(INDIRECT("Sales!FP"&amp;ROW())="","",VALUE(INDIRECT("Sales!FP"&amp;ROW()))))</f>
        <v>48</v>
      </c>
      <c r="M22" s="197">
        <f ca="1">IF(A22="","",$L22*OFFSET('Commission splits'!$A$3,MATCH(Commission!$O22,'Commission splits'!$A$4:$A$10,0),5))</f>
        <v>19.200000000000003</v>
      </c>
      <c r="N22" s="197">
        <f ca="1">IF(A22="","",$L22*OFFSET('Commission splits'!$A$3,MATCH(Commission!$O22,'Commission splits'!$A$4:$A$10,0),4))</f>
        <v>28.799999999999997</v>
      </c>
      <c r="O22" t="str">
        <f ca="1">IF(A22="","",OFFSET(Agent!$A$2,MATCH(Commission!H22,Agent!$A$3:$A$2000,0),21))</f>
        <v>Active</v>
      </c>
      <c r="P22" t="str">
        <f t="shared" ref="P22" ca="1" si="294">IF(A22="","",INDIRECT("Sales!FS"&amp;ROW()))</f>
        <v>Active</v>
      </c>
      <c r="Q22" s="403">
        <f t="shared" ref="Q22" ca="1" si="295">IF(A22="","",IF(INDIRECT("Sales!FS"&amp;ROW())="Cancelled",0,INDIRECT("Sales!FL"&amp;ROW())))</f>
        <v>100</v>
      </c>
      <c r="S22" s="197">
        <f t="array" aca="1" ref="S22" ca="1">IF(A22="","",SUM((CommReceived!$D$2:$D$1001=Commission!$B22)*(CommReceived!$F$2:$F$1001))+AK22)</f>
        <v>0</v>
      </c>
      <c r="T22" s="197">
        <f t="shared" ref="T22" ca="1" si="296">IF($A22="","",IF(P22="Cancelled","",IF(D22&gt;$AD$1,0,IF($W22="Y",VALUE(INDIRECT("Sales!FD"&amp;ROW())),VALUE(INDIRECT("Sales!FE"&amp;ROW()))))))</f>
        <v>0</v>
      </c>
      <c r="U22" s="197">
        <f t="shared" ref="U22" ca="1" si="297">IF(A22="","",IF(P22="Cancelled","",AK22+S22-T22))</f>
        <v>0</v>
      </c>
      <c r="V22" s="470">
        <f t="shared" ref="V22" ca="1" si="298">IF(AND(P22&lt;&gt;"Active",P22&lt;&gt;"Dormant"),"",IF(OR(S22=0,S22&lt;T22),0,1))</f>
        <v>0</v>
      </c>
      <c r="W22" s="470" t="str">
        <f t="shared" ref="W22" ca="1" si="299">IF(A22="","",IF(AND(($D22)&gt;=($AB$1),($D22)&lt;=($AD$1),P22="Active"),"Y",""))</f>
        <v/>
      </c>
      <c r="X22" s="197" t="str">
        <f t="shared" ref="X22" ca="1" si="300">IF(V22="","",IF(V22&lt;&gt;1,"",IF(W22="y",J22,M22*V22)))</f>
        <v/>
      </c>
      <c r="Y22" s="197" t="str">
        <f t="shared" ref="Y22" ca="1" si="301">IF(V22="","",IF(V22&lt;&gt;1,"",IF(W22="y",K22,N22*V22)))</f>
        <v/>
      </c>
      <c r="AB22"/>
      <c r="AC22" s="197">
        <f t="shared" ref="AC22" ca="1" si="302">IF(A22="","",IF(V22=1,T22,0))</f>
        <v>0</v>
      </c>
      <c r="AD22" s="197" t="str">
        <f ca="1">IF(OR(A22="",AC22=0),"",INDIRECT("Sales!FH"&amp;ROW())*Commission!V22)</f>
        <v/>
      </c>
      <c r="AE22" s="197" t="str">
        <f t="shared" ref="AE22" ca="1" si="303">IF(OR($A22="",$AC22=0),"",T22-AD22)</f>
        <v/>
      </c>
      <c r="AF22" s="197" t="str">
        <f t="shared" ref="AF22" ca="1" si="304">IF(OR($A22="",$AC22=0),"",SUM(X22:Y22))</f>
        <v/>
      </c>
      <c r="AG22" s="197" t="str">
        <f t="shared" ref="AG22" ca="1" si="305">IF(OR(AC22=0,A22=""),"",INDIRECT("Sales!FL"&amp;ROW()))</f>
        <v/>
      </c>
      <c r="AH22" s="197" t="str">
        <f t="shared" ref="AH22" ca="1" si="306">IF(OR(AC22=0,A22=""),"",AE22-SUM(AF22:AG22))</f>
        <v/>
      </c>
      <c r="AI22" s="470" t="str">
        <f t="shared" ref="AI22" ca="1" si="307">IF(V22="","",IF(AND(W22="y",V22=1,AG22&gt;0),"Y",""))</f>
        <v/>
      </c>
      <c r="AL22" s="197">
        <f t="shared" ref="AL22" ca="1" si="308">IF(A22="","",IF(V22&lt;&gt;1,S22,U22))</f>
        <v>0</v>
      </c>
    </row>
    <row r="23" spans="1:38">
      <c r="A23">
        <f t="shared" ca="1" si="0"/>
        <v>9575</v>
      </c>
      <c r="B23">
        <f t="shared" ca="1" si="1"/>
        <v>50260046</v>
      </c>
      <c r="C23" t="str">
        <f t="shared" ca="1" si="2"/>
        <v>GBS48</v>
      </c>
      <c r="D23" s="467">
        <f t="shared" ca="1" si="3"/>
        <v>42217</v>
      </c>
      <c r="E23" t="str">
        <f t="shared" ca="1" si="4"/>
        <v>M R Adams</v>
      </c>
      <c r="F23" s="198">
        <v>1</v>
      </c>
      <c r="G23" t="str">
        <f t="shared" ref="G23" ca="1" si="309">IF(A23="","",LEFT(H23,4))</f>
        <v>tjv1</v>
      </c>
      <c r="H23" t="str">
        <f t="shared" ca="1" si="7"/>
        <v>tjv1/1000</v>
      </c>
      <c r="I23" s="197">
        <f t="shared" ca="1" si="8"/>
        <v>58</v>
      </c>
      <c r="J23" s="197">
        <f ca="1">IF(A23="","",OFFSET('Commission splits'!$A$3,MATCH(Commission!$O23,'Commission splits'!$A$4:$A$10,0),2)*OFFSET('Policy breakdown'!$A$2,MATCH(Commission!$C23,'Policy breakdown'!$A$3:$A$41,0),7)+OFFSET('Commission splits'!$A$3,MATCH(Commission!$O23,'Commission splits'!$A$4:$A$10,0),5)*OFFSET('Policy breakdown'!$A$2,MATCH(Commission!$C23,'Policy breakdown'!$A$3:$A$41,0),8)+$F23*'Policy breakdown'!$I$33*OFFSET('Commission splits'!$A$3,MATCH(Commission!$O23,'Commission splits'!$A$4:$A$10,0),5))</f>
        <v>14.6</v>
      </c>
      <c r="K23" s="197">
        <f ca="1">IF(A23="","",OFFSET('Commission splits'!$A$3,MATCH(Commission!$O23,'Commission splits'!$A$4:$A$10,0),1)*OFFSET('Policy breakdown'!$A$2,MATCH(Commission!$C23,'[1]Policy breakdown'!$A$3:$A$41,0),7)+OFFSET('Commission splits'!$A$3,MATCH(Commission!$O23,'Commission splits'!$A$4:$A$10,0),4)*OFFSET('Policy breakdown'!$A$2,MATCH(Commission!$C23,'Policy breakdown'!$A$3:$A$41,0),8)+$F23*'Policy breakdown'!$I$33*OFFSET('Commission splits'!$A$3,MATCH(Commission!$O23,'Commission splits'!$A$4:$A$10,0),4))</f>
        <v>46.9</v>
      </c>
      <c r="L23" s="197">
        <f t="shared" ref="L23" ca="1" si="310">IF(A23="","",IF(INDIRECT("Sales!FP"&amp;ROW())="","",VALUE(INDIRECT("Sales!FP"&amp;ROW()))))</f>
        <v>8</v>
      </c>
      <c r="M23" s="197">
        <f ca="1">IF(A23="","",$L23*OFFSET('Commission splits'!$A$3,MATCH(Commission!$O23,'Commission splits'!$A$4:$A$10,0),5))</f>
        <v>3.2</v>
      </c>
      <c r="N23" s="197">
        <f ca="1">IF(A23="","",$L23*OFFSET('Commission splits'!$A$3,MATCH(Commission!$O23,'Commission splits'!$A$4:$A$10,0),4))</f>
        <v>4.8</v>
      </c>
      <c r="O23" t="str">
        <f ca="1">IF(A23="","",OFFSET(Agent!$A$2,MATCH(Commission!H23,Agent!$A$3:$A$2000,0),21))</f>
        <v>Active</v>
      </c>
      <c r="P23" t="str">
        <f t="shared" ref="P23" ca="1" si="311">IF(A23="","",INDIRECT("Sales!FS"&amp;ROW()))</f>
        <v>Active</v>
      </c>
      <c r="Q23" s="403">
        <f t="shared" ref="Q23" ca="1" si="312">IF(A23="","",IF(INDIRECT("Sales!FS"&amp;ROW())="Cancelled",0,INDIRECT("Sales!FL"&amp;ROW())))</f>
        <v>0</v>
      </c>
      <c r="S23" s="197">
        <f t="array" aca="1" ref="S23" ca="1">IF(A23="","",SUM((CommReceived!$D$2:$D$1001=Commission!$B23)*(CommReceived!$F$2:$F$1001))+AK23)</f>
        <v>0</v>
      </c>
      <c r="T23" s="197">
        <f t="shared" ref="T23" ca="1" si="313">IF($A23="","",IF(P23="Cancelled","",IF(D23&gt;$AD$1,0,IF($W23="Y",VALUE(INDIRECT("Sales!FD"&amp;ROW())),VALUE(INDIRECT("Sales!FE"&amp;ROW()))))))</f>
        <v>0</v>
      </c>
      <c r="U23" s="197">
        <f t="shared" ref="U23" ca="1" si="314">IF(A23="","",IF(P23="Cancelled","",AK23+S23-T23))</f>
        <v>0</v>
      </c>
      <c r="V23" s="470">
        <f t="shared" ref="V23" ca="1" si="315">IF(AND(P23&lt;&gt;"Active",P23&lt;&gt;"Dormant"),"",IF(OR(S23=0,S23&lt;T23),0,1))</f>
        <v>0</v>
      </c>
      <c r="W23" s="470" t="str">
        <f t="shared" ref="W23" ca="1" si="316">IF(A23="","",IF(AND(($D23)&gt;=($AB$1),($D23)&lt;=($AD$1),P23="Active"),"Y",""))</f>
        <v/>
      </c>
      <c r="X23" s="197" t="str">
        <f t="shared" ref="X23" ca="1" si="317">IF(V23="","",IF(V23&lt;&gt;1,"",IF(W23="y",J23,M23*V23)))</f>
        <v/>
      </c>
      <c r="Y23" s="197" t="str">
        <f t="shared" ref="Y23" ca="1" si="318">IF(V23="","",IF(V23&lt;&gt;1,"",IF(W23="y",K23,N23*V23)))</f>
        <v/>
      </c>
      <c r="AB23"/>
      <c r="AC23" s="197">
        <f t="shared" ref="AC23" ca="1" si="319">IF(A23="","",IF(V23=1,T23,0))</f>
        <v>0</v>
      </c>
      <c r="AD23" s="197" t="str">
        <f ca="1">IF(OR(A23="",AC23=0),"",INDIRECT("Sales!FH"&amp;ROW())*Commission!V23)</f>
        <v/>
      </c>
      <c r="AE23" s="197" t="str">
        <f t="shared" ref="AE23" ca="1" si="320">IF(OR($A23="",$AC23=0),"",T23-AD23)</f>
        <v/>
      </c>
      <c r="AF23" s="197" t="str">
        <f t="shared" ref="AF23" ca="1" si="321">IF(OR($A23="",$AC23=0),"",SUM(X23:Y23))</f>
        <v/>
      </c>
      <c r="AG23" s="197" t="str">
        <f t="shared" ref="AG23" ca="1" si="322">IF(OR(AC23=0,A23=""),"",INDIRECT("Sales!FL"&amp;ROW()))</f>
        <v/>
      </c>
      <c r="AH23" s="197" t="str">
        <f t="shared" ref="AH23" ca="1" si="323">IF(OR(AC23=0,A23=""),"",AE23-SUM(AF23:AG23))</f>
        <v/>
      </c>
      <c r="AI23" s="470" t="str">
        <f t="shared" ref="AI23" ca="1" si="324">IF(V23="","",IF(AND(W23="y",V23=1,AG23&gt;0),"Y",""))</f>
        <v/>
      </c>
      <c r="AL23" s="197">
        <f t="shared" ref="AL23" ca="1" si="325">IF(A23="","",IF(V23&lt;&gt;1,S23,U23))</f>
        <v>0</v>
      </c>
    </row>
    <row r="24" spans="1:38">
      <c r="A24">
        <f t="shared" ca="1" si="0"/>
        <v>9575</v>
      </c>
      <c r="B24">
        <f t="shared" ca="1" si="1"/>
        <v>50260160</v>
      </c>
      <c r="C24" t="str">
        <f t="shared" ca="1" si="2"/>
        <v>ACF18</v>
      </c>
      <c r="D24" s="467">
        <f t="shared" ca="1" si="3"/>
        <v>42217</v>
      </c>
      <c r="E24" t="str">
        <f t="shared" ca="1" si="4"/>
        <v>Gloria Karels</v>
      </c>
      <c r="F24" s="198">
        <v>1</v>
      </c>
      <c r="G24" t="str">
        <f t="shared" ref="G24" ca="1" si="326">IF(A24="","",LEFT(H24,4))</f>
        <v>jdj1</v>
      </c>
      <c r="H24" t="str">
        <f t="shared" ca="1" si="7"/>
        <v>jdj1/1003</v>
      </c>
      <c r="I24" s="197">
        <f t="shared" ca="1" si="8"/>
        <v>102</v>
      </c>
      <c r="J24" s="197">
        <f ca="1">IF(A24="","",OFFSET('Commission splits'!$A$3,MATCH(Commission!$O24,'Commission splits'!$A$4:$A$10,0),2)*OFFSET('Policy breakdown'!$A$2,MATCH(Commission!$C24,'Policy breakdown'!$A$3:$A$41,0),7)+OFFSET('Commission splits'!$A$3,MATCH(Commission!$O24,'Commission splits'!$A$4:$A$10,0),5)*OFFSET('Policy breakdown'!$A$2,MATCH(Commission!$C24,'Policy breakdown'!$A$3:$A$41,0),8)+$F24*'Policy breakdown'!$I$33*OFFSET('Commission splits'!$A$3,MATCH(Commission!$O24,'Commission splits'!$A$4:$A$10,0),5))</f>
        <v>28.5</v>
      </c>
      <c r="K24" s="197">
        <f ca="1">IF(A24="","",OFFSET('Commission splits'!$A$3,MATCH(Commission!$O24,'Commission splits'!$A$4:$A$10,0),1)*OFFSET('Policy breakdown'!$A$2,MATCH(Commission!$C24,'[1]Policy breakdown'!$A$3:$A$41,0),7)+OFFSET('Commission splits'!$A$3,MATCH(Commission!$O24,'Commission splits'!$A$4:$A$10,0),4)*OFFSET('Policy breakdown'!$A$2,MATCH(Commission!$C24,'Policy breakdown'!$A$3:$A$41,0),8)+$F24*'Policy breakdown'!$I$33*OFFSET('Commission splits'!$A$3,MATCH(Commission!$O24,'Commission splits'!$A$4:$A$10,0),4))</f>
        <v>74</v>
      </c>
      <c r="L24" s="197">
        <f t="shared" ref="L24" ca="1" si="327">IF(A24="","",IF(INDIRECT("Sales!FP"&amp;ROW())="","",VALUE(INDIRECT("Sales!FP"&amp;ROW()))))</f>
        <v>40</v>
      </c>
      <c r="M24" s="197">
        <f ca="1">IF(A24="","",$L24*OFFSET('Commission splits'!$A$3,MATCH(Commission!$O24,'Commission splits'!$A$4:$A$10,0),5))</f>
        <v>16</v>
      </c>
      <c r="N24" s="197">
        <f ca="1">IF(A24="","",$L24*OFFSET('Commission splits'!$A$3,MATCH(Commission!$O24,'Commission splits'!$A$4:$A$10,0),4))</f>
        <v>24</v>
      </c>
      <c r="O24" t="str">
        <f ca="1">IF(A24="","",OFFSET(Agent!$A$2,MATCH(Commission!H24,Agent!$A$3:$A$2000,0),21))</f>
        <v>Active</v>
      </c>
      <c r="P24" t="str">
        <f t="shared" ref="P24" ca="1" si="328">IF(A24="","",INDIRECT("Sales!FS"&amp;ROW()))</f>
        <v>Active</v>
      </c>
      <c r="Q24" s="403">
        <f t="shared" ref="Q24" ca="1" si="329">IF(A24="","",IF(INDIRECT("Sales!FS"&amp;ROW())="Cancelled",0,INDIRECT("Sales!FL"&amp;ROW())))</f>
        <v>100</v>
      </c>
      <c r="S24" s="197">
        <f t="array" aca="1" ref="S24" ca="1">IF(A24="","",SUM((CommReceived!$D$2:$D$1001=Commission!$B24)*(CommReceived!$F$2:$F$1001))+AK24)</f>
        <v>0</v>
      </c>
      <c r="T24" s="197">
        <f t="shared" ref="T24" ca="1" si="330">IF($A24="","",IF(P24="Cancelled","",IF(D24&gt;$AD$1,0,IF($W24="Y",VALUE(INDIRECT("Sales!FD"&amp;ROW())),VALUE(INDIRECT("Sales!FE"&amp;ROW()))))))</f>
        <v>0</v>
      </c>
      <c r="U24" s="197">
        <f t="shared" ref="U24" ca="1" si="331">IF(A24="","",IF(P24="Cancelled","",AK24+S24-T24))</f>
        <v>0</v>
      </c>
      <c r="V24" s="470">
        <f t="shared" ref="V24" ca="1" si="332">IF(AND(P24&lt;&gt;"Active",P24&lt;&gt;"Dormant"),"",IF(OR(S24=0,S24&lt;T24),0,1))</f>
        <v>0</v>
      </c>
      <c r="W24" s="470" t="str">
        <f t="shared" ref="W24" ca="1" si="333">IF(A24="","",IF(AND(($D24)&gt;=($AB$1),($D24)&lt;=($AD$1),P24="Active"),"Y",""))</f>
        <v/>
      </c>
      <c r="X24" s="197" t="str">
        <f t="shared" ref="X24" ca="1" si="334">IF(V24="","",IF(V24&lt;&gt;1,"",IF(W24="y",J24,M24*V24)))</f>
        <v/>
      </c>
      <c r="Y24" s="197" t="str">
        <f t="shared" ref="Y24" ca="1" si="335">IF(V24="","",IF(V24&lt;&gt;1,"",IF(W24="y",K24,N24*V24)))</f>
        <v/>
      </c>
      <c r="AB24"/>
      <c r="AC24" s="197">
        <f t="shared" ref="AC24" ca="1" si="336">IF(A24="","",IF(V24=1,T24,0))</f>
        <v>0</v>
      </c>
      <c r="AD24" s="197" t="str">
        <f ca="1">IF(OR(A24="",AC24=0),"",INDIRECT("Sales!FH"&amp;ROW())*Commission!V24)</f>
        <v/>
      </c>
      <c r="AE24" s="197" t="str">
        <f t="shared" ref="AE24" ca="1" si="337">IF(OR($A24="",$AC24=0),"",T24-AD24)</f>
        <v/>
      </c>
      <c r="AF24" s="197" t="str">
        <f t="shared" ref="AF24" ca="1" si="338">IF(OR($A24="",$AC24=0),"",SUM(X24:Y24))</f>
        <v/>
      </c>
      <c r="AG24" s="197" t="str">
        <f t="shared" ref="AG24" ca="1" si="339">IF(OR(AC24=0,A24=""),"",INDIRECT("Sales!FL"&amp;ROW()))</f>
        <v/>
      </c>
      <c r="AH24" s="197" t="str">
        <f t="shared" ref="AH24" ca="1" si="340">IF(OR(AC24=0,A24=""),"",AE24-SUM(AF24:AG24))</f>
        <v/>
      </c>
      <c r="AI24" s="470" t="str">
        <f t="shared" ref="AI24" ca="1" si="341">IF(V24="","",IF(AND(W24="y",V24=1,AG24&gt;0),"Y",""))</f>
        <v/>
      </c>
      <c r="AL24" s="197">
        <f t="shared" ref="AL24" ca="1" si="342">IF(A24="","",IF(V24&lt;&gt;1,S24,U24))</f>
        <v>0</v>
      </c>
    </row>
    <row r="25" spans="1:38">
      <c r="A25">
        <f t="shared" ca="1" si="0"/>
        <v>9575</v>
      </c>
      <c r="B25">
        <f t="shared" ca="1" si="1"/>
        <v>50260194</v>
      </c>
      <c r="C25" t="str">
        <f t="shared" ca="1" si="2"/>
        <v>ACS5</v>
      </c>
      <c r="D25" s="467">
        <f t="shared" ca="1" si="3"/>
        <v>42217</v>
      </c>
      <c r="E25" t="str">
        <f t="shared" ca="1" si="4"/>
        <v>Rozetta M Petrus</v>
      </c>
      <c r="F25" s="198">
        <v>1</v>
      </c>
      <c r="G25" t="str">
        <f t="shared" ref="G25" ca="1" si="343">IF(A25="","",LEFT(H25,4))</f>
        <v>jdj1</v>
      </c>
      <c r="H25" t="str">
        <f t="shared" ca="1" si="7"/>
        <v>jdj1/1003</v>
      </c>
      <c r="I25" s="197">
        <f t="shared" ca="1" si="8"/>
        <v>72</v>
      </c>
      <c r="J25" s="197">
        <f ca="1">IF(A25="","",OFFSET('Commission splits'!$A$3,MATCH(Commission!$O25,'Commission splits'!$A$4:$A$10,0),2)*OFFSET('Policy breakdown'!$A$2,MATCH(Commission!$C25,'Policy breakdown'!$A$3:$A$41,0),7)+OFFSET('Commission splits'!$A$3,MATCH(Commission!$O25,'Commission splits'!$A$4:$A$10,0),5)*OFFSET('Policy breakdown'!$A$2,MATCH(Commission!$C25,'Policy breakdown'!$A$3:$A$41,0),8)+$F25*'Policy breakdown'!$I$33*OFFSET('Commission splits'!$A$3,MATCH(Commission!$O25,'Commission splits'!$A$4:$A$10,0),5))</f>
        <v>18.100000000000001</v>
      </c>
      <c r="K25" s="197">
        <f ca="1">IF(A25="","",OFFSET('Commission splits'!$A$3,MATCH(Commission!$O25,'Commission splits'!$A$4:$A$10,0),1)*OFFSET('Policy breakdown'!$A$2,MATCH(Commission!$C25,'[1]Policy breakdown'!$A$3:$A$41,0),7)+OFFSET('Commission splits'!$A$3,MATCH(Commission!$O25,'Commission splits'!$A$4:$A$10,0),4)*OFFSET('Policy breakdown'!$A$2,MATCH(Commission!$C25,'Policy breakdown'!$A$3:$A$41,0),8)+$F25*'Policy breakdown'!$I$33*OFFSET('Commission splits'!$A$3,MATCH(Commission!$O25,'Commission splits'!$A$4:$A$10,0),4))</f>
        <v>58.4</v>
      </c>
      <c r="L25" s="197">
        <f t="shared" ref="L25" ca="1" si="344">IF(A25="","",IF(INDIRECT("Sales!FP"&amp;ROW())="","",VALUE(INDIRECT("Sales!FP"&amp;ROW()))))</f>
        <v>10</v>
      </c>
      <c r="M25" s="197">
        <f ca="1">IF(A25="","",$L25*OFFSET('Commission splits'!$A$3,MATCH(Commission!$O25,'Commission splits'!$A$4:$A$10,0),5))</f>
        <v>4</v>
      </c>
      <c r="N25" s="197">
        <f ca="1">IF(A25="","",$L25*OFFSET('Commission splits'!$A$3,MATCH(Commission!$O25,'Commission splits'!$A$4:$A$10,0),4))</f>
        <v>6</v>
      </c>
      <c r="O25" t="str">
        <f ca="1">IF(A25="","",OFFSET(Agent!$A$2,MATCH(Commission!H25,Agent!$A$3:$A$2000,0),21))</f>
        <v>Active</v>
      </c>
      <c r="P25" t="str">
        <f t="shared" ref="P25" ca="1" si="345">IF(A25="","",INDIRECT("Sales!FS"&amp;ROW()))</f>
        <v>Active</v>
      </c>
      <c r="Q25" s="403">
        <f t="shared" ref="Q25" ca="1" si="346">IF(A25="","",IF(INDIRECT("Sales!FS"&amp;ROW())="Cancelled",0,INDIRECT("Sales!FL"&amp;ROW())))</f>
        <v>40</v>
      </c>
      <c r="S25" s="197">
        <f t="array" aca="1" ref="S25" ca="1">IF(A25="","",SUM((CommReceived!$D$2:$D$1001=Commission!$B25)*(CommReceived!$F$2:$F$1001))+AK25)</f>
        <v>0</v>
      </c>
      <c r="T25" s="197">
        <f t="shared" ref="T25" ca="1" si="347">IF($A25="","",IF(P25="Cancelled","",IF(D25&gt;$AD$1,0,IF($W25="Y",VALUE(INDIRECT("Sales!FD"&amp;ROW())),VALUE(INDIRECT("Sales!FE"&amp;ROW()))))))</f>
        <v>0</v>
      </c>
      <c r="U25" s="197">
        <f t="shared" ref="U25" ca="1" si="348">IF(A25="","",IF(P25="Cancelled","",AK25+S25-T25))</f>
        <v>0</v>
      </c>
      <c r="V25" s="470">
        <f t="shared" ref="V25" ca="1" si="349">IF(AND(P25&lt;&gt;"Active",P25&lt;&gt;"Dormant"),"",IF(OR(S25=0,S25&lt;T25),0,1))</f>
        <v>0</v>
      </c>
      <c r="W25" s="470" t="str">
        <f t="shared" ref="W25" ca="1" si="350">IF(A25="","",IF(AND(($D25)&gt;=($AB$1),($D25)&lt;=($AD$1),P25="Active"),"Y",""))</f>
        <v/>
      </c>
      <c r="X25" s="197" t="str">
        <f t="shared" ref="X25" ca="1" si="351">IF(V25="","",IF(V25&lt;&gt;1,"",IF(W25="y",J25,M25*V25)))</f>
        <v/>
      </c>
      <c r="Y25" s="197" t="str">
        <f t="shared" ref="Y25" ca="1" si="352">IF(V25="","",IF(V25&lt;&gt;1,"",IF(W25="y",K25,N25*V25)))</f>
        <v/>
      </c>
      <c r="AB25"/>
      <c r="AC25" s="197">
        <f t="shared" ref="AC25" ca="1" si="353">IF(A25="","",IF(V25=1,T25,0))</f>
        <v>0</v>
      </c>
      <c r="AD25" s="197" t="str">
        <f ca="1">IF(OR(A25="",AC25=0),"",INDIRECT("Sales!FH"&amp;ROW())*Commission!V25)</f>
        <v/>
      </c>
      <c r="AE25" s="197" t="str">
        <f t="shared" ref="AE25" ca="1" si="354">IF(OR($A25="",$AC25=0),"",T25-AD25)</f>
        <v/>
      </c>
      <c r="AF25" s="197" t="str">
        <f t="shared" ref="AF25" ca="1" si="355">IF(OR($A25="",$AC25=0),"",SUM(X25:Y25))</f>
        <v/>
      </c>
      <c r="AG25" s="197" t="str">
        <f t="shared" ref="AG25" ca="1" si="356">IF(OR(AC25=0,A25=""),"",INDIRECT("Sales!FL"&amp;ROW()))</f>
        <v/>
      </c>
      <c r="AH25" s="197" t="str">
        <f t="shared" ref="AH25" ca="1" si="357">IF(OR(AC25=0,A25=""),"",AE25-SUM(AF25:AG25))</f>
        <v/>
      </c>
      <c r="AI25" s="470" t="str">
        <f t="shared" ref="AI25" ca="1" si="358">IF(V25="","",IF(AND(W25="y",V25=1,AG25&gt;0),"Y",""))</f>
        <v/>
      </c>
      <c r="AL25" s="197">
        <f t="shared" ref="AL25" ca="1" si="359">IF(A25="","",IF(V25&lt;&gt;1,S25,U25))</f>
        <v>0</v>
      </c>
    </row>
    <row r="26" spans="1:38">
      <c r="A26">
        <f t="shared" ca="1" si="0"/>
        <v>9575</v>
      </c>
      <c r="B26">
        <f t="shared" ca="1" si="1"/>
        <v>50260178</v>
      </c>
      <c r="C26" t="str">
        <f t="shared" ca="1" si="2"/>
        <v>GBS48</v>
      </c>
      <c r="D26" s="467">
        <f t="shared" ca="1" si="3"/>
        <v>42217</v>
      </c>
      <c r="E26" t="str">
        <f t="shared" ca="1" si="4"/>
        <v>David A Hendricks</v>
      </c>
      <c r="F26" s="198">
        <v>1</v>
      </c>
      <c r="G26" t="str">
        <f t="shared" ref="G26" ca="1" si="360">IF(A26="","",LEFT(H26,4))</f>
        <v>jdj1</v>
      </c>
      <c r="H26" t="str">
        <f t="shared" ca="1" si="7"/>
        <v>jdj1/1003</v>
      </c>
      <c r="I26" s="197">
        <f t="shared" ca="1" si="8"/>
        <v>58</v>
      </c>
      <c r="J26" s="197">
        <f ca="1">IF(A26="","",OFFSET('Commission splits'!$A$3,MATCH(Commission!$O26,'Commission splits'!$A$4:$A$10,0),2)*OFFSET('Policy breakdown'!$A$2,MATCH(Commission!$C26,'Policy breakdown'!$A$3:$A$41,0),7)+OFFSET('Commission splits'!$A$3,MATCH(Commission!$O26,'Commission splits'!$A$4:$A$10,0),5)*OFFSET('Policy breakdown'!$A$2,MATCH(Commission!$C26,'Policy breakdown'!$A$3:$A$41,0),8)+$F26*'Policy breakdown'!$I$33*OFFSET('Commission splits'!$A$3,MATCH(Commission!$O26,'Commission splits'!$A$4:$A$10,0),5))</f>
        <v>14.6</v>
      </c>
      <c r="K26" s="197">
        <f ca="1">IF(A26="","",OFFSET('Commission splits'!$A$3,MATCH(Commission!$O26,'Commission splits'!$A$4:$A$10,0),1)*OFFSET('Policy breakdown'!$A$2,MATCH(Commission!$C26,'[1]Policy breakdown'!$A$3:$A$41,0),7)+OFFSET('Commission splits'!$A$3,MATCH(Commission!$O26,'Commission splits'!$A$4:$A$10,0),4)*OFFSET('Policy breakdown'!$A$2,MATCH(Commission!$C26,'Policy breakdown'!$A$3:$A$41,0),8)+$F26*'Policy breakdown'!$I$33*OFFSET('Commission splits'!$A$3,MATCH(Commission!$O26,'Commission splits'!$A$4:$A$10,0),4))</f>
        <v>46.9</v>
      </c>
      <c r="L26" s="197">
        <f t="shared" ref="L26" ca="1" si="361">IF(A26="","",IF(INDIRECT("Sales!FP"&amp;ROW())="","",VALUE(INDIRECT("Sales!FP"&amp;ROW()))))</f>
        <v>8</v>
      </c>
      <c r="M26" s="197">
        <f ca="1">IF(A26="","",$L26*OFFSET('Commission splits'!$A$3,MATCH(Commission!$O26,'Commission splits'!$A$4:$A$10,0),5))</f>
        <v>3.2</v>
      </c>
      <c r="N26" s="197">
        <f ca="1">IF(A26="","",$L26*OFFSET('Commission splits'!$A$3,MATCH(Commission!$O26,'Commission splits'!$A$4:$A$10,0),4))</f>
        <v>4.8</v>
      </c>
      <c r="O26" t="str">
        <f ca="1">IF(A26="","",OFFSET(Agent!$A$2,MATCH(Commission!H26,Agent!$A$3:$A$2000,0),21))</f>
        <v>Active</v>
      </c>
      <c r="P26" t="str">
        <f t="shared" ref="P26" ca="1" si="362">IF(A26="","",INDIRECT("Sales!FS"&amp;ROW()))</f>
        <v>Active</v>
      </c>
      <c r="Q26" s="403">
        <f t="shared" ref="Q26" ca="1" si="363">IF(A26="","",IF(INDIRECT("Sales!FS"&amp;ROW())="Cancelled",0,INDIRECT("Sales!FL"&amp;ROW())))</f>
        <v>0</v>
      </c>
      <c r="S26" s="197">
        <f t="array" aca="1" ref="S26" ca="1">IF(A26="","",SUM((CommReceived!$D$2:$D$1001=Commission!$B26)*(CommReceived!$F$2:$F$1001))+AK26)</f>
        <v>0</v>
      </c>
      <c r="T26" s="197">
        <f t="shared" ref="T26" ca="1" si="364">IF($A26="","",IF(P26="Cancelled","",IF(D26&gt;$AD$1,0,IF($W26="Y",VALUE(INDIRECT("Sales!FD"&amp;ROW())),VALUE(INDIRECT("Sales!FE"&amp;ROW()))))))</f>
        <v>0</v>
      </c>
      <c r="U26" s="197">
        <f t="shared" ref="U26" ca="1" si="365">IF(A26="","",IF(P26="Cancelled","",AK26+S26-T26))</f>
        <v>0</v>
      </c>
      <c r="V26" s="470">
        <f t="shared" ref="V26" ca="1" si="366">IF(AND(P26&lt;&gt;"Active",P26&lt;&gt;"Dormant"),"",IF(OR(S26=0,S26&lt;T26),0,1))</f>
        <v>0</v>
      </c>
      <c r="W26" s="470" t="str">
        <f t="shared" ref="W26" ca="1" si="367">IF(A26="","",IF(AND(($D26)&gt;=($AB$1),($D26)&lt;=($AD$1),P26="Active"),"Y",""))</f>
        <v/>
      </c>
      <c r="X26" s="197" t="str">
        <f t="shared" ref="X26" ca="1" si="368">IF(V26="","",IF(V26&lt;&gt;1,"",IF(W26="y",J26,M26*V26)))</f>
        <v/>
      </c>
      <c r="Y26" s="197" t="str">
        <f t="shared" ref="Y26" ca="1" si="369">IF(V26="","",IF(V26&lt;&gt;1,"",IF(W26="y",K26,N26*V26)))</f>
        <v/>
      </c>
      <c r="AB26"/>
      <c r="AC26" s="197">
        <f t="shared" ref="AC26" ca="1" si="370">IF(A26="","",IF(V26=1,T26,0))</f>
        <v>0</v>
      </c>
      <c r="AD26" s="197" t="str">
        <f ca="1">IF(OR(A26="",AC26=0),"",INDIRECT("Sales!FH"&amp;ROW())*Commission!V26)</f>
        <v/>
      </c>
      <c r="AE26" s="197" t="str">
        <f t="shared" ref="AE26" ca="1" si="371">IF(OR($A26="",$AC26=0),"",T26-AD26)</f>
        <v/>
      </c>
      <c r="AF26" s="197" t="str">
        <f t="shared" ref="AF26" ca="1" si="372">IF(OR($A26="",$AC26=0),"",SUM(X26:Y26))</f>
        <v/>
      </c>
      <c r="AG26" s="197" t="str">
        <f t="shared" ref="AG26" ca="1" si="373">IF(OR(AC26=0,A26=""),"",INDIRECT("Sales!FL"&amp;ROW()))</f>
        <v/>
      </c>
      <c r="AH26" s="197" t="str">
        <f t="shared" ref="AH26" ca="1" si="374">IF(OR(AC26=0,A26=""),"",AE26-SUM(AF26:AG26))</f>
        <v/>
      </c>
      <c r="AI26" s="470" t="str">
        <f t="shared" ref="AI26" ca="1" si="375">IF(V26="","",IF(AND(W26="y",V26=1,AG26&gt;0),"Y",""))</f>
        <v/>
      </c>
      <c r="AL26" s="197">
        <f t="shared" ref="AL26" ca="1" si="376">IF(A26="","",IF(V26&lt;&gt;1,S26,U26))</f>
        <v>0</v>
      </c>
    </row>
    <row r="27" spans="1:38">
      <c r="A27">
        <f t="shared" ca="1" si="0"/>
        <v>9575</v>
      </c>
      <c r="B27">
        <f t="shared" ca="1" si="1"/>
        <v>50260764</v>
      </c>
      <c r="C27" t="str">
        <f t="shared" ca="1" si="2"/>
        <v>CGGF88</v>
      </c>
      <c r="D27" s="467">
        <f t="shared" ca="1" si="3"/>
        <v>42186</v>
      </c>
      <c r="E27" t="str">
        <f t="shared" ca="1" si="4"/>
        <v>Nontsasa Jamani</v>
      </c>
      <c r="F27" s="198">
        <v>1</v>
      </c>
      <c r="G27" t="str">
        <f t="shared" ref="G27" ca="1" si="377">IF(A27="","",LEFT(H27,4))</f>
        <v>jlg1</v>
      </c>
      <c r="H27" t="str">
        <f t="shared" ca="1" si="7"/>
        <v>jlg1/1003</v>
      </c>
      <c r="I27" s="197">
        <f t="shared" ca="1" si="8"/>
        <v>60</v>
      </c>
      <c r="J27" s="197">
        <f ca="1">IF(A27="","",OFFSET('Commission splits'!$A$3,MATCH(Commission!$O27,'Commission splits'!$A$4:$A$10,0),2)*OFFSET('Policy breakdown'!$A$2,MATCH(Commission!$C27,'Policy breakdown'!$A$3:$A$41,0),7)+OFFSET('Commission splits'!$A$3,MATCH(Commission!$O27,'Commission splits'!$A$4:$A$10,0),5)*OFFSET('Policy breakdown'!$A$2,MATCH(Commission!$C27,'Policy breakdown'!$A$3:$A$41,0),8)+$F27*'Policy breakdown'!$I$33*OFFSET('Commission splits'!$A$3,MATCH(Commission!$O27,'Commission splits'!$A$4:$A$10,0),5))</f>
        <v>17.600000000000001</v>
      </c>
      <c r="K27" s="197">
        <f ca="1">IF(A27="","",OFFSET('Commission splits'!$A$3,MATCH(Commission!$O27,'Commission splits'!$A$4:$A$10,0),1)*OFFSET('Policy breakdown'!$A$2,MATCH(Commission!$C27,'[1]Policy breakdown'!$A$3:$A$41,0),7)+OFFSET('Commission splits'!$A$3,MATCH(Commission!$O27,'Commission splits'!$A$4:$A$10,0),4)*OFFSET('Policy breakdown'!$A$2,MATCH(Commission!$C27,'Policy breakdown'!$A$3:$A$41,0),8)+$F27*'Policy breakdown'!$I$33*OFFSET('Commission splits'!$A$3,MATCH(Commission!$O27,'Commission splits'!$A$4:$A$10,0),4))</f>
        <v>46.4</v>
      </c>
      <c r="L27" s="197">
        <f t="shared" ref="L27" ca="1" si="378">IF(A27="","",IF(INDIRECT("Sales!FP"&amp;ROW())="","",VALUE(INDIRECT("Sales!FP"&amp;ROW()))))</f>
        <v>20</v>
      </c>
      <c r="M27" s="197">
        <f ca="1">IF(A27="","",$L27*OFFSET('Commission splits'!$A$3,MATCH(Commission!$O27,'Commission splits'!$A$4:$A$10,0),5))</f>
        <v>8</v>
      </c>
      <c r="N27" s="197">
        <f ca="1">IF(A27="","",$L27*OFFSET('Commission splits'!$A$3,MATCH(Commission!$O27,'Commission splits'!$A$4:$A$10,0),4))</f>
        <v>12</v>
      </c>
      <c r="O27" t="s">
        <v>65</v>
      </c>
      <c r="P27" t="str">
        <f t="shared" ref="P27" ca="1" si="379">IF(A27="","",INDIRECT("Sales!FS"&amp;ROW()))</f>
        <v>Active</v>
      </c>
      <c r="Q27" s="403">
        <f t="shared" ref="Q27" ca="1" si="380">IF(A27="","",IF(INDIRECT("Sales!FS"&amp;ROW())="Cancelled",0,INDIRECT("Sales!FL"&amp;ROW())))</f>
        <v>0</v>
      </c>
      <c r="S27" s="197">
        <f t="array" aca="1" ref="S27" ca="1">IF(A27="","",SUM((CommReceived!$D$2:$D$1001=Commission!$B27)*(CommReceived!$F$2:$F$1001))+AK27)</f>
        <v>0</v>
      </c>
      <c r="T27" s="197">
        <f t="shared" ref="T27" ca="1" si="381">IF($A27="","",IF(P27="Cancelled","",IF(D27&gt;$AD$1,0,IF($W27="Y",VALUE(INDIRECT("Sales!FD"&amp;ROW())),VALUE(INDIRECT("Sales!FE"&amp;ROW()))))))</f>
        <v>138</v>
      </c>
      <c r="U27" s="197">
        <f t="shared" ref="U27" ca="1" si="382">IF(A27="","",IF(P27="Cancelled","",AK27+S27-T27))</f>
        <v>-138</v>
      </c>
      <c r="V27" s="470">
        <f t="shared" ref="V27" ca="1" si="383">IF(AND(P27&lt;&gt;"Active",P27&lt;&gt;"Dormant"),"",IF(OR(S27=0,S27&lt;T27),0,1))</f>
        <v>0</v>
      </c>
      <c r="W27" s="470" t="str">
        <f t="shared" ref="W27" ca="1" si="384">IF(A27="","",IF(AND(($D27)&gt;=($AB$1),($D27)&lt;=($AD$1),P27="Active"),"Y",""))</f>
        <v>Y</v>
      </c>
      <c r="X27" s="197" t="str">
        <f t="shared" ref="X27" ca="1" si="385">IF(V27="","",IF(V27&lt;&gt;1,"",IF(W27="y",J27,M27*V27)))</f>
        <v/>
      </c>
      <c r="Y27" s="197" t="str">
        <f t="shared" ref="Y27" ca="1" si="386">IF(V27="","",IF(V27&lt;&gt;1,"",IF(W27="y",K27,N27*V27)))</f>
        <v/>
      </c>
      <c r="AB27"/>
      <c r="AC27" s="197">
        <f t="shared" ref="AC27" ca="1" si="387">IF(A27="","",IF(V27=1,T27,0))</f>
        <v>0</v>
      </c>
      <c r="AD27" s="197" t="str">
        <f ca="1">IF(OR(A27="",AC27=0),"",INDIRECT("Sales!FH"&amp;ROW())*Commission!V27)</f>
        <v/>
      </c>
      <c r="AE27" s="197" t="str">
        <f t="shared" ref="AE27" ca="1" si="388">IF(OR($A27="",$AC27=0),"",T27-AD27)</f>
        <v/>
      </c>
      <c r="AF27" s="197" t="str">
        <f t="shared" ref="AF27" ca="1" si="389">IF(OR($A27="",$AC27=0),"",SUM(X27:Y27))</f>
        <v/>
      </c>
      <c r="AG27" s="197" t="str">
        <f t="shared" ref="AG27" ca="1" si="390">IF(OR(AC27=0,A27=""),"",INDIRECT("Sales!FL"&amp;ROW()))</f>
        <v/>
      </c>
      <c r="AH27" s="197" t="str">
        <f t="shared" ref="AH27" ca="1" si="391">IF(OR(AC27=0,A27=""),"",AE27-SUM(AF27:AG27))</f>
        <v/>
      </c>
      <c r="AI27" s="470" t="str">
        <f t="shared" ref="AI27" ca="1" si="392">IF(V27="","",IF(AND(W27="y",V27=1,AG27&gt;0),"Y",""))</f>
        <v/>
      </c>
      <c r="AL27" s="197">
        <f t="shared" ref="AL27" ca="1" si="393">IF(A27="","",IF(V27&lt;&gt;1,S27,U27))</f>
        <v>0</v>
      </c>
    </row>
    <row r="28" spans="1:38">
      <c r="A28">
        <f t="shared" ca="1" si="0"/>
        <v>9575</v>
      </c>
      <c r="B28">
        <f t="shared" ca="1" si="1"/>
        <v>50260772</v>
      </c>
      <c r="C28" t="str">
        <f t="shared" ca="1" si="2"/>
        <v>CGGF88</v>
      </c>
      <c r="D28" s="467">
        <f t="shared" ca="1" si="3"/>
        <v>42186</v>
      </c>
      <c r="E28" t="str">
        <f t="shared" ca="1" si="4"/>
        <v>Nomawabo Gloria Jamani</v>
      </c>
      <c r="F28" s="198">
        <v>1</v>
      </c>
      <c r="G28" t="str">
        <f t="shared" ref="G28" ca="1" si="394">IF(A28="","",LEFT(H28,4))</f>
        <v>jlg1</v>
      </c>
      <c r="H28" t="str">
        <f t="shared" ca="1" si="7"/>
        <v>jlg1/1003</v>
      </c>
      <c r="I28" s="197">
        <f t="shared" ca="1" si="8"/>
        <v>60</v>
      </c>
      <c r="J28" s="197">
        <f ca="1">IF(A28="","",OFFSET('Commission splits'!$A$3,MATCH(Commission!$O28,'Commission splits'!$A$4:$A$10,0),2)*OFFSET('Policy breakdown'!$A$2,MATCH(Commission!$C28,'Policy breakdown'!$A$3:$A$41,0),7)+OFFSET('Commission splits'!$A$3,MATCH(Commission!$O28,'Commission splits'!$A$4:$A$10,0),5)*OFFSET('Policy breakdown'!$A$2,MATCH(Commission!$C28,'Policy breakdown'!$A$3:$A$41,0),8)+$F28*'Policy breakdown'!$I$33*OFFSET('Commission splits'!$A$3,MATCH(Commission!$O28,'Commission splits'!$A$4:$A$10,0),5))</f>
        <v>17.600000000000001</v>
      </c>
      <c r="K28" s="197">
        <f ca="1">IF(A28="","",OFFSET('Commission splits'!$A$3,MATCH(Commission!$O28,'Commission splits'!$A$4:$A$10,0),1)*OFFSET('Policy breakdown'!$A$2,MATCH(Commission!$C28,'[1]Policy breakdown'!$A$3:$A$41,0),7)+OFFSET('Commission splits'!$A$3,MATCH(Commission!$O28,'Commission splits'!$A$4:$A$10,0),4)*OFFSET('Policy breakdown'!$A$2,MATCH(Commission!$C28,'Policy breakdown'!$A$3:$A$41,0),8)+$F28*'Policy breakdown'!$I$33*OFFSET('Commission splits'!$A$3,MATCH(Commission!$O28,'Commission splits'!$A$4:$A$10,0),4))</f>
        <v>46.4</v>
      </c>
      <c r="L28" s="197">
        <f t="shared" ref="L28" ca="1" si="395">IF(A28="","",IF(INDIRECT("Sales!FP"&amp;ROW())="","",VALUE(INDIRECT("Sales!FP"&amp;ROW()))))</f>
        <v>20</v>
      </c>
      <c r="M28" s="197">
        <f ca="1">IF(A28="","",$L28*OFFSET('Commission splits'!$A$3,MATCH(Commission!$O28,'Commission splits'!$A$4:$A$10,0),5))</f>
        <v>8</v>
      </c>
      <c r="N28" s="197">
        <f ca="1">IF(A28="","",$L28*OFFSET('Commission splits'!$A$3,MATCH(Commission!$O28,'Commission splits'!$A$4:$A$10,0),4))</f>
        <v>12</v>
      </c>
      <c r="O28" t="s">
        <v>65</v>
      </c>
      <c r="P28" t="str">
        <f t="shared" ref="P28" ca="1" si="396">IF(A28="","",INDIRECT("Sales!FS"&amp;ROW()))</f>
        <v>Active</v>
      </c>
      <c r="Q28" s="403">
        <f t="shared" ref="Q28" ca="1" si="397">IF(A28="","",IF(INDIRECT("Sales!FS"&amp;ROW())="Cancelled",0,INDIRECT("Sales!FL"&amp;ROW())))</f>
        <v>0</v>
      </c>
      <c r="S28" s="197">
        <f t="array" aca="1" ref="S28" ca="1">IF(A28="","",SUM((CommReceived!$D$2:$D$1001=Commission!$B28)*(CommReceived!$F$2:$F$1001))+AK28)</f>
        <v>0</v>
      </c>
      <c r="T28" s="197">
        <f t="shared" ref="T28" ca="1" si="398">IF($A28="","",IF(P28="Cancelled","",IF(D28&gt;$AD$1,0,IF($W28="Y",VALUE(INDIRECT("Sales!FD"&amp;ROW())),VALUE(INDIRECT("Sales!FE"&amp;ROW()))))))</f>
        <v>138</v>
      </c>
      <c r="U28" s="197">
        <f t="shared" ref="U28" ca="1" si="399">IF(A28="","",IF(P28="Cancelled","",AK28+S28-T28))</f>
        <v>-138</v>
      </c>
      <c r="V28" s="470">
        <f t="shared" ref="V28" ca="1" si="400">IF(AND(P28&lt;&gt;"Active",P28&lt;&gt;"Dormant"),"",IF(OR(S28=0,S28&lt;T28),0,1))</f>
        <v>0</v>
      </c>
      <c r="W28" s="470" t="str">
        <f t="shared" ref="W28" ca="1" si="401">IF(A28="","",IF(AND(($D28)&gt;=($AB$1),($D28)&lt;=($AD$1),P28="Active"),"Y",""))</f>
        <v>Y</v>
      </c>
      <c r="X28" s="197" t="str">
        <f t="shared" ref="X28" ca="1" si="402">IF(V28="","",IF(V28&lt;&gt;1,"",IF(W28="y",J28,M28*V28)))</f>
        <v/>
      </c>
      <c r="Y28" s="197" t="str">
        <f t="shared" ref="Y28" ca="1" si="403">IF(V28="","",IF(V28&lt;&gt;1,"",IF(W28="y",K28,N28*V28)))</f>
        <v/>
      </c>
      <c r="AB28"/>
      <c r="AC28" s="197">
        <f t="shared" ref="AC28" ca="1" si="404">IF(A28="","",IF(V28=1,T28,0))</f>
        <v>0</v>
      </c>
      <c r="AD28" s="197" t="str">
        <f ca="1">IF(OR(A28="",AC28=0),"",INDIRECT("Sales!FH"&amp;ROW())*Commission!V28)</f>
        <v/>
      </c>
      <c r="AE28" s="197" t="str">
        <f t="shared" ref="AE28" ca="1" si="405">IF(OR($A28="",$AC28=0),"",T28-AD28)</f>
        <v/>
      </c>
      <c r="AF28" s="197" t="str">
        <f t="shared" ref="AF28" ca="1" si="406">IF(OR($A28="",$AC28=0),"",SUM(X28:Y28))</f>
        <v/>
      </c>
      <c r="AG28" s="197" t="str">
        <f t="shared" ref="AG28" ca="1" si="407">IF(OR(AC28=0,A28=""),"",INDIRECT("Sales!FL"&amp;ROW()))</f>
        <v/>
      </c>
      <c r="AH28" s="197" t="str">
        <f t="shared" ref="AH28" ca="1" si="408">IF(OR(AC28=0,A28=""),"",AE28-SUM(AF28:AG28))</f>
        <v/>
      </c>
      <c r="AI28" s="470" t="str">
        <f t="shared" ref="AI28" ca="1" si="409">IF(V28="","",IF(AND(W28="y",V28=1,AG28&gt;0),"Y",""))</f>
        <v/>
      </c>
      <c r="AL28" s="197">
        <f t="shared" ref="AL28" ca="1" si="410">IF(A28="","",IF(V28&lt;&gt;1,S28,U28))</f>
        <v>0</v>
      </c>
    </row>
    <row r="29" spans="1:38">
      <c r="A29">
        <f t="shared" ca="1" si="0"/>
        <v>9575</v>
      </c>
      <c r="B29">
        <f t="shared" ca="1" si="1"/>
        <v>50260780</v>
      </c>
      <c r="C29" t="str">
        <f t="shared" ca="1" si="2"/>
        <v>CGES95</v>
      </c>
      <c r="D29" s="467">
        <f t="shared" ca="1" si="3"/>
        <v>42186</v>
      </c>
      <c r="E29" t="str">
        <f t="shared" ca="1" si="4"/>
        <v>Dyidela Mlonyeni</v>
      </c>
      <c r="F29" s="198">
        <v>1</v>
      </c>
      <c r="G29" t="str">
        <f t="shared" ref="G29" ca="1" si="411">IF(A29="","",LEFT(H29,4))</f>
        <v>jlg1</v>
      </c>
      <c r="H29" t="str">
        <f t="shared" ca="1" si="7"/>
        <v>jlg1/1003</v>
      </c>
      <c r="I29" s="197">
        <f t="shared" ca="1" si="8"/>
        <v>40</v>
      </c>
      <c r="J29" s="197">
        <f ca="1">IF(A29="","",OFFSET('Commission splits'!$A$3,MATCH(Commission!$O29,'Commission splits'!$A$4:$A$10,0),2)*OFFSET('Policy breakdown'!$A$2,MATCH(Commission!$C29,'Policy breakdown'!$A$3:$A$41,0),7)+OFFSET('Commission splits'!$A$3,MATCH(Commission!$O29,'Commission splits'!$A$4:$A$10,0),5)*OFFSET('Policy breakdown'!$A$2,MATCH(Commission!$C29,'Policy breakdown'!$A$3:$A$41,0),8)+$F29*'Policy breakdown'!$I$33*OFFSET('Commission splits'!$A$3,MATCH(Commission!$O29,'Commission splits'!$A$4:$A$10,0),5))</f>
        <v>9.6</v>
      </c>
      <c r="K29" s="197">
        <f ca="1">IF(A29="","",OFFSET('Commission splits'!$A$3,MATCH(Commission!$O29,'Commission splits'!$A$4:$A$10,0),1)*OFFSET('Policy breakdown'!$A$2,MATCH(Commission!$C29,'[1]Policy breakdown'!$A$3:$A$41,0),7)+OFFSET('Commission splits'!$A$3,MATCH(Commission!$O29,'Commission splits'!$A$4:$A$10,0),4)*OFFSET('Policy breakdown'!$A$2,MATCH(Commission!$C29,'Policy breakdown'!$A$3:$A$41,0),8)+$F29*'Policy breakdown'!$I$33*OFFSET('Commission splits'!$A$3,MATCH(Commission!$O29,'Commission splits'!$A$4:$A$10,0),4))</f>
        <v>34.4</v>
      </c>
      <c r="L29" s="197">
        <f t="shared" ref="L29" ca="1" si="412">IF(A29="","",IF(INDIRECT("Sales!FP"&amp;ROW())="","",VALUE(INDIRECT("Sales!FP"&amp;ROW()))))</f>
        <v>0</v>
      </c>
      <c r="M29" s="197">
        <f ca="1">IF(A29="","",$L29*OFFSET('Commission splits'!$A$3,MATCH(Commission!$O29,'Commission splits'!$A$4:$A$10,0),5))</f>
        <v>0</v>
      </c>
      <c r="N29" s="197">
        <f ca="1">IF(A29="","",$L29*OFFSET('Commission splits'!$A$3,MATCH(Commission!$O29,'Commission splits'!$A$4:$A$10,0),4))</f>
        <v>0</v>
      </c>
      <c r="O29" t="s">
        <v>65</v>
      </c>
      <c r="P29" t="str">
        <f t="shared" ref="P29" ca="1" si="413">IF(A29="","",INDIRECT("Sales!FS"&amp;ROW()))</f>
        <v>Active</v>
      </c>
      <c r="Q29" s="403">
        <f t="shared" ref="Q29" ca="1" si="414">IF(A29="","",IF(INDIRECT("Sales!FS"&amp;ROW())="Cancelled",0,INDIRECT("Sales!FL"&amp;ROW())))</f>
        <v>0</v>
      </c>
      <c r="S29" s="197">
        <f t="array" aca="1" ref="S29" ca="1">IF(A29="","",SUM((CommReceived!$D$2:$D$1001=Commission!$B29)*(CommReceived!$F$2:$F$1001))+AK29)</f>
        <v>0</v>
      </c>
      <c r="T29" s="197">
        <f t="shared" ref="T29" ca="1" si="415">IF($A29="","",IF(P29="Cancelled","",IF(D29&gt;$AD$1,0,IF($W29="Y",VALUE(INDIRECT("Sales!FD"&amp;ROW())),VALUE(INDIRECT("Sales!FE"&amp;ROW()))))))</f>
        <v>145</v>
      </c>
      <c r="U29" s="197">
        <f t="shared" ref="U29" ca="1" si="416">IF(A29="","",IF(P29="Cancelled","",AK29+S29-T29))</f>
        <v>-145</v>
      </c>
      <c r="V29" s="470">
        <f t="shared" ref="V29" ca="1" si="417">IF(AND(P29&lt;&gt;"Active",P29&lt;&gt;"Dormant"),"",IF(OR(S29=0,S29&lt;T29),0,1))</f>
        <v>0</v>
      </c>
      <c r="W29" s="470" t="str">
        <f t="shared" ref="W29" ca="1" si="418">IF(A29="","",IF(AND(($D29)&gt;=($AB$1),($D29)&lt;=($AD$1),P29="Active"),"Y",""))</f>
        <v>Y</v>
      </c>
      <c r="X29" s="197" t="str">
        <f t="shared" ref="X29" ca="1" si="419">IF(V29="","",IF(V29&lt;&gt;1,"",IF(W29="y",J29,M29*V29)))</f>
        <v/>
      </c>
      <c r="Y29" s="197" t="str">
        <f t="shared" ref="Y29" ca="1" si="420">IF(V29="","",IF(V29&lt;&gt;1,"",IF(W29="y",K29,N29*V29)))</f>
        <v/>
      </c>
      <c r="AB29"/>
      <c r="AC29" s="197">
        <f t="shared" ref="AC29" ca="1" si="421">IF(A29="","",IF(V29=1,T29,0))</f>
        <v>0</v>
      </c>
      <c r="AD29" s="197" t="str">
        <f ca="1">IF(OR(A29="",AC29=0),"",INDIRECT("Sales!FH"&amp;ROW())*Commission!V29)</f>
        <v/>
      </c>
      <c r="AE29" s="197" t="str">
        <f t="shared" ref="AE29" ca="1" si="422">IF(OR($A29="",$AC29=0),"",T29-AD29)</f>
        <v/>
      </c>
      <c r="AF29" s="197" t="str">
        <f t="shared" ref="AF29" ca="1" si="423">IF(OR($A29="",$AC29=0),"",SUM(X29:Y29))</f>
        <v/>
      </c>
      <c r="AG29" s="197" t="str">
        <f t="shared" ref="AG29" ca="1" si="424">IF(OR(AC29=0,A29=""),"",INDIRECT("Sales!FL"&amp;ROW()))</f>
        <v/>
      </c>
      <c r="AH29" s="197" t="str">
        <f t="shared" ref="AH29" ca="1" si="425">IF(OR(AC29=0,A29=""),"",AE29-SUM(AF29:AG29))</f>
        <v/>
      </c>
      <c r="AI29" s="470" t="str">
        <f t="shared" ref="AI29" ca="1" si="426">IF(V29="","",IF(AND(W29="y",V29=1,AG29&gt;0),"Y",""))</f>
        <v/>
      </c>
      <c r="AL29" s="197">
        <f t="shared" ref="AL29" ca="1" si="427">IF(A29="","",IF(V29&lt;&gt;1,S29,U29))</f>
        <v>0</v>
      </c>
    </row>
    <row r="30" spans="1:38">
      <c r="A30">
        <f t="shared" ca="1" si="0"/>
        <v>9575</v>
      </c>
      <c r="B30">
        <f t="shared" ca="1" si="1"/>
        <v>50260202</v>
      </c>
      <c r="C30" t="str">
        <f t="shared" ca="1" si="2"/>
        <v>ACF10</v>
      </c>
      <c r="D30" s="467">
        <f t="shared" ca="1" si="3"/>
        <v>42217</v>
      </c>
      <c r="E30" t="str">
        <f t="shared" ca="1" si="4"/>
        <v>V B Karels</v>
      </c>
      <c r="F30" s="198">
        <v>1</v>
      </c>
      <c r="G30" t="str">
        <f t="shared" ref="G30" ca="1" si="428">IF(A30="","",LEFT(H30,4))</f>
        <v>jdj1</v>
      </c>
      <c r="H30" t="str">
        <f t="shared" ca="1" si="7"/>
        <v>jdj1/1003</v>
      </c>
      <c r="I30" s="197">
        <f t="shared" ca="1" si="8"/>
        <v>84</v>
      </c>
      <c r="J30" s="197">
        <f ca="1">IF(A30="","",OFFSET('Commission splits'!$A$3,MATCH(Commission!$O30,'Commission splits'!$A$4:$A$10,0),2)*OFFSET('Policy breakdown'!$A$2,MATCH(Commission!$C30,'Policy breakdown'!$A$3:$A$41,0),7)+OFFSET('Commission splits'!$A$3,MATCH(Commission!$O30,'Commission splits'!$A$4:$A$10,0),5)*OFFSET('Policy breakdown'!$A$2,MATCH(Commission!$C30,'Policy breakdown'!$A$3:$A$41,0),8)+$F30*'Policy breakdown'!$I$33*OFFSET('Commission splits'!$A$3,MATCH(Commission!$O30,'Commission splits'!$A$4:$A$10,0),5))</f>
        <v>20.900000000000002</v>
      </c>
      <c r="K30" s="197">
        <f ca="1">IF(A30="","",OFFSET('Commission splits'!$A$3,MATCH(Commission!$O30,'Commission splits'!$A$4:$A$10,0),1)*OFFSET('Policy breakdown'!$A$2,MATCH(Commission!$C30,'[1]Policy breakdown'!$A$3:$A$41,0),7)+OFFSET('Commission splits'!$A$3,MATCH(Commission!$O30,'Commission splits'!$A$4:$A$10,0),4)*OFFSET('Policy breakdown'!$A$2,MATCH(Commission!$C30,'Policy breakdown'!$A$3:$A$41,0),8)+$F30*'Policy breakdown'!$I$33*OFFSET('Commission splits'!$A$3,MATCH(Commission!$O30,'Commission splits'!$A$4:$A$10,0),4))</f>
        <v>62.6</v>
      </c>
      <c r="L30" s="197">
        <f t="shared" ref="L30" ca="1" si="429">IF(A30="","",IF(INDIRECT("Sales!FP"&amp;ROW())="","",VALUE(INDIRECT("Sales!FP"&amp;ROW()))))</f>
        <v>21</v>
      </c>
      <c r="M30" s="197">
        <f ca="1">IF(A30="","",$L30*OFFSET('Commission splits'!$A$3,MATCH(Commission!$O30,'Commission splits'!$A$4:$A$10,0),5))</f>
        <v>8.4</v>
      </c>
      <c r="N30" s="197">
        <f ca="1">IF(A30="","",$L30*OFFSET('Commission splits'!$A$3,MATCH(Commission!$O30,'Commission splits'!$A$4:$A$10,0),4))</f>
        <v>12.6</v>
      </c>
      <c r="O30" t="str">
        <f ca="1">IF(A30="","",OFFSET(Agent!$A$2,MATCH(Commission!H30,Agent!$A$3:$A$2000,0),21))</f>
        <v>Active</v>
      </c>
      <c r="P30" t="str">
        <f t="shared" ref="P30" ca="1" si="430">IF(A30="","",INDIRECT("Sales!FS"&amp;ROW()))</f>
        <v>Active</v>
      </c>
      <c r="Q30" s="403">
        <f t="shared" ref="Q30" ca="1" si="431">IF(A30="","",IF(INDIRECT("Sales!FS"&amp;ROW())="Cancelled",0,INDIRECT("Sales!FL"&amp;ROW())))</f>
        <v>50</v>
      </c>
      <c r="S30" s="197">
        <f t="array" aca="1" ref="S30" ca="1">IF(A30="","",SUM((CommReceived!$D$2:$D$1001=Commission!$B30)*(CommReceived!$F$2:$F$1001))+AK30)</f>
        <v>0</v>
      </c>
      <c r="T30" s="197">
        <f t="shared" ref="T30" ca="1" si="432">IF($A30="","",IF(P30="Cancelled","",IF(D30&gt;$AD$1,0,IF($W30="Y",VALUE(INDIRECT("Sales!FD"&amp;ROW())),VALUE(INDIRECT("Sales!FE"&amp;ROW()))))))</f>
        <v>0</v>
      </c>
      <c r="U30" s="197">
        <f t="shared" ref="U30" ca="1" si="433">IF(A30="","",IF(P30="Cancelled","",AK30+S30-T30))</f>
        <v>0</v>
      </c>
      <c r="V30" s="470">
        <f t="shared" ref="V30" ca="1" si="434">IF(AND(P30&lt;&gt;"Active",P30&lt;&gt;"Dormant"),"",IF(OR(S30=0,S30&lt;T30),0,1))</f>
        <v>0</v>
      </c>
      <c r="W30" s="470" t="str">
        <f t="shared" ref="W30" ca="1" si="435">IF(A30="","",IF(AND(($D30)&gt;=($AB$1),($D30)&lt;=($AD$1),P30="Active"),"Y",""))</f>
        <v/>
      </c>
      <c r="X30" s="197" t="str">
        <f t="shared" ref="X30" ca="1" si="436">IF(V30="","",IF(V30&lt;&gt;1,"",IF(W30="y",J30,M30*V30)))</f>
        <v/>
      </c>
      <c r="Y30" s="197" t="str">
        <f t="shared" ref="Y30" ca="1" si="437">IF(V30="","",IF(V30&lt;&gt;1,"",IF(W30="y",K30,N30*V30)))</f>
        <v/>
      </c>
      <c r="AB30"/>
      <c r="AC30" s="197">
        <f t="shared" ref="AC30" ca="1" si="438">IF(A30="","",IF(V30=1,T30,0))</f>
        <v>0</v>
      </c>
      <c r="AD30" s="197" t="str">
        <f ca="1">IF(OR(A30="",AC30=0),"",INDIRECT("Sales!FH"&amp;ROW())*Commission!V30)</f>
        <v/>
      </c>
      <c r="AE30" s="197" t="str">
        <f t="shared" ref="AE30" ca="1" si="439">IF(OR($A30="",$AC30=0),"",T30-AD30)</f>
        <v/>
      </c>
      <c r="AF30" s="197" t="str">
        <f t="shared" ref="AF30" ca="1" si="440">IF(OR($A30="",$AC30=0),"",SUM(X30:Y30))</f>
        <v/>
      </c>
      <c r="AG30" s="197" t="str">
        <f t="shared" ref="AG30" ca="1" si="441">IF(OR(AC30=0,A30=""),"",INDIRECT("Sales!FL"&amp;ROW()))</f>
        <v/>
      </c>
      <c r="AH30" s="197" t="str">
        <f t="shared" ref="AH30" ca="1" si="442">IF(OR(AC30=0,A30=""),"",AE30-SUM(AF30:AG30))</f>
        <v/>
      </c>
      <c r="AI30" s="470" t="str">
        <f t="shared" ref="AI30" ca="1" si="443">IF(V30="","",IF(AND(W30="y",V30=1,AG30&gt;0),"Y",""))</f>
        <v/>
      </c>
      <c r="AL30" s="197">
        <f t="shared" ref="AL30" ca="1" si="444">IF(A30="","",IF(V30&lt;&gt;1,S30,U30))</f>
        <v>0</v>
      </c>
    </row>
    <row r="31" spans="1:38">
      <c r="A31">
        <f t="shared" ca="1" si="0"/>
        <v>9575</v>
      </c>
      <c r="B31">
        <f t="shared" ca="1" si="1"/>
        <v>50260574</v>
      </c>
      <c r="C31" t="str">
        <f t="shared" ca="1" si="2"/>
        <v>ACS10</v>
      </c>
      <c r="D31" s="467">
        <f t="shared" ca="1" si="3"/>
        <v>42217</v>
      </c>
      <c r="E31" t="str">
        <f t="shared" ca="1" si="4"/>
        <v>A E Leonard</v>
      </c>
      <c r="F31" s="198">
        <v>1</v>
      </c>
      <c r="G31" t="str">
        <f t="shared" ref="G31" ca="1" si="445">IF(A31="","",LEFT(H31,4))</f>
        <v>cdr1</v>
      </c>
      <c r="H31" t="str">
        <f t="shared" ca="1" si="7"/>
        <v>cdr1/1001</v>
      </c>
      <c r="I31" s="197">
        <f t="shared" ca="1" si="8"/>
        <v>80</v>
      </c>
      <c r="J31" s="197">
        <f ca="1">IF(A31="","",OFFSET('Commission splits'!$A$3,MATCH(Commission!$O31,'Commission splits'!$A$4:$A$10,0),2)*OFFSET('Policy breakdown'!$A$2,MATCH(Commission!$C31,'Policy breakdown'!$A$3:$A$41,0),7)+OFFSET('Commission splits'!$A$3,MATCH(Commission!$O31,'Commission splits'!$A$4:$A$10,0),5)*OFFSET('Policy breakdown'!$A$2,MATCH(Commission!$C31,'Policy breakdown'!$A$3:$A$41,0),8)+$F31*'Policy breakdown'!$I$33*OFFSET('Commission splits'!$A$3,MATCH(Commission!$O31,'Commission splits'!$A$4:$A$10,0),5))</f>
        <v>20.900000000000002</v>
      </c>
      <c r="K31" s="197">
        <f ca="1">IF(A31="","",OFFSET('Commission splits'!$A$3,MATCH(Commission!$O31,'Commission splits'!$A$4:$A$10,0),1)*OFFSET('Policy breakdown'!$A$2,MATCH(Commission!$C31,'[1]Policy breakdown'!$A$3:$A$41,0),7)+OFFSET('Commission splits'!$A$3,MATCH(Commission!$O31,'Commission splits'!$A$4:$A$10,0),4)*OFFSET('Policy breakdown'!$A$2,MATCH(Commission!$C31,'Policy breakdown'!$A$3:$A$41,0),8)+$F31*'Policy breakdown'!$I$33*OFFSET('Commission splits'!$A$3,MATCH(Commission!$O31,'Commission splits'!$A$4:$A$10,0),4))</f>
        <v>62.6</v>
      </c>
      <c r="L31" s="197">
        <f t="shared" ref="L31" ca="1" si="446">IF(A31="","",IF(INDIRECT("Sales!FP"&amp;ROW())="","",VALUE(INDIRECT("Sales!FP"&amp;ROW()))))</f>
        <v>17</v>
      </c>
      <c r="M31" s="197">
        <f ca="1">IF(A31="","",$L31*OFFSET('Commission splits'!$A$3,MATCH(Commission!$O31,'Commission splits'!$A$4:$A$10,0),5))</f>
        <v>6.8000000000000007</v>
      </c>
      <c r="N31" s="197">
        <f ca="1">IF(A31="","",$L31*OFFSET('Commission splits'!$A$3,MATCH(Commission!$O31,'Commission splits'!$A$4:$A$10,0),4))</f>
        <v>10.199999999999999</v>
      </c>
      <c r="O31" t="str">
        <f ca="1">IF(A31="","",OFFSET(Agent!$A$2,MATCH(Commission!H31,Agent!$A$3:$A$2000,0),21))</f>
        <v>Active</v>
      </c>
      <c r="P31" t="str">
        <f t="shared" ref="P31" ca="1" si="447">IF(A31="","",INDIRECT("Sales!FS"&amp;ROW()))</f>
        <v>Active</v>
      </c>
      <c r="Q31" s="403">
        <f t="shared" ref="Q31" ca="1" si="448">IF(A31="","",IF(INDIRECT("Sales!FS"&amp;ROW())="Cancelled",0,INDIRECT("Sales!FL"&amp;ROW())))</f>
        <v>50</v>
      </c>
      <c r="S31" s="197">
        <f t="array" aca="1" ref="S31" ca="1">IF(A31="","",SUM((CommReceived!$D$2:$D$1001=Commission!$B31)*(CommReceived!$F$2:$F$1001))+AK31)</f>
        <v>0</v>
      </c>
      <c r="T31" s="197">
        <f t="shared" ref="T31" ca="1" si="449">IF($A31="","",IF(P31="Cancelled","",IF(D31&gt;$AD$1,0,IF($W31="Y",VALUE(INDIRECT("Sales!FD"&amp;ROW())),VALUE(INDIRECT("Sales!FE"&amp;ROW()))))))</f>
        <v>0</v>
      </c>
      <c r="U31" s="197">
        <f t="shared" ref="U31" ca="1" si="450">IF(A31="","",IF(P31="Cancelled","",AK31+S31-T31))</f>
        <v>0</v>
      </c>
      <c r="V31" s="470">
        <f t="shared" ref="V31" ca="1" si="451">IF(AND(P31&lt;&gt;"Active",P31&lt;&gt;"Dormant"),"",IF(OR(S31=0,S31&lt;T31),0,1))</f>
        <v>0</v>
      </c>
      <c r="W31" s="470" t="str">
        <f t="shared" ref="W31" ca="1" si="452">IF(A31="","",IF(AND(($D31)&gt;=($AB$1),($D31)&lt;=($AD$1),P31="Active"),"Y",""))</f>
        <v/>
      </c>
      <c r="X31" s="197" t="str">
        <f t="shared" ref="X31" ca="1" si="453">IF(V31="","",IF(V31&lt;&gt;1,"",IF(W31="y",J31,M31*V31)))</f>
        <v/>
      </c>
      <c r="Y31" s="197" t="str">
        <f t="shared" ref="Y31" ca="1" si="454">IF(V31="","",IF(V31&lt;&gt;1,"",IF(W31="y",K31,N31*V31)))</f>
        <v/>
      </c>
      <c r="AB31"/>
      <c r="AC31" s="197">
        <f t="shared" ref="AC31" ca="1" si="455">IF(A31="","",IF(V31=1,T31,0))</f>
        <v>0</v>
      </c>
      <c r="AD31" s="197" t="str">
        <f ca="1">IF(OR(A31="",AC31=0),"",INDIRECT("Sales!FH"&amp;ROW())*Commission!V31)</f>
        <v/>
      </c>
      <c r="AE31" s="197" t="str">
        <f t="shared" ref="AE31" ca="1" si="456">IF(OR($A31="",$AC31=0),"",T31-AD31)</f>
        <v/>
      </c>
      <c r="AF31" s="197" t="str">
        <f t="shared" ref="AF31" ca="1" si="457">IF(OR($A31="",$AC31=0),"",SUM(X31:Y31))</f>
        <v/>
      </c>
      <c r="AG31" s="197" t="str">
        <f t="shared" ref="AG31" ca="1" si="458">IF(OR(AC31=0,A31=""),"",INDIRECT("Sales!FL"&amp;ROW()))</f>
        <v/>
      </c>
      <c r="AH31" s="197" t="str">
        <f t="shared" ref="AH31" ca="1" si="459">IF(OR(AC31=0,A31=""),"",AE31-SUM(AF31:AG31))</f>
        <v/>
      </c>
      <c r="AI31" s="470" t="str">
        <f t="shared" ref="AI31" ca="1" si="460">IF(V31="","",IF(AND(W31="y",V31=1,AG31&gt;0),"Y",""))</f>
        <v/>
      </c>
      <c r="AL31" s="197">
        <f t="shared" ref="AL31" ca="1" si="461">IF(A31="","",IF(V31&lt;&gt;1,S31,U31))</f>
        <v>0</v>
      </c>
    </row>
  </sheetData>
  <conditionalFormatting sqref="AM7">
    <cfRule type="expression" dxfId="62" priority="1">
      <formula>$P7="Cancelled"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AA9"/>
  <sheetViews>
    <sheetView topLeftCell="F1" workbookViewId="0">
      <pane ySplit="2" topLeftCell="A3" activePane="bottomLeft" state="frozen"/>
      <selection pane="bottomLeft" activeCell="N11" sqref="N11"/>
    </sheetView>
  </sheetViews>
  <sheetFormatPr defaultRowHeight="15"/>
  <cols>
    <col min="2" max="2" width="5" customWidth="1"/>
    <col min="3" max="3" width="7.5703125" customWidth="1"/>
    <col min="4" max="4" width="11.42578125" style="329" customWidth="1"/>
    <col min="5" max="5" width="15.28515625" bestFit="1" customWidth="1"/>
    <col min="6" max="6" width="20.42578125" customWidth="1"/>
    <col min="7" max="7" width="15" customWidth="1"/>
    <col min="8" max="8" width="7.42578125" customWidth="1"/>
    <col min="9" max="9" width="7.85546875" style="41" customWidth="1"/>
    <col min="10" max="10" width="14.7109375" customWidth="1"/>
    <col min="11" max="11" width="11.28515625" customWidth="1"/>
    <col min="12" max="12" width="15" customWidth="1"/>
    <col min="13" max="13" width="26.42578125" customWidth="1"/>
    <col min="14" max="16" width="20.7109375" customWidth="1"/>
    <col min="17" max="17" width="14.7109375" customWidth="1"/>
    <col min="18" max="18" width="6.5703125" customWidth="1"/>
    <col min="19" max="19" width="11.7109375" customWidth="1"/>
    <col min="20" max="20" width="11.5703125" customWidth="1"/>
    <col min="21" max="21" width="10.42578125" style="430" customWidth="1"/>
    <col min="22" max="22" width="10.42578125" customWidth="1"/>
    <col min="24" max="24" width="11" style="230" customWidth="1"/>
    <col min="25" max="25" width="9.140625" style="229"/>
  </cols>
  <sheetData>
    <row r="1" spans="1:27" ht="38.25" customHeight="1">
      <c r="D1" s="329" t="s">
        <v>101</v>
      </c>
      <c r="H1" s="230" t="s">
        <v>1761</v>
      </c>
      <c r="I1" s="41">
        <f ca="1">SUM(I3:I9999)</f>
        <v>250</v>
      </c>
      <c r="J1" s="230" t="s">
        <v>1764</v>
      </c>
      <c r="K1" s="332" t="s">
        <v>1763</v>
      </c>
      <c r="M1" s="230" t="s">
        <v>1765</v>
      </c>
      <c r="N1" s="487" t="s">
        <v>2422</v>
      </c>
      <c r="O1" s="393">
        <f>DATE(YEAR(Commission!AD1),MONTH(Commission!AD1),1)</f>
        <v>42186</v>
      </c>
      <c r="X1"/>
    </row>
    <row r="2" spans="1:27" ht="72.75" customHeight="1">
      <c r="A2" t="s">
        <v>1713</v>
      </c>
      <c r="B2" s="280" t="s">
        <v>1665</v>
      </c>
      <c r="C2" s="326" t="s">
        <v>1738</v>
      </c>
      <c r="D2" s="326" t="s">
        <v>1739</v>
      </c>
      <c r="E2" s="326" t="s">
        <v>1666</v>
      </c>
      <c r="F2" s="326" t="s">
        <v>1667</v>
      </c>
      <c r="G2" s="326" t="s">
        <v>1668</v>
      </c>
      <c r="H2" s="326" t="s">
        <v>1676</v>
      </c>
      <c r="I2" s="330" t="s">
        <v>1345</v>
      </c>
      <c r="J2" s="326" t="s">
        <v>1669</v>
      </c>
      <c r="K2" s="326" t="s">
        <v>1670</v>
      </c>
      <c r="L2" s="326" t="s">
        <v>1671</v>
      </c>
      <c r="M2" s="327" t="s">
        <v>1672</v>
      </c>
      <c r="N2" s="326" t="s">
        <v>107</v>
      </c>
      <c r="O2" s="326" t="s">
        <v>108</v>
      </c>
      <c r="P2" s="326" t="s">
        <v>46</v>
      </c>
      <c r="Q2" s="326" t="s">
        <v>47</v>
      </c>
      <c r="R2" s="326" t="s">
        <v>109</v>
      </c>
      <c r="S2" s="328" t="s">
        <v>1673</v>
      </c>
      <c r="T2" s="328" t="s">
        <v>1674</v>
      </c>
      <c r="U2" s="431" t="s">
        <v>1675</v>
      </c>
      <c r="V2" s="328" t="s">
        <v>1923</v>
      </c>
      <c r="X2" s="391" t="s">
        <v>1762</v>
      </c>
      <c r="Y2" s="394" t="s">
        <v>1829</v>
      </c>
      <c r="Z2" s="331" t="s">
        <v>1852</v>
      </c>
    </row>
    <row r="3" spans="1:27">
      <c r="A3" t="str">
        <f ca="1">IF($D3="","",OFFSET(Sales!$D$2,MATCH($D3,Sales!$D$3:$D$10000,0),53))</f>
        <v>ACF10</v>
      </c>
      <c r="B3">
        <f>IF($D3="","",IF(ROW()=3,1,B2+1))</f>
        <v>1</v>
      </c>
      <c r="C3">
        <f>IF($D3="","",9575)</f>
        <v>9575</v>
      </c>
      <c r="D3" s="329">
        <v>50260111</v>
      </c>
      <c r="E3" t="str">
        <f ca="1">IF($D3="","",OFFSET(Sales!$D$2,MATCH($D3,Sales!$D$3:$D$10000,0),7))</f>
        <v>7201180010081</v>
      </c>
      <c r="F3" t="str">
        <f ca="1">IF($D3="","",OFFSET(Sales!$D$2,MATCH($D3,Sales!$D$3:$D$10000,0),4))</f>
        <v>N M L</v>
      </c>
      <c r="G3" t="str">
        <f ca="1">IF($D3="","",OFFSET(Sales!$D$2,MATCH($D3,Sales!$D$3:$D$10000,0),3))</f>
        <v>Jonkers</v>
      </c>
      <c r="H3" t="str">
        <f ca="1">IF($D3="","",OFFSET('Policy breakdown'!$A$2,MATCH(Smartcom!$A3,'Policy breakdown'!$A$3:$A$39,0),21))</f>
        <v>CC125</v>
      </c>
      <c r="I3" s="41">
        <f ca="1">IF($D3="","",OFFSET('Policy breakdown'!$A$2,MATCH(Smartcom!$A3,'Policy breakdown'!$A$3:$A$39,0),12))</f>
        <v>50</v>
      </c>
      <c r="J3" t="str">
        <f ca="1">IF($D3="","",OFFSET(Sales!$D$2,MATCH($D3,Sales!$D$3:$D$10000,0),23))</f>
        <v>0621809932</v>
      </c>
      <c r="L3" t="str">
        <f ca="1">"+27"&amp;RIGHT(J3,9)</f>
        <v>+27621809932</v>
      </c>
      <c r="M3" t="str">
        <f ca="1">IF($D3="","",OFFSET(Sales!$D$2,MATCH($D3,Sales!$D$3:$D$10000,0),25))</f>
        <v>8927071991404244888</v>
      </c>
      <c r="N3" t="str">
        <f ca="1">IF($D3="","",OFFSET(Sales!$D$2,MATCH($D3,Sales!$D$3:$D$10000,0),10))</f>
        <v>31 Majuba Avenue</v>
      </c>
      <c r="O3" t="str">
        <f ca="1">IF($D3="","",OFFSET(Sales!$D$2,MATCH($D3,Sales!$D$3:$D$10000,0),11))</f>
        <v/>
      </c>
      <c r="P3" t="str">
        <f ca="1">IF($D3="","",OFFSET(Sales!$D$2,MATCH($D3,Sales!$D$3:$D$10000,0),12))</f>
        <v/>
      </c>
      <c r="Q3" t="str">
        <f ca="1">IF($D3="","",OFFSET(Sales!$D$2,MATCH($D3,Sales!$D$3:$D$10000,0),13))</f>
        <v>Bosmant</v>
      </c>
      <c r="R3" t="str">
        <f ca="1">IF($D3="","",OFFSET(Sales!$D$2,MATCH($D3,Sales!$D$3:$D$10000,0),14))</f>
        <v>2093</v>
      </c>
      <c r="S3" t="str">
        <f ca="1">IF($D3="","",OFFSET(Sales!$D$2,MATCH($D3,Sales!$D$3:$D$10000,0),24))</f>
        <v>Cell C</v>
      </c>
      <c r="T3" t="str">
        <f ca="1">IF(OR(FIND("C",$A3)=2,FIND("C",$A3)=3),"Cell C", IF(OR(FIND("V",$A3)=2,FIND("V",$A3)=3),"Vodacom",""))</f>
        <v>Cell C</v>
      </c>
      <c r="U3" s="432" t="str">
        <f ca="1">IF($D3="","",IF(AND(MONTH(X3)=MONTH($O$1),YEAR(X3)=YEAR($O$1)),"Port",IF(ISERROR(MOD(DATEDIF(X3,$O$1,"M"),X3)),0,IF(MOD(DATEDIF(X3,$O$1,"M"),Y3)&gt;0,"Continue", "Re-Activate"))))</f>
        <v>Continue</v>
      </c>
      <c r="V3" s="349" t="str">
        <f ca="1">IF(OR(U3="Port",U3="Re-Activate"),Y3,"")</f>
        <v/>
      </c>
      <c r="X3" s="392">
        <f ca="1">IF(D3="","",OFFSET(Sales!$D$2,MATCH(D3,Sales!$D$3:$D$10000,0),-2))</f>
        <v>42095</v>
      </c>
      <c r="Y3" s="229">
        <f ca="1">IF(D3="","",IF(T3="Cell C",12,24))</f>
        <v>12</v>
      </c>
      <c r="Z3" s="197">
        <f ca="1">IF(A3="","",OFFSET(Commission!$B$2,MATCH(Smartcom!D3,Commission!$B$3:$B$10000,0),31))</f>
        <v>32.75</v>
      </c>
    </row>
    <row r="4" spans="1:27">
      <c r="A4" t="str">
        <f ca="1">IF($D4="","",OFFSET(Sales!$D$2,MATCH($D4,Sales!$D$3:$D$10000,0),53))</f>
        <v>ACF10</v>
      </c>
      <c r="B4">
        <f>IF($D4="","",IF(ROW()=3,1,B3+1))</f>
        <v>2</v>
      </c>
      <c r="C4">
        <f>IF($D4="","",9575)</f>
        <v>9575</v>
      </c>
      <c r="D4" s="329">
        <v>50260129</v>
      </c>
      <c r="E4" t="str">
        <f ca="1">IF($D4="","",OFFSET(Sales!$D$2,MATCH($D4,Sales!$D$3:$D$10000,0),7))</f>
        <v>8412220161086</v>
      </c>
      <c r="F4" t="str">
        <f ca="1">IF($D4="","",OFFSET(Sales!$D$2,MATCH($D4,Sales!$D$3:$D$10000,0),4))</f>
        <v>Maroschoné Petra</v>
      </c>
      <c r="G4" t="str">
        <f ca="1">IF($D4="","",OFFSET(Sales!$D$2,MATCH($D4,Sales!$D$3:$D$10000,0),3))</f>
        <v>Jonkers</v>
      </c>
      <c r="H4" t="str">
        <f ca="1">IF($D4="","",OFFSET('Policy breakdown'!$A$2,MATCH(Smartcom!$A4,'Policy breakdown'!$A$3:$A$39,0),21))</f>
        <v>CC125</v>
      </c>
      <c r="I4" s="41">
        <f ca="1">IF($D4="","",OFFSET('Policy breakdown'!$A$2,MATCH(Smartcom!$A4,'Policy breakdown'!$A$3:$A$39,0),12))</f>
        <v>50</v>
      </c>
      <c r="J4" t="str">
        <f ca="1">IF($D4="","",OFFSET(Sales!$D$2,MATCH($D4,Sales!$D$3:$D$10000,0),23))</f>
        <v>0847664900</v>
      </c>
      <c r="L4" t="str">
        <f ca="1">"+27"&amp;RIGHT(J4,9)</f>
        <v>+27847664900</v>
      </c>
      <c r="M4" t="str">
        <f ca="1">IF($D4="","",OFFSET(Sales!$D$2,MATCH($D4,Sales!$D$3:$D$10000,0),25))</f>
        <v>8927071991404245276</v>
      </c>
      <c r="N4" t="str">
        <f ca="1">IF($D4="","",OFFSET(Sales!$D$2,MATCH($D4,Sales!$D$3:$D$10000,0),10))</f>
        <v>8 Wolvengat Street</v>
      </c>
      <c r="O4" t="str">
        <f ca="1">IF($D4="","",OFFSET(Sales!$D$2,MATCH($D4,Sales!$D$3:$D$10000,0),11))</f>
        <v/>
      </c>
      <c r="P4" t="str">
        <f ca="1">IF($D4="","",OFFSET(Sales!$D$2,MATCH($D4,Sales!$D$3:$D$10000,0),12))</f>
        <v>Wesbank</v>
      </c>
      <c r="Q4" t="str">
        <f ca="1">IF($D4="","",OFFSET(Sales!$D$2,MATCH($D4,Sales!$D$3:$D$10000,0),13))</f>
        <v>Cape Town</v>
      </c>
      <c r="R4" t="str">
        <f ca="1">IF($D4="","",OFFSET(Sales!$D$2,MATCH($D4,Sales!$D$3:$D$10000,0),14))</f>
        <v>7580</v>
      </c>
      <c r="S4" t="str">
        <f ca="1">IF($D4="","",OFFSET(Sales!$D$2,MATCH($D4,Sales!$D$3:$D$10000,0),24))</f>
        <v>Cell C</v>
      </c>
      <c r="T4" t="str">
        <f ca="1">IF(OR(FIND("C",$A4)=2,FIND("C",$A4)=3),"Cell C", IF(OR(FIND("V",$A4)=2,FIND("V",$A4)=3),"Vodacom",""))</f>
        <v>Cell C</v>
      </c>
      <c r="U4" s="432" t="str">
        <f ca="1">IF($D4="","",IF(AND(MONTH(X4)=MONTH($O$1),YEAR(X4)=YEAR($O$1)),"Port",IF(ISERROR(MOD(DATEDIF(X4,$O$1,"M"),X4)),0,IF(MOD(DATEDIF(X4,$O$1,"M"),Y4)&gt;0,"Continue", "Re-Activate"))))</f>
        <v>Continue</v>
      </c>
      <c r="V4" s="349" t="str">
        <f ca="1">IF(OR(U4="Port",U4="Re-Activate"),Y4,"")</f>
        <v/>
      </c>
      <c r="X4" s="392">
        <f ca="1">IF(D4="","",OFFSET(Sales!$D$2,MATCH(D4,Sales!$D$3:$D$10000,0),-2))</f>
        <v>42156</v>
      </c>
      <c r="Y4" s="229">
        <f ca="1">IF(D4="","",IF(T4="Cell C",12,24))</f>
        <v>12</v>
      </c>
      <c r="Z4" s="403" t="str">
        <f ca="1">IF(A4="","",OFFSET(Commission!$B$2,MATCH(Smartcom!D4,Commission!$B$3:$B$10000,0),31))</f>
        <v>50.00</v>
      </c>
    </row>
    <row r="5" spans="1:27">
      <c r="A5" t="str">
        <f ca="1">IF($D5="","",OFFSET(Sales!$D$2,MATCH($D5,Sales!$D$3:$D$10000,0),53))</f>
        <v>ACF10</v>
      </c>
      <c r="B5">
        <f>IF($D5="","",IF(ROW()=3,1,B4+1))</f>
        <v>3</v>
      </c>
      <c r="C5">
        <f>IF($D5="","",9575)</f>
        <v>9575</v>
      </c>
      <c r="D5" s="329">
        <v>50260145</v>
      </c>
      <c r="E5" t="str">
        <f ca="1">IF($D5="","",OFFSET(Sales!$D$2,MATCH($D5,Sales!$D$3:$D$10000,0),7))</f>
        <v>8003020051080</v>
      </c>
      <c r="F5" t="str">
        <f ca="1">IF($D5="","",OFFSET(Sales!$D$2,MATCH($D5,Sales!$D$3:$D$10000,0),4))</f>
        <v>Rozanne</v>
      </c>
      <c r="G5" t="str">
        <f ca="1">IF($D5="","",OFFSET(Sales!$D$2,MATCH($D5,Sales!$D$3:$D$10000,0),3))</f>
        <v>Morris</v>
      </c>
      <c r="H5" t="str">
        <f ca="1">IF($D5="","",OFFSET('Policy breakdown'!$A$2,MATCH(Smartcom!$A5,'Policy breakdown'!$A$3:$A$39,0),21))</f>
        <v>CC125</v>
      </c>
      <c r="I5" s="41">
        <f ca="1">IF($D5="","",OFFSET('Policy breakdown'!$A$2,MATCH(Smartcom!$A5,'Policy breakdown'!$A$3:$A$39,0),12))</f>
        <v>50</v>
      </c>
      <c r="J5" t="str">
        <f ca="1">IF($D5="","",OFFSET(Sales!$D$2,MATCH($D5,Sales!$D$3:$D$10000,0),23))</f>
        <v>0845745295</v>
      </c>
      <c r="L5" t="str">
        <f ca="1">"+27"&amp;RIGHT(J5,9)</f>
        <v>+27845745295</v>
      </c>
      <c r="M5" t="str">
        <f ca="1">IF($D5="","",OFFSET(Sales!$D$2,MATCH($D5,Sales!$D$3:$D$10000,0),25))</f>
        <v>8927071991404346210</v>
      </c>
      <c r="N5" t="str">
        <f ca="1">IF($D5="","",OFFSET(Sales!$D$2,MATCH($D5,Sales!$D$3:$D$10000,0),10))</f>
        <v>L3 Midmar Street</v>
      </c>
      <c r="O5" t="str">
        <f ca="1">IF($D5="","",OFFSET(Sales!$D$2,MATCH($D5,Sales!$D$3:$D$10000,0),11))</f>
        <v>Groenvallei</v>
      </c>
      <c r="P5" t="str">
        <f ca="1">IF($D5="","",OFFSET(Sales!$D$2,MATCH($D5,Sales!$D$3:$D$10000,0),12))</f>
        <v>Bellville</v>
      </c>
      <c r="Q5" t="str">
        <f ca="1">IF($D5="","",OFFSET(Sales!$D$2,MATCH($D5,Sales!$D$3:$D$10000,0),13))</f>
        <v>Cape Town</v>
      </c>
      <c r="R5" t="str">
        <f ca="1">IF($D5="","",OFFSET(Sales!$D$2,MATCH($D5,Sales!$D$3:$D$10000,0),14))</f>
        <v/>
      </c>
      <c r="S5" t="str">
        <f ca="1">IF($D5="","",OFFSET(Sales!$D$2,MATCH($D5,Sales!$D$3:$D$10000,0),24))</f>
        <v>Cell C</v>
      </c>
      <c r="T5" t="str">
        <f ca="1">IF(OR(FIND("C",$A5)=2,FIND("C",$A5)=3),"Cell C", IF(OR(FIND("V",$A5)=2,FIND("V",$A5)=3),"Vodacom",""))</f>
        <v>Cell C</v>
      </c>
      <c r="U5" s="432" t="str">
        <f ca="1">IF($D5="","",IF(AND(MONTH(X5)=MONTH($O$1),YEAR(X5)=YEAR($O$1)),"Port",IF(ISERROR(MOD(DATEDIF(X5,$O$1,"M"),X5)),0,IF(MOD(DATEDIF(X5,$O$1,"M"),Y5)&gt;0,"Continue", "Re-Activate"))))</f>
        <v>Continue</v>
      </c>
      <c r="V5" s="349" t="str">
        <f ca="1">IF(OR(U5="Port",U5="Re-Activate"),Y5,"")</f>
        <v/>
      </c>
      <c r="X5" s="392">
        <f ca="1">IF(D5="","",OFFSET(Sales!$D$2,MATCH(D5,Sales!$D$3:$D$10000,0),-2))</f>
        <v>42156</v>
      </c>
      <c r="Y5" s="229">
        <f ca="1">IF(D5="","",IF(T5="Cell C",12,24))</f>
        <v>12</v>
      </c>
      <c r="Z5" s="197">
        <f ca="1">IF(A5="","",OFFSET(Commission!$B$2,MATCH(Smartcom!D5,Commission!$B$3:$B$10000,0),31))</f>
        <v>50</v>
      </c>
    </row>
    <row r="6" spans="1:27">
      <c r="A6" t="str">
        <f ca="1">IF($D6="","",OFFSET(Sales!$D$2,MATCH($D6,Sales!$D$3:$D$10000,0),53))</f>
        <v>ACF10</v>
      </c>
      <c r="B6">
        <f>IF($D6="","",IF(ROW()=3,1,B5+1))</f>
        <v>4</v>
      </c>
      <c r="C6">
        <f>IF($D6="","",9575)</f>
        <v>9575</v>
      </c>
      <c r="D6" s="329">
        <v>50260533</v>
      </c>
      <c r="E6" t="str">
        <f ca="1">IF($D6="","",OFFSET(Sales!$D$2,MATCH($D6,Sales!$D$3:$D$10000,0),7))</f>
        <v>7108280967088</v>
      </c>
      <c r="F6" t="str">
        <f ca="1">IF($D6="","",OFFSET(Sales!$D$2,MATCH($D6,Sales!$D$3:$D$10000,0),4))</f>
        <v>Berenice Louise</v>
      </c>
      <c r="G6" t="str">
        <f ca="1">IF($D6="","",OFFSET(Sales!$D$2,MATCH($D6,Sales!$D$3:$D$10000,0),3))</f>
        <v>Naidoo</v>
      </c>
      <c r="H6" t="str">
        <f ca="1">IF($D6="","",OFFSET('Policy breakdown'!$A$2,MATCH(Smartcom!$A6,'Policy breakdown'!$A$3:$A$39,0),21))</f>
        <v>CC125</v>
      </c>
      <c r="I6" s="41">
        <f ca="1">IF($D6="","",OFFSET('Policy breakdown'!$A$2,MATCH(Smartcom!$A6,'Policy breakdown'!$A$3:$A$39,0),12))</f>
        <v>50</v>
      </c>
      <c r="J6" t="str">
        <f ca="1">IF($D6="","",OFFSET(Sales!$D$2,MATCH($D6,Sales!$D$3:$D$10000,0),23))</f>
        <v>0737727024</v>
      </c>
      <c r="L6" t="str">
        <f ca="1">"+27"&amp;RIGHT(J6,9)</f>
        <v>+27737727024</v>
      </c>
      <c r="M6" t="str">
        <f ca="1">IF($D6="","",OFFSET(Sales!$D$2,MATCH($D6,Sales!$D$3:$D$10000,0),25))</f>
        <v>1857379436</v>
      </c>
      <c r="N6" t="str">
        <f ca="1">IF($D6="","",OFFSET(Sales!$D$2,MATCH($D6,Sales!$D$3:$D$10000,0),10))</f>
        <v>4 Look Street</v>
      </c>
      <c r="O6" t="str">
        <f ca="1">IF($D6="","",OFFSET(Sales!$D$2,MATCH($D6,Sales!$D$3:$D$10000,0),11))</f>
        <v/>
      </c>
      <c r="P6" t="str">
        <f ca="1">IF($D6="","",OFFSET(Sales!$D$2,MATCH($D6,Sales!$D$3:$D$10000,0),12))</f>
        <v>Macassar</v>
      </c>
      <c r="Q6" t="str">
        <f ca="1">IF($D6="","",OFFSET(Sales!$D$2,MATCH($D6,Sales!$D$3:$D$10000,0),13))</f>
        <v>Cape Town</v>
      </c>
      <c r="R6" t="str">
        <f ca="1">IF($D6="","",OFFSET(Sales!$D$2,MATCH($D6,Sales!$D$3:$D$10000,0),14))</f>
        <v/>
      </c>
      <c r="S6" t="str">
        <f ca="1">IF($D6="","",OFFSET(Sales!$D$2,MATCH($D6,Sales!$D$3:$D$10000,0),24))</f>
        <v>MTM</v>
      </c>
      <c r="T6" t="str">
        <f ca="1">IF(OR(FIND("C",$A6)=2,FIND("C",$A6)=3),"Cell C", IF(OR(FIND("V",$A6)=2,FIND("V",$A6)=3),"Vodacom",""))</f>
        <v>Cell C</v>
      </c>
      <c r="U6" s="432" t="str">
        <f ca="1">IF($D6="","",IF(AND(MONTH(X6)=MONTH($O$1),YEAR(X6)=YEAR($O$1)),"Port",IF(ISERROR(MOD(DATEDIF(X6,$O$1,"M"),X6)),0,IF(MOD(DATEDIF(X6,$O$1,"M"),Y6)&gt;0,"Continue", "Re-Activate"))))</f>
        <v>Port</v>
      </c>
      <c r="V6" s="349">
        <f ca="1">IF(OR(U6="Port",U6="Re-Activate"),Y6,"")</f>
        <v>12</v>
      </c>
      <c r="X6" s="392">
        <f ca="1">IF(D6="","",OFFSET(Sales!$D$2,MATCH(D6,Sales!$D$3:$D$10000,0),-2))</f>
        <v>42186</v>
      </c>
      <c r="Y6" s="229">
        <f ca="1">IF(D6="","",IF(T6="Cell C",12,24))</f>
        <v>12</v>
      </c>
      <c r="Z6" s="197">
        <f ca="1">IF(A6="","",OFFSET(Commission!$B$2,MATCH(Smartcom!D6,Commission!$B$3:$B$10000,0),31))</f>
        <v>50</v>
      </c>
      <c r="AA6" s="392"/>
    </row>
    <row r="7" spans="1:27">
      <c r="A7" t="str">
        <f ca="1">IF($D7="","",OFFSET(Sales!$D$2,MATCH($D7,Sales!$D$3:$D$10000,0),53))</f>
        <v>ACF10</v>
      </c>
      <c r="B7">
        <f>IF($D7="","",IF(ROW()=3,1,B6+1))</f>
        <v>5</v>
      </c>
      <c r="C7">
        <f>IF($D7="","",9575)</f>
        <v>9575</v>
      </c>
      <c r="D7" s="329">
        <v>50260624</v>
      </c>
      <c r="E7" t="str">
        <f ca="1">IF($D7="","",OFFSET(Sales!$D$2,MATCH($D7,Sales!$D$3:$D$10000,0),7))</f>
        <v>7610195061089</v>
      </c>
      <c r="F7" t="str">
        <f ca="1">IF($D7="","",OFFSET(Sales!$D$2,MATCH($D7,Sales!$D$3:$D$10000,0),4))</f>
        <v>Craig</v>
      </c>
      <c r="G7" t="str">
        <f ca="1">IF($D7="","",OFFSET(Sales!$D$2,MATCH($D7,Sales!$D$3:$D$10000,0),3))</f>
        <v>de Hahn</v>
      </c>
      <c r="H7" t="str">
        <f ca="1">IF($D7="","",OFFSET('Policy breakdown'!$A$2,MATCH(Smartcom!$A7,'Policy breakdown'!$A$3:$A$39,0),21))</f>
        <v>CC125</v>
      </c>
      <c r="I7" s="41">
        <f ca="1">IF($D7="","",OFFSET('Policy breakdown'!$A$2,MATCH(Smartcom!$A7,'Policy breakdown'!$A$3:$A$39,0),12))</f>
        <v>50</v>
      </c>
      <c r="J7" t="str">
        <f ca="1">IF($D7="","",OFFSET(Sales!$D$2,MATCH($D7,Sales!$D$3:$D$10000,0),23))</f>
        <v>0746085390</v>
      </c>
      <c r="L7" t="str">
        <f ca="1">"+27"&amp;RIGHT(J7,9)</f>
        <v>+27746085390</v>
      </c>
      <c r="M7" t="str">
        <f ca="1">IF($D7="","",OFFSET(Sales!$D$2,MATCH($D7,Sales!$D$3:$D$10000,0),25))</f>
        <v>8927071991404245281</v>
      </c>
      <c r="N7" t="str">
        <f ca="1">IF($D7="","",OFFSET(Sales!$D$2,MATCH($D7,Sales!$D$3:$D$10000,0),10))</f>
        <v>266  8th Avanue</v>
      </c>
      <c r="O7" t="str">
        <f ca="1">IF($D7="","",OFFSET(Sales!$D$2,MATCH($D7,Sales!$D$3:$D$10000,0),11))</f>
        <v>Eikendal</v>
      </c>
      <c r="P7" t="str">
        <f ca="1">IF($D7="","",OFFSET(Sales!$D$2,MATCH($D7,Sales!$D$3:$D$10000,0),12))</f>
        <v>Kraaifontein</v>
      </c>
      <c r="Q7" t="str">
        <f ca="1">IF($D7="","",OFFSET(Sales!$D$2,MATCH($D7,Sales!$D$3:$D$10000,0),13))</f>
        <v>Cape Town</v>
      </c>
      <c r="R7">
        <f ca="1">IF($D7="","",OFFSET(Sales!$D$2,MATCH($D7,Sales!$D$3:$D$10000,0),14))</f>
        <v>7570</v>
      </c>
      <c r="S7" t="str">
        <f ca="1">IF($D7="","",OFFSET(Sales!$D$2,MATCH($D7,Sales!$D$3:$D$10000,0),24))</f>
        <v>Cell C</v>
      </c>
      <c r="T7" t="str">
        <f ca="1">IF(OR(FIND("C",$A7)=2,FIND("C",$A7)=3),"Cell C", IF(OR(FIND("V",$A7)=2,FIND("V",$A7)=3),"Vodacom",""))</f>
        <v>Cell C</v>
      </c>
      <c r="U7" s="430" t="str">
        <f ca="1">IF($D7="","",IF(AND(MONTH(X7)=MONTH($O$1),YEAR(X7)=YEAR($O$1)),"Port",IF(ISERROR(MOD(DATEDIF(X7,$O$1,"M"),X7)),0,IF(MOD(DATEDIF(X7,$O$1,"M"),Y7)&gt;0,"Continue", "Re-Activate"))))</f>
        <v>Port</v>
      </c>
      <c r="V7">
        <f ca="1">IF(OR(U7="Port",U7="Re-Activate"),Y7,"")</f>
        <v>12</v>
      </c>
      <c r="X7" s="392">
        <f ca="1">IF(D7="","",OFFSET(Sales!$D$2,MATCH(D7,Sales!$D$3:$D$10000,0),-2))</f>
        <v>42186</v>
      </c>
      <c r="Y7" s="229">
        <f ca="1">IF(D7="","",IF(T7="Cell C",12,24))</f>
        <v>12</v>
      </c>
      <c r="Z7" s="197">
        <f ca="1">IF(A7="","",OFFSET(Commission!$B$2,MATCH(Smartcom!D7,Commission!$B$3:$B$10000,0),31))</f>
        <v>50</v>
      </c>
    </row>
    <row r="8" spans="1:27">
      <c r="U8" s="432"/>
      <c r="V8" s="349"/>
      <c r="X8" s="392"/>
      <c r="Z8" s="197" t="str">
        <f ca="1">IF(A8="","",OFFSET(Commission!$B$2,MATCH(Smartcom!D8,Commission!$B$3:$B$10000,0),31))</f>
        <v/>
      </c>
    </row>
    <row r="9" spans="1:27">
      <c r="X9" s="392"/>
      <c r="Z9" s="197" t="str">
        <f ca="1">IF(A9="","",OFFSET(Commission!$B$2,MATCH(Smartcom!D9,Commission!$B$3:$B$10000,0),31))</f>
        <v/>
      </c>
    </row>
  </sheetData>
  <pageMargins left="0.31496062992125984" right="0.31496062992125984" top="0.74803149606299213" bottom="0.74803149606299213" header="0.31496062992125984" footer="0.31496062992125984"/>
  <pageSetup paperSize="9" scale="41" orientation="landscape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W34"/>
  <sheetViews>
    <sheetView workbookViewId="0">
      <selection activeCell="A3" sqref="A3:L22"/>
    </sheetView>
  </sheetViews>
  <sheetFormatPr defaultRowHeight="15"/>
  <cols>
    <col min="1" max="1" width="15.7109375" customWidth="1"/>
    <col min="2" max="2" width="11.28515625" customWidth="1"/>
    <col min="3" max="3" width="18.7109375" customWidth="1"/>
    <col min="4" max="4" width="10.28515625" customWidth="1"/>
    <col min="5" max="5" width="8.5703125" customWidth="1"/>
    <col min="6" max="6" width="10.28515625" customWidth="1"/>
    <col min="7" max="7" width="10.42578125" style="41" customWidth="1"/>
    <col min="8" max="8" width="10.85546875" style="197" customWidth="1"/>
    <col min="9" max="9" width="9.85546875" style="197" customWidth="1"/>
    <col min="12" max="12" width="7.42578125" customWidth="1"/>
    <col min="19" max="19" width="11" customWidth="1"/>
  </cols>
  <sheetData>
    <row r="1" spans="1:20">
      <c r="N1" s="305">
        <f>IF(D3="Licensee",MATCH(F3,Licensee!A1:A1000,0),MATCH(F3,Agent!A1:A1000))</f>
        <v>5</v>
      </c>
      <c r="O1" s="305"/>
      <c r="P1" s="305"/>
      <c r="Q1" s="117">
        <f>COUNTA($B$11:$B$10002)</f>
        <v>18</v>
      </c>
      <c r="R1" s="117"/>
      <c r="S1" s="117"/>
      <c r="T1" s="305"/>
    </row>
    <row r="2" spans="1:20" ht="15.75" thickBot="1">
      <c r="N2" s="305" t="str">
        <f>IF(D3="Licensee","Licensee!R"&amp;N1&amp;"C27","Agent!R"&amp;N1&amp;"C34")</f>
        <v>Licensee!R5C27</v>
      </c>
      <c r="O2" s="305"/>
      <c r="P2" s="305"/>
      <c r="Q2" s="117">
        <v>1</v>
      </c>
      <c r="R2" s="117"/>
      <c r="S2" s="117"/>
      <c r="T2" s="305"/>
    </row>
    <row r="3" spans="1:20" ht="18.75">
      <c r="A3" s="307" t="s">
        <v>73</v>
      </c>
      <c r="B3" s="206"/>
      <c r="C3" s="206"/>
      <c r="D3" s="308" t="s">
        <v>1</v>
      </c>
      <c r="E3" s="308" t="s">
        <v>1709</v>
      </c>
      <c r="F3" t="s">
        <v>242</v>
      </c>
      <c r="G3" s="309"/>
      <c r="H3" s="310"/>
      <c r="I3" s="310"/>
      <c r="J3" s="311" t="s">
        <v>59</v>
      </c>
      <c r="K3" s="206" t="str">
        <f ca="1">IF($F$3="","",IF($D$3="Agent",OFFSET(Agent!$A$2,MATCH(Statement!$F$3,Agent!$A$3:$A$18,0),24),OFFSET(Licensee!$A$2,MATCH(Statement!$F$3,Licensee!$A$3:$A$1000,0),16)))</f>
        <v>Julius Jonkers</v>
      </c>
      <c r="L3" s="201"/>
      <c r="N3" s="305"/>
      <c r="O3" s="305"/>
      <c r="P3" s="305"/>
      <c r="Q3" s="117" t="s">
        <v>1337</v>
      </c>
      <c r="R3" s="117"/>
      <c r="S3" s="117" t="str">
        <f ca="1">OFFSET(Agent!$AJ$2,MATCH(Statement!Q3,Agent!$AJ$3:$AJ$18,0),-35)</f>
        <v>jdj1/1001</v>
      </c>
      <c r="T3" s="305"/>
    </row>
    <row r="4" spans="1:20">
      <c r="A4" s="312" t="s">
        <v>73</v>
      </c>
      <c r="B4" s="500" t="s">
        <v>74</v>
      </c>
      <c r="C4" s="501"/>
      <c r="D4" s="237"/>
      <c r="E4" s="237"/>
      <c r="F4" s="237"/>
      <c r="G4" s="313"/>
      <c r="H4" s="314"/>
      <c r="I4" s="314"/>
      <c r="J4" s="315" t="s">
        <v>58</v>
      </c>
      <c r="K4" s="237" t="str">
        <f ca="1">IF($F$3="","",IF($D$3="Agent",OFFSET(Agent!$A$2,MATCH(Statement!$F$3,Agent!$A$3:$A$18,0),29),OFFSET(Licensee!$A$2,MATCH(Statement!$F$3,Licensee!$A$3:$A$1000,0),21)))</f>
        <v>FNB</v>
      </c>
      <c r="L4" s="316"/>
      <c r="N4" s="305"/>
      <c r="O4" s="305"/>
      <c r="P4" s="305"/>
      <c r="Q4" s="305"/>
      <c r="R4" s="305"/>
      <c r="S4" s="305"/>
      <c r="T4" s="305"/>
    </row>
    <row r="5" spans="1:20" ht="18.75">
      <c r="A5" s="312" t="s">
        <v>73</v>
      </c>
      <c r="B5" s="501"/>
      <c r="C5" s="501"/>
      <c r="D5" s="317" t="s">
        <v>1</v>
      </c>
      <c r="E5" s="317" t="s">
        <v>1767</v>
      </c>
      <c r="F5" s="318" t="str">
        <f ca="1">IF(F3="","",IF(D3="Licensee",OFFSET(Licensee!A2,MATCH(Statement!F3,Licensee!$A$3:$A$1000,0),2),OFFSET(Agent!A2,MATCH(Statement!F3,Agent!$A$3:$A$18,0),3)&amp;" "&amp;OFFSET(Agent!A2,MATCH(Statement!F3,Agent!$A$3:$A$18,0),4)))</f>
        <v>J D Consulting Business</v>
      </c>
      <c r="G5" s="313"/>
      <c r="H5" s="314"/>
      <c r="I5" s="314"/>
      <c r="J5" s="315" t="s">
        <v>1438</v>
      </c>
      <c r="K5" s="237">
        <f ca="1">IF($F$3="","",IF($D$3="Agent",OFFSET(Agent!$A$2,MATCH(Statement!$F$3,Agent!$A$3:$A$18,0),26),OFFSET(Licensee!$A$2,MATCH(Statement!$F$3,Licensee!$A$3:$A$1000,0),18)))</f>
        <v>0</v>
      </c>
      <c r="L5" s="316"/>
      <c r="N5" s="305"/>
      <c r="O5" s="305"/>
      <c r="P5" s="305"/>
      <c r="Q5" s="305"/>
      <c r="R5" s="305"/>
      <c r="S5" s="305"/>
      <c r="T5" s="305"/>
    </row>
    <row r="6" spans="1:20">
      <c r="A6" s="312" t="s">
        <v>73</v>
      </c>
      <c r="B6" s="237"/>
      <c r="C6" s="237"/>
      <c r="D6" s="237"/>
      <c r="E6" s="237"/>
      <c r="F6" s="237"/>
      <c r="G6" s="313"/>
      <c r="H6" s="314"/>
      <c r="I6" s="314"/>
      <c r="J6" s="315" t="s">
        <v>1716</v>
      </c>
      <c r="K6" s="237" t="str">
        <f ca="1">IF($F$3="","",IF($D$3="Agent",OFFSET(Agent!$A$2,MATCH(Statement!$F$3,Agent!$A$3:$A$18,0),27),OFFSET(Licensee!$A$2,MATCH(Statement!$F$3,Licensee!$A$3:$A$1000,0),19)))</f>
        <v>250655</v>
      </c>
      <c r="L6" s="316"/>
      <c r="N6" s="305"/>
      <c r="O6" s="305"/>
      <c r="P6" s="305"/>
      <c r="Q6" s="305"/>
      <c r="R6" s="305"/>
      <c r="S6" s="305"/>
      <c r="T6" s="305"/>
    </row>
    <row r="7" spans="1:20" ht="18.75">
      <c r="A7" s="312" t="s">
        <v>73</v>
      </c>
      <c r="B7" s="237"/>
      <c r="E7" s="319" t="s">
        <v>1710</v>
      </c>
      <c r="F7" s="320" t="str">
        <f ca="1">CHOOSE(MONTH(TODAY()-1),"January","February","March","April","May","June","July","August","September","October","November","December")&amp;" "&amp;YEAR(TODAY())</f>
        <v>July 2015</v>
      </c>
      <c r="G7" s="313"/>
      <c r="H7" s="314"/>
      <c r="I7" s="314"/>
      <c r="J7" s="315" t="s">
        <v>60</v>
      </c>
      <c r="K7" s="237" t="str">
        <f ca="1">IF($F$3="","",IF($D$3="Agent",OFFSET(Agent!$A$2,MATCH(Statement!$F$3,Agent!$A$3:$A$18,0),25),OFFSET(Licensee!$A$2,MATCH(Statement!$F$3,Licensee!$A$3:$A$1000,0),17)))</f>
        <v>62411342017</v>
      </c>
      <c r="L7" s="316"/>
      <c r="N7" s="305"/>
      <c r="O7" s="305"/>
      <c r="P7" s="305"/>
      <c r="Q7" s="305"/>
      <c r="R7" s="305"/>
      <c r="S7" s="305"/>
      <c r="T7" s="305"/>
    </row>
    <row r="8" spans="1:20" ht="18.75">
      <c r="A8" s="312" t="s">
        <v>101</v>
      </c>
      <c r="B8" s="322" t="s">
        <v>1717</v>
      </c>
      <c r="C8" s="237" t="str">
        <f ca="1">IF(F3="","",IF(D3="Agent",IF(OFFSET(Agent!$A$2,MATCH(Statement!$F$3,Agent!$A$3:$A$18,0),13)="",OFFSET(Licensee!$A$2,MATCH(LEFT(Statement!$F$3,4),Licensee!$A$3:$A$1000,0),12),OFFSET(Agent!$A$2,MATCH(Statement!$F$3,Agent!$A$3:$A$18,0),13)),OFFSET(Licensee!$A$2,MATCH(Statement!$F$3,Licensee!$A$3:$A$1000,0),12)))</f>
        <v xml:space="preserve">jonkersjd@gmail.com </v>
      </c>
      <c r="D8" s="237"/>
      <c r="E8" s="319"/>
      <c r="F8" s="320"/>
      <c r="G8" s="313"/>
      <c r="H8" s="314"/>
      <c r="I8" s="314"/>
      <c r="J8" s="315" t="s">
        <v>61</v>
      </c>
      <c r="K8" s="237" t="str">
        <f ca="1">IF($F$3="","",IF($D$3="Agent",OFFSET(Agent!$A$2,MATCH(Statement!$F$3,Agent!$A$3:$A$18,0),28),OFFSET(Licensee!$A$2,MATCH(Statement!$F$3,Licensee!$A$3:$A$1000,0),20)))</f>
        <v>Current</v>
      </c>
      <c r="L8" s="316"/>
      <c r="N8" s="305"/>
      <c r="O8" s="305"/>
      <c r="P8" s="305"/>
      <c r="Q8" s="305"/>
      <c r="R8" s="305"/>
      <c r="S8" s="305"/>
      <c r="T8" s="305"/>
    </row>
    <row r="9" spans="1:20" ht="15.75" thickBot="1">
      <c r="A9" s="312" t="s">
        <v>73</v>
      </c>
      <c r="E9" s="237"/>
      <c r="F9" s="315" t="s">
        <v>1707</v>
      </c>
      <c r="G9" s="313"/>
      <c r="H9" s="313">
        <f>IF(D3="Agent","",SUM(H11:H19))</f>
        <v>116.80000000000001</v>
      </c>
      <c r="I9" s="313" t="str">
        <f>IF(D3="Licensee","",SUM(I11:I11))</f>
        <v/>
      </c>
      <c r="L9" s="316"/>
      <c r="N9" s="305"/>
      <c r="O9" s="305"/>
      <c r="P9" s="305"/>
      <c r="Q9" s="305"/>
      <c r="R9" s="305"/>
      <c r="S9" s="305"/>
      <c r="T9" s="305"/>
    </row>
    <row r="10" spans="1:20" ht="68.25" customHeight="1" thickBot="1">
      <c r="A10" s="334" t="s">
        <v>1703</v>
      </c>
      <c r="B10" s="324" t="s">
        <v>1704</v>
      </c>
      <c r="C10" s="324" t="s">
        <v>1705</v>
      </c>
      <c r="D10" s="324" t="s">
        <v>1442</v>
      </c>
      <c r="E10" s="324" t="s">
        <v>1566</v>
      </c>
      <c r="F10" s="324" t="s">
        <v>1706</v>
      </c>
      <c r="G10" s="324" t="s">
        <v>1707</v>
      </c>
      <c r="H10" s="324" t="s">
        <v>1559</v>
      </c>
      <c r="I10" s="325" t="s">
        <v>1708</v>
      </c>
      <c r="J10" s="323"/>
      <c r="K10" s="227"/>
      <c r="L10" s="321"/>
      <c r="N10" s="305"/>
      <c r="O10" s="305"/>
      <c r="P10" s="305"/>
      <c r="Q10" s="305"/>
      <c r="R10" s="305"/>
      <c r="S10" s="305"/>
      <c r="T10" s="305"/>
    </row>
    <row r="11" spans="1:20">
      <c r="A11">
        <v>9575</v>
      </c>
      <c r="B11">
        <v>50260111</v>
      </c>
      <c r="C11" t="s">
        <v>2392</v>
      </c>
      <c r="D11" t="str">
        <f>VLOOKUP($B11,Sales!$D$3:$BE$31,54,FALSE)</f>
        <v>ACF10</v>
      </c>
      <c r="E11">
        <f>VLOOKUP($B11,Sales!$D$3:$EU$31,148,FALSE)</f>
        <v>1</v>
      </c>
      <c r="F11" t="str">
        <f>VLOOKUP(B11,Sales!$D$3:$E$31,2,FALSE)</f>
        <v>jdj1/1001</v>
      </c>
      <c r="G11" s="41">
        <v>87.5</v>
      </c>
      <c r="H11" s="197">
        <v>18.7</v>
      </c>
    </row>
    <row r="12" spans="1:20">
      <c r="A12">
        <v>9575</v>
      </c>
      <c r="B12">
        <v>50260111</v>
      </c>
      <c r="C12" t="s">
        <v>2392</v>
      </c>
      <c r="D12" t="str">
        <f>VLOOKUP($B12,Sales!$D$3:$BE$31,54,FALSE)</f>
        <v>ACF10</v>
      </c>
      <c r="E12">
        <f>VLOOKUP($B12,Sales!$D$3:$EU$31,148,FALSE)</f>
        <v>1</v>
      </c>
      <c r="F12" t="str">
        <f>VLOOKUP(B12,Sales!$D$3:$E$31,2,FALSE)</f>
        <v>jdj1/1001</v>
      </c>
      <c r="G12" s="41">
        <v>25</v>
      </c>
      <c r="H12" s="197">
        <v>10.4</v>
      </c>
    </row>
    <row r="13" spans="1:20">
      <c r="A13">
        <v>9575</v>
      </c>
      <c r="B13">
        <v>50260111</v>
      </c>
      <c r="C13" t="s">
        <v>2392</v>
      </c>
      <c r="D13" t="str">
        <f>VLOOKUP($B13,Sales!$D$3:$BE$31,54,FALSE)</f>
        <v>ACF10</v>
      </c>
      <c r="E13">
        <f>VLOOKUP($B13,Sales!$D$3:$EU$31,148,FALSE)</f>
        <v>1</v>
      </c>
      <c r="F13" t="str">
        <f>VLOOKUP(B13,Sales!$D$3:$E$31,2,FALSE)</f>
        <v>jdj1/1001</v>
      </c>
      <c r="G13" s="41">
        <v>25</v>
      </c>
      <c r="H13" s="197">
        <v>10.4</v>
      </c>
    </row>
    <row r="14" spans="1:20">
      <c r="A14">
        <v>9575</v>
      </c>
      <c r="B14">
        <v>50260111</v>
      </c>
      <c r="C14" t="s">
        <v>2392</v>
      </c>
      <c r="D14" t="str">
        <f>VLOOKUP($B14,Sales!$D$3:$BE$31,54,FALSE)</f>
        <v>ACF10</v>
      </c>
      <c r="E14">
        <f>VLOOKUP($B14,Sales!$D$3:$EU$31,148,FALSE)</f>
        <v>1</v>
      </c>
      <c r="F14" t="str">
        <f>VLOOKUP(B14,Sales!$D$3:$E$31,2,FALSE)</f>
        <v>jdj1/1001</v>
      </c>
      <c r="G14" s="41">
        <v>25</v>
      </c>
      <c r="H14" s="197">
        <v>10.4</v>
      </c>
    </row>
    <row r="15" spans="1:20">
      <c r="A15">
        <v>9575</v>
      </c>
      <c r="B15">
        <v>50260129</v>
      </c>
      <c r="C15" t="s">
        <v>2393</v>
      </c>
      <c r="D15" t="str">
        <f>VLOOKUP($B15,Sales!$D$3:$BE$31,54,FALSE)</f>
        <v>ACF10</v>
      </c>
      <c r="E15" t="str">
        <f>VLOOKUP($B15,Sales!$D$3:$EU$31,148,FALSE)</f>
        <v/>
      </c>
      <c r="F15" t="str">
        <f>VLOOKUP(B15,Sales!$D$3:$E$31,2,FALSE)</f>
        <v>jdj1/1001</v>
      </c>
      <c r="G15" s="41">
        <v>83.5</v>
      </c>
      <c r="H15" s="197">
        <v>16.7</v>
      </c>
    </row>
    <row r="16" spans="1:20">
      <c r="A16">
        <v>9575</v>
      </c>
      <c r="B16">
        <v>50260129</v>
      </c>
      <c r="C16" t="s">
        <v>2393</v>
      </c>
      <c r="D16" t="str">
        <f>VLOOKUP($B16,Sales!$D$3:$BE$31,54,FALSE)</f>
        <v>ACF10</v>
      </c>
      <c r="E16" t="str">
        <f>VLOOKUP($B16,Sales!$D$3:$EU$31,148,FALSE)</f>
        <v/>
      </c>
      <c r="F16" t="str">
        <f>VLOOKUP(B16,Sales!$D$3:$E$31,2,FALSE)</f>
        <v>jdj1/1001</v>
      </c>
      <c r="G16" s="41">
        <v>21</v>
      </c>
      <c r="H16" s="197">
        <v>8.4</v>
      </c>
    </row>
    <row r="17" spans="1:23">
      <c r="A17">
        <v>9575</v>
      </c>
      <c r="B17">
        <v>50260145</v>
      </c>
      <c r="C17" t="s">
        <v>2394</v>
      </c>
      <c r="D17" t="str">
        <f>VLOOKUP($B17,Sales!$D$3:$BE$31,54,FALSE)</f>
        <v>ACF10</v>
      </c>
      <c r="E17" t="str">
        <f>VLOOKUP($B17,Sales!$D$3:$EU$31,148,FALSE)</f>
        <v/>
      </c>
      <c r="F17" t="str">
        <f>VLOOKUP(B17,Sales!$D$3:$E$31,2,FALSE)</f>
        <v>jdj1/1004</v>
      </c>
      <c r="G17" s="41">
        <v>83.5</v>
      </c>
      <c r="H17" s="197">
        <v>16.7</v>
      </c>
    </row>
    <row r="18" spans="1:23">
      <c r="A18">
        <v>9575</v>
      </c>
      <c r="B18">
        <v>50260145</v>
      </c>
      <c r="C18" t="s">
        <v>2394</v>
      </c>
      <c r="D18" t="str">
        <f>VLOOKUP($B18,Sales!$D$3:$BE$31,54,FALSE)</f>
        <v>ACF10</v>
      </c>
      <c r="E18" t="str">
        <f>VLOOKUP($B18,Sales!$D$3:$EU$31,148,FALSE)</f>
        <v/>
      </c>
      <c r="F18" t="str">
        <f>VLOOKUP(B18,Sales!$D$3:$E$31,2,FALSE)</f>
        <v>jdj1/1004</v>
      </c>
      <c r="G18" s="41">
        <v>21</v>
      </c>
      <c r="H18" s="197">
        <v>8.4</v>
      </c>
    </row>
    <row r="19" spans="1:23">
      <c r="A19">
        <v>9575</v>
      </c>
      <c r="B19">
        <v>50260624</v>
      </c>
      <c r="C19" t="s">
        <v>2411</v>
      </c>
      <c r="D19" t="str">
        <f>VLOOKUP($B19,Sales!$D$3:$BE$31,54,FALSE)</f>
        <v>ACF10</v>
      </c>
      <c r="E19" t="str">
        <f>VLOOKUP($B19,Sales!$D$3:$EU$31,148,FALSE)</f>
        <v/>
      </c>
      <c r="F19" t="str">
        <f>VLOOKUP(B19,Sales!$D$3:$E$31,2,FALSE)</f>
        <v>jdj1/1001</v>
      </c>
      <c r="G19" s="41">
        <v>83.5</v>
      </c>
      <c r="H19" s="197">
        <v>16.7</v>
      </c>
    </row>
    <row r="20" spans="1:23">
      <c r="G20" s="403" t="s">
        <v>2417</v>
      </c>
      <c r="H20" s="197">
        <f>H9</f>
        <v>116.80000000000001</v>
      </c>
      <c r="I20" s="197" t="str">
        <f>I9</f>
        <v/>
      </c>
    </row>
    <row r="21" spans="1:23">
      <c r="G21" s="403" t="s">
        <v>2418</v>
      </c>
      <c r="H21" s="197">
        <v>8</v>
      </c>
    </row>
    <row r="22" spans="1:23">
      <c r="G22" s="403" t="s">
        <v>2419</v>
      </c>
      <c r="H22" s="197">
        <f>H20-H21</f>
        <v>108.80000000000001</v>
      </c>
    </row>
    <row r="26" spans="1:23">
      <c r="A26" s="442">
        <v>957550260111</v>
      </c>
      <c r="B26" s="290">
        <v>50260111</v>
      </c>
      <c r="C26" s="287" t="s">
        <v>2392</v>
      </c>
      <c r="D26" s="288">
        <v>184</v>
      </c>
      <c r="E26" s="289">
        <v>26</v>
      </c>
      <c r="F26" s="289">
        <v>2</v>
      </c>
      <c r="G26" s="289"/>
      <c r="H26" s="289">
        <v>75</v>
      </c>
      <c r="I26" s="289">
        <v>156</v>
      </c>
      <c r="K26" s="474">
        <v>156</v>
      </c>
      <c r="L26" s="474" t="s">
        <v>75</v>
      </c>
      <c r="M26" s="474" t="s">
        <v>75</v>
      </c>
      <c r="N26" s="474" t="s">
        <v>75</v>
      </c>
      <c r="O26">
        <v>1</v>
      </c>
      <c r="R26" t="s">
        <v>242</v>
      </c>
      <c r="S26" t="s">
        <v>1341</v>
      </c>
      <c r="T26">
        <v>83.5</v>
      </c>
      <c r="U26" t="s">
        <v>75</v>
      </c>
      <c r="V26" s="197">
        <v>16.7</v>
      </c>
      <c r="W26" s="197">
        <v>66.8</v>
      </c>
    </row>
    <row r="27" spans="1:23">
      <c r="A27" s="442">
        <v>957550260111</v>
      </c>
      <c r="B27" s="290">
        <v>50260111</v>
      </c>
      <c r="C27" s="287" t="s">
        <v>2392</v>
      </c>
      <c r="D27" s="288">
        <v>109</v>
      </c>
      <c r="E27" s="289">
        <v>26</v>
      </c>
      <c r="F27" s="289">
        <v>2</v>
      </c>
      <c r="G27" s="289"/>
      <c r="H27" s="289"/>
      <c r="I27" s="289">
        <v>81</v>
      </c>
      <c r="K27" s="474" t="s">
        <v>75</v>
      </c>
      <c r="L27" s="474">
        <v>81</v>
      </c>
      <c r="M27" s="474" t="s">
        <v>75</v>
      </c>
      <c r="N27" s="474" t="s">
        <v>75</v>
      </c>
      <c r="P27">
        <v>1</v>
      </c>
      <c r="R27" t="s">
        <v>242</v>
      </c>
      <c r="S27" t="s">
        <v>1341</v>
      </c>
      <c r="T27" t="s">
        <v>75</v>
      </c>
      <c r="U27">
        <v>21</v>
      </c>
      <c r="V27" s="197">
        <v>8.4</v>
      </c>
      <c r="W27" s="197">
        <v>12.6</v>
      </c>
    </row>
    <row r="28" spans="1:23">
      <c r="A28" s="442">
        <v>957550260111</v>
      </c>
      <c r="B28" s="290">
        <v>50260111</v>
      </c>
      <c r="C28" s="287" t="s">
        <v>2392</v>
      </c>
      <c r="D28" s="288">
        <v>159</v>
      </c>
      <c r="E28" s="289">
        <v>26</v>
      </c>
      <c r="F28" s="289">
        <v>2</v>
      </c>
      <c r="G28" s="289">
        <v>42</v>
      </c>
      <c r="H28" s="289"/>
      <c r="I28" s="289">
        <v>89</v>
      </c>
      <c r="K28" s="474" t="s">
        <v>75</v>
      </c>
      <c r="L28" s="474" t="s">
        <v>75</v>
      </c>
      <c r="M28" s="474" t="s">
        <v>75</v>
      </c>
      <c r="N28" s="474">
        <v>89</v>
      </c>
      <c r="P28">
        <v>1</v>
      </c>
      <c r="R28" t="s">
        <v>242</v>
      </c>
      <c r="S28" t="s">
        <v>1341</v>
      </c>
      <c r="T28" t="s">
        <v>75</v>
      </c>
      <c r="U28">
        <v>21</v>
      </c>
      <c r="V28" s="197">
        <v>8.4</v>
      </c>
      <c r="W28" s="197">
        <v>12.6</v>
      </c>
    </row>
    <row r="29" spans="1:23">
      <c r="A29" s="293">
        <v>957550260111</v>
      </c>
      <c r="B29" s="290">
        <v>50260111</v>
      </c>
      <c r="C29" s="287" t="s">
        <v>2392</v>
      </c>
      <c r="D29" s="288">
        <v>159</v>
      </c>
      <c r="E29" s="289">
        <v>26</v>
      </c>
      <c r="F29" s="289">
        <v>2</v>
      </c>
      <c r="G29" s="289">
        <v>42</v>
      </c>
      <c r="H29" s="289"/>
      <c r="I29" s="289">
        <v>89</v>
      </c>
      <c r="K29" s="474" t="s">
        <v>75</v>
      </c>
      <c r="L29" s="474" t="s">
        <v>75</v>
      </c>
      <c r="M29" s="474">
        <v>89</v>
      </c>
      <c r="N29" s="474" t="s">
        <v>75</v>
      </c>
      <c r="P29">
        <v>1</v>
      </c>
      <c r="R29" t="s">
        <v>242</v>
      </c>
      <c r="S29" t="s">
        <v>1341</v>
      </c>
      <c r="T29" t="s">
        <v>75</v>
      </c>
      <c r="U29">
        <v>21</v>
      </c>
      <c r="V29" s="197">
        <v>8.4</v>
      </c>
      <c r="W29" s="197">
        <v>12.6</v>
      </c>
    </row>
    <row r="30" spans="1:23">
      <c r="A30" s="293">
        <v>957550260129</v>
      </c>
      <c r="B30" s="290">
        <v>50260129</v>
      </c>
      <c r="C30" s="287" t="s">
        <v>2393</v>
      </c>
      <c r="D30" s="288">
        <v>200</v>
      </c>
      <c r="E30" s="289">
        <v>26</v>
      </c>
      <c r="F30" s="289">
        <v>2</v>
      </c>
      <c r="G30" s="289"/>
      <c r="H30" s="289">
        <v>75</v>
      </c>
      <c r="I30" s="289">
        <v>172</v>
      </c>
      <c r="K30" s="474" t="s">
        <v>75</v>
      </c>
      <c r="L30" s="474" t="s">
        <v>75</v>
      </c>
      <c r="M30" s="474">
        <v>172</v>
      </c>
      <c r="N30" s="474" t="s">
        <v>75</v>
      </c>
      <c r="O30">
        <v>1</v>
      </c>
      <c r="R30" t="s">
        <v>242</v>
      </c>
      <c r="S30" t="s">
        <v>1341</v>
      </c>
      <c r="T30">
        <v>83.5</v>
      </c>
      <c r="U30" t="s">
        <v>75</v>
      </c>
      <c r="V30" s="197">
        <v>16.7</v>
      </c>
      <c r="W30" s="197">
        <v>66.8</v>
      </c>
    </row>
    <row r="31" spans="1:23">
      <c r="A31" s="293">
        <v>957550260129</v>
      </c>
      <c r="B31" s="290">
        <v>50260129</v>
      </c>
      <c r="C31" s="287" t="s">
        <v>2393</v>
      </c>
      <c r="D31" s="288">
        <v>125</v>
      </c>
      <c r="E31" s="289">
        <v>26</v>
      </c>
      <c r="F31" s="289">
        <v>2</v>
      </c>
      <c r="G31" s="289"/>
      <c r="H31" s="289"/>
      <c r="I31" s="289">
        <v>97</v>
      </c>
      <c r="K31" s="474" t="s">
        <v>75</v>
      </c>
      <c r="L31" s="474" t="s">
        <v>75</v>
      </c>
      <c r="M31" s="474" t="s">
        <v>75</v>
      </c>
      <c r="N31" s="474">
        <v>97</v>
      </c>
      <c r="P31">
        <v>1</v>
      </c>
      <c r="R31" t="s">
        <v>242</v>
      </c>
      <c r="S31" t="s">
        <v>1341</v>
      </c>
      <c r="T31" t="s">
        <v>75</v>
      </c>
      <c r="U31">
        <v>21</v>
      </c>
      <c r="V31" s="197">
        <v>8.4</v>
      </c>
      <c r="W31" s="197">
        <v>12.6</v>
      </c>
    </row>
    <row r="32" spans="1:23">
      <c r="A32" s="293">
        <v>957550260145</v>
      </c>
      <c r="B32" s="290">
        <v>50260145</v>
      </c>
      <c r="C32" s="287" t="s">
        <v>2394</v>
      </c>
      <c r="D32" s="288">
        <v>200</v>
      </c>
      <c r="E32" s="289">
        <v>26</v>
      </c>
      <c r="F32" s="289">
        <v>2</v>
      </c>
      <c r="G32" s="289"/>
      <c r="H32" s="289">
        <v>75</v>
      </c>
      <c r="I32" s="289">
        <v>172</v>
      </c>
      <c r="K32" s="474" t="s">
        <v>75</v>
      </c>
      <c r="L32" s="474" t="s">
        <v>75</v>
      </c>
      <c r="M32" s="474">
        <v>172</v>
      </c>
      <c r="N32" s="474" t="s">
        <v>75</v>
      </c>
      <c r="O32">
        <v>1</v>
      </c>
      <c r="R32" t="s">
        <v>242</v>
      </c>
      <c r="S32" t="s">
        <v>1320</v>
      </c>
      <c r="T32">
        <v>83.5</v>
      </c>
      <c r="U32" t="s">
        <v>75</v>
      </c>
      <c r="V32" s="197">
        <v>16.7</v>
      </c>
      <c r="W32" s="197">
        <v>66.8</v>
      </c>
    </row>
    <row r="33" spans="1:23">
      <c r="A33" s="293">
        <v>957550260145</v>
      </c>
      <c r="B33" s="290">
        <v>50260145</v>
      </c>
      <c r="C33" s="287" t="s">
        <v>2394</v>
      </c>
      <c r="D33" s="288">
        <v>125</v>
      </c>
      <c r="E33" s="289">
        <v>26</v>
      </c>
      <c r="F33" s="289">
        <v>2</v>
      </c>
      <c r="G33" s="289"/>
      <c r="H33" s="289"/>
      <c r="I33" s="289">
        <v>97</v>
      </c>
      <c r="K33" s="474" t="s">
        <v>75</v>
      </c>
      <c r="L33" s="474" t="s">
        <v>75</v>
      </c>
      <c r="M33" s="474" t="s">
        <v>75</v>
      </c>
      <c r="N33" s="474">
        <v>97</v>
      </c>
      <c r="P33">
        <v>1</v>
      </c>
      <c r="R33" t="s">
        <v>242</v>
      </c>
      <c r="S33" t="s">
        <v>1320</v>
      </c>
      <c r="T33" t="s">
        <v>75</v>
      </c>
      <c r="U33">
        <v>21</v>
      </c>
      <c r="V33" s="197">
        <v>8.4</v>
      </c>
      <c r="W33" s="197">
        <v>12.6</v>
      </c>
    </row>
    <row r="34" spans="1:23">
      <c r="A34" s="295">
        <v>957550260624</v>
      </c>
      <c r="B34" s="290">
        <v>50260624</v>
      </c>
      <c r="C34" s="295" t="s">
        <v>2411</v>
      </c>
      <c r="D34" s="297">
        <v>200</v>
      </c>
      <c r="E34" s="289">
        <v>26</v>
      </c>
      <c r="F34" s="289">
        <v>2</v>
      </c>
      <c r="G34" s="289"/>
      <c r="H34" s="289">
        <v>75</v>
      </c>
      <c r="I34" s="289">
        <v>172</v>
      </c>
      <c r="J34" s="197"/>
      <c r="K34" s="474" t="s">
        <v>75</v>
      </c>
      <c r="L34" s="474" t="s">
        <v>75</v>
      </c>
      <c r="M34" s="474">
        <v>172</v>
      </c>
      <c r="N34" s="474" t="s">
        <v>75</v>
      </c>
      <c r="O34">
        <v>1</v>
      </c>
      <c r="R34" t="s">
        <v>242</v>
      </c>
      <c r="S34" t="s">
        <v>1341</v>
      </c>
      <c r="T34">
        <v>83.5</v>
      </c>
      <c r="U34" t="s">
        <v>75</v>
      </c>
      <c r="V34" s="197">
        <v>16.7</v>
      </c>
      <c r="W34" s="197">
        <v>66.8</v>
      </c>
    </row>
  </sheetData>
  <mergeCells count="1">
    <mergeCell ref="B4:C5"/>
  </mergeCells>
  <conditionalFormatting sqref="A26:B26">
    <cfRule type="duplicateValues" dxfId="61" priority="38"/>
  </conditionalFormatting>
  <conditionalFormatting sqref="B26">
    <cfRule type="duplicateValues" dxfId="60" priority="36"/>
  </conditionalFormatting>
  <conditionalFormatting sqref="A26">
    <cfRule type="duplicateValues" dxfId="59" priority="33"/>
  </conditionalFormatting>
  <conditionalFormatting sqref="A27">
    <cfRule type="duplicateValues" dxfId="58" priority="22"/>
  </conditionalFormatting>
  <conditionalFormatting sqref="A28">
    <cfRule type="duplicateValues" dxfId="57" priority="20"/>
  </conditionalFormatting>
  <conditionalFormatting sqref="A31">
    <cfRule type="duplicateValues" dxfId="56" priority="19"/>
  </conditionalFormatting>
  <conditionalFormatting sqref="A27:B27">
    <cfRule type="duplicateValues" dxfId="55" priority="18"/>
  </conditionalFormatting>
  <conditionalFormatting sqref="A29:B29">
    <cfRule type="duplicateValues" dxfId="54" priority="17"/>
  </conditionalFormatting>
  <conditionalFormatting sqref="A28:B28">
    <cfRule type="duplicateValues" dxfId="53" priority="16"/>
  </conditionalFormatting>
  <conditionalFormatting sqref="A30:B33">
    <cfRule type="duplicateValues" dxfId="52" priority="15"/>
  </conditionalFormatting>
  <conditionalFormatting sqref="A32:B33 A29:B29">
    <cfRule type="duplicateValues" dxfId="51" priority="14"/>
  </conditionalFormatting>
  <conditionalFormatting sqref="A30:B30">
    <cfRule type="duplicateValues" dxfId="50" priority="13"/>
  </conditionalFormatting>
  <conditionalFormatting sqref="A26:B26 A28:B28">
    <cfRule type="duplicateValues" dxfId="49" priority="12"/>
  </conditionalFormatting>
  <conditionalFormatting sqref="A31:B31">
    <cfRule type="duplicateValues" dxfId="48" priority="11"/>
  </conditionalFormatting>
  <conditionalFormatting sqref="B26:B33">
    <cfRule type="duplicateValues" dxfId="47" priority="10"/>
  </conditionalFormatting>
  <conditionalFormatting sqref="A26:B26">
    <cfRule type="duplicateValues" dxfId="46" priority="9"/>
  </conditionalFormatting>
  <conditionalFormatting sqref="B26:B33">
    <cfRule type="duplicateValues" dxfId="45" priority="8"/>
  </conditionalFormatting>
  <conditionalFormatting sqref="A26">
    <cfRule type="duplicateValues" dxfId="44" priority="7"/>
  </conditionalFormatting>
  <conditionalFormatting sqref="A27">
    <cfRule type="duplicateValues" dxfId="43" priority="6"/>
  </conditionalFormatting>
  <conditionalFormatting sqref="A28">
    <cfRule type="duplicateValues" dxfId="42" priority="5"/>
  </conditionalFormatting>
  <conditionalFormatting sqref="A31">
    <cfRule type="duplicateValues" dxfId="41" priority="4"/>
  </conditionalFormatting>
  <conditionalFormatting sqref="A33">
    <cfRule type="duplicateValues" dxfId="40" priority="3"/>
  </conditionalFormatting>
  <conditionalFormatting sqref="A29:A30 A32">
    <cfRule type="duplicateValues" dxfId="39" priority="2"/>
  </conditionalFormatting>
  <conditionalFormatting sqref="A34">
    <cfRule type="duplicateValues" dxfId="38" priority="1"/>
  </conditionalFormatting>
  <pageMargins left="0.70866141732283472" right="0.70866141732283472" top="0.74803149606299213" bottom="0.74803149606299213" header="0.31496062992125984" footer="0.31496062992125984"/>
  <pageSetup paperSize="9" orientation="landscape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Y51"/>
  <sheetViews>
    <sheetView tabSelected="1" topLeftCell="A19" workbookViewId="0">
      <selection activeCell="E47" sqref="E47"/>
    </sheetView>
  </sheetViews>
  <sheetFormatPr defaultRowHeight="15"/>
  <cols>
    <col min="1" max="1" width="8.85546875" bestFit="1" customWidth="1"/>
    <col min="2" max="4" width="15.7109375" customWidth="1"/>
    <col min="5" max="5" width="30.7109375" customWidth="1"/>
    <col min="6" max="11" width="10.7109375" customWidth="1"/>
    <col min="12" max="12" width="11" customWidth="1"/>
    <col min="17" max="17" width="11.42578125" customWidth="1"/>
  </cols>
  <sheetData>
    <row r="1" spans="1:25">
      <c r="A1" s="282" t="s">
        <v>1345</v>
      </c>
      <c r="B1" s="283" t="s">
        <v>42</v>
      </c>
      <c r="C1" s="283" t="s">
        <v>1346</v>
      </c>
      <c r="D1" s="283"/>
      <c r="E1" s="284" t="s">
        <v>1678</v>
      </c>
      <c r="F1" s="282" t="s">
        <v>114</v>
      </c>
      <c r="G1" s="284" t="s">
        <v>187</v>
      </c>
      <c r="H1" s="285" t="s">
        <v>1679</v>
      </c>
      <c r="I1" s="285" t="s">
        <v>1680</v>
      </c>
      <c r="J1" s="285" t="s">
        <v>1681</v>
      </c>
      <c r="K1" s="285" t="s">
        <v>1682</v>
      </c>
      <c r="M1" s="483">
        <v>4</v>
      </c>
      <c r="N1" s="483">
        <v>5</v>
      </c>
      <c r="O1" s="484">
        <v>6</v>
      </c>
      <c r="P1" s="485">
        <v>7</v>
      </c>
      <c r="Q1" t="s">
        <v>2412</v>
      </c>
      <c r="R1" t="s">
        <v>1375</v>
      </c>
      <c r="T1" t="s">
        <v>1</v>
      </c>
      <c r="U1" t="s">
        <v>184</v>
      </c>
      <c r="V1" t="s">
        <v>2414</v>
      </c>
      <c r="W1" t="s">
        <v>2415</v>
      </c>
    </row>
    <row r="2" spans="1:25">
      <c r="A2" s="471" t="s">
        <v>1683</v>
      </c>
      <c r="B2" s="472">
        <v>42156</v>
      </c>
      <c r="C2" s="290">
        <v>957550183719</v>
      </c>
      <c r="D2" s="290">
        <v>50183719</v>
      </c>
      <c r="E2" s="287" t="s">
        <v>1684</v>
      </c>
      <c r="F2" s="473">
        <v>48</v>
      </c>
      <c r="G2" s="292">
        <v>26</v>
      </c>
      <c r="H2" s="292">
        <v>2</v>
      </c>
      <c r="I2" s="292"/>
      <c r="J2" s="292"/>
      <c r="K2" s="289">
        <f>F2-G2-H2-I2</f>
        <v>20</v>
      </c>
      <c r="M2" s="474" t="str">
        <f>IF(MONTH($B2)=M$1,$K2,"")</f>
        <v/>
      </c>
      <c r="N2" s="474" t="str">
        <f t="shared" ref="N2:P17" si="0">IF(MONTH($B2)=N$1,$K2,"")</f>
        <v/>
      </c>
      <c r="O2" s="474">
        <f t="shared" si="0"/>
        <v>20</v>
      </c>
      <c r="P2" s="474" t="str">
        <f t="shared" si="0"/>
        <v/>
      </c>
      <c r="Q2" s="475"/>
    </row>
    <row r="3" spans="1:25">
      <c r="A3" s="471" t="s">
        <v>1683</v>
      </c>
      <c r="B3" s="472">
        <v>42165</v>
      </c>
      <c r="C3" s="290">
        <v>957550184295</v>
      </c>
      <c r="D3" s="290">
        <v>50184295</v>
      </c>
      <c r="E3" s="287" t="s">
        <v>1685</v>
      </c>
      <c r="F3" s="476">
        <v>78</v>
      </c>
      <c r="G3" s="292">
        <v>37</v>
      </c>
      <c r="H3" s="292">
        <v>2</v>
      </c>
      <c r="I3" s="292"/>
      <c r="J3" s="292"/>
      <c r="K3" s="289">
        <f t="shared" ref="K3:K51" si="1">F3-G3-H3-I3</f>
        <v>39</v>
      </c>
      <c r="M3" s="474" t="str">
        <f t="shared" ref="M3:P51" si="2">IF(MONTH($B3)=M$1,$K3,"")</f>
        <v/>
      </c>
      <c r="N3" s="474" t="str">
        <f t="shared" si="0"/>
        <v/>
      </c>
      <c r="O3" s="474">
        <f t="shared" si="0"/>
        <v>39</v>
      </c>
      <c r="P3" s="474" t="str">
        <f t="shared" si="0"/>
        <v/>
      </c>
    </row>
    <row r="4" spans="1:25">
      <c r="A4" s="471" t="s">
        <v>1683</v>
      </c>
      <c r="B4" s="472">
        <v>42156</v>
      </c>
      <c r="C4" s="293">
        <v>957550185714</v>
      </c>
      <c r="D4" s="290">
        <v>50185714</v>
      </c>
      <c r="E4" s="287" t="s">
        <v>1686</v>
      </c>
      <c r="F4" s="473">
        <v>78</v>
      </c>
      <c r="G4" s="289">
        <v>37</v>
      </c>
      <c r="H4" s="289">
        <v>2</v>
      </c>
      <c r="I4" s="289"/>
      <c r="J4" s="289"/>
      <c r="K4" s="289">
        <f t="shared" si="1"/>
        <v>39</v>
      </c>
      <c r="M4" s="474" t="str">
        <f t="shared" si="2"/>
        <v/>
      </c>
      <c r="N4" s="474" t="str">
        <f t="shared" si="0"/>
        <v/>
      </c>
      <c r="O4" s="474">
        <f t="shared" si="0"/>
        <v>39</v>
      </c>
      <c r="P4" s="474" t="str">
        <f t="shared" si="0"/>
        <v/>
      </c>
      <c r="Q4" s="477"/>
    </row>
    <row r="5" spans="1:25">
      <c r="A5" s="471" t="s">
        <v>1683</v>
      </c>
      <c r="B5" s="472">
        <v>42156</v>
      </c>
      <c r="C5" s="290">
        <v>957550185748</v>
      </c>
      <c r="D5" s="290">
        <v>50185748</v>
      </c>
      <c r="E5" s="287" t="s">
        <v>2389</v>
      </c>
      <c r="F5" s="473">
        <v>95</v>
      </c>
      <c r="G5" s="289">
        <v>48</v>
      </c>
      <c r="H5" s="289">
        <v>2</v>
      </c>
      <c r="I5" s="289"/>
      <c r="J5" s="289"/>
      <c r="K5" s="289">
        <f t="shared" si="1"/>
        <v>45</v>
      </c>
      <c r="M5" s="474" t="str">
        <f t="shared" si="2"/>
        <v/>
      </c>
      <c r="N5" s="474" t="str">
        <f t="shared" si="0"/>
        <v/>
      </c>
      <c r="O5" s="474">
        <f t="shared" si="0"/>
        <v>45</v>
      </c>
      <c r="P5" s="474" t="str">
        <f t="shared" si="0"/>
        <v/>
      </c>
      <c r="Q5" s="477"/>
    </row>
    <row r="6" spans="1:25">
      <c r="A6" s="471" t="s">
        <v>1683</v>
      </c>
      <c r="B6" s="472">
        <v>42156</v>
      </c>
      <c r="C6" s="442">
        <v>957550186175</v>
      </c>
      <c r="D6" s="290">
        <v>50186175</v>
      </c>
      <c r="E6" s="287" t="s">
        <v>2019</v>
      </c>
      <c r="F6" s="476">
        <v>95</v>
      </c>
      <c r="G6" s="289">
        <v>48</v>
      </c>
      <c r="H6" s="289">
        <v>2</v>
      </c>
      <c r="I6" s="289"/>
      <c r="J6" s="289"/>
      <c r="K6" s="289">
        <f t="shared" si="1"/>
        <v>45</v>
      </c>
      <c r="M6" s="474" t="str">
        <f t="shared" si="2"/>
        <v/>
      </c>
      <c r="N6" s="474" t="str">
        <f t="shared" si="0"/>
        <v/>
      </c>
      <c r="O6" s="474">
        <f t="shared" si="0"/>
        <v>45</v>
      </c>
      <c r="P6" s="474" t="str">
        <f t="shared" si="0"/>
        <v/>
      </c>
      <c r="Q6" s="477"/>
    </row>
    <row r="7" spans="1:25">
      <c r="A7" s="471" t="s">
        <v>1683</v>
      </c>
      <c r="B7" s="472">
        <v>42156</v>
      </c>
      <c r="C7" s="290">
        <v>957550186191</v>
      </c>
      <c r="D7" s="290">
        <v>50186191</v>
      </c>
      <c r="E7" s="287" t="s">
        <v>1687</v>
      </c>
      <c r="F7" s="473">
        <v>78</v>
      </c>
      <c r="G7" s="289">
        <v>37</v>
      </c>
      <c r="H7" s="289">
        <v>2</v>
      </c>
      <c r="I7" s="289"/>
      <c r="J7" s="289"/>
      <c r="K7" s="289">
        <f t="shared" si="1"/>
        <v>39</v>
      </c>
      <c r="L7" s="197"/>
      <c r="M7" s="474" t="str">
        <f t="shared" si="2"/>
        <v/>
      </c>
      <c r="N7" s="474" t="str">
        <f t="shared" si="0"/>
        <v/>
      </c>
      <c r="O7" s="474">
        <f t="shared" si="0"/>
        <v>39</v>
      </c>
      <c r="P7" s="474" t="str">
        <f t="shared" si="0"/>
        <v/>
      </c>
    </row>
    <row r="8" spans="1:25">
      <c r="A8" s="471" t="s">
        <v>1683</v>
      </c>
      <c r="B8" s="472">
        <v>41974</v>
      </c>
      <c r="C8" s="478" t="s">
        <v>2390</v>
      </c>
      <c r="D8" s="290">
        <v>1001</v>
      </c>
      <c r="E8" s="287" t="s">
        <v>2391</v>
      </c>
      <c r="F8" s="289">
        <v>195</v>
      </c>
      <c r="G8" s="289">
        <v>48</v>
      </c>
      <c r="H8" s="289">
        <v>2</v>
      </c>
      <c r="I8" s="289"/>
      <c r="J8" s="289"/>
      <c r="K8" s="289">
        <f t="shared" si="1"/>
        <v>145</v>
      </c>
      <c r="M8" s="474" t="str">
        <f t="shared" si="2"/>
        <v/>
      </c>
      <c r="N8" s="474" t="str">
        <f t="shared" si="0"/>
        <v/>
      </c>
      <c r="O8" s="474" t="str">
        <f t="shared" si="0"/>
        <v/>
      </c>
      <c r="P8" s="474" t="str">
        <f t="shared" si="0"/>
        <v/>
      </c>
      <c r="Q8" s="403"/>
    </row>
    <row r="9" spans="1:25">
      <c r="A9" s="471" t="s">
        <v>1683</v>
      </c>
      <c r="B9" s="472">
        <v>42004</v>
      </c>
      <c r="C9" s="478" t="s">
        <v>2390</v>
      </c>
      <c r="D9" s="290">
        <v>1001</v>
      </c>
      <c r="E9" s="287" t="s">
        <v>2391</v>
      </c>
      <c r="F9" s="289">
        <v>195</v>
      </c>
      <c r="G9" s="289">
        <v>48</v>
      </c>
      <c r="H9" s="289">
        <v>2</v>
      </c>
      <c r="I9" s="289"/>
      <c r="J9" s="289"/>
      <c r="K9" s="289">
        <f t="shared" si="1"/>
        <v>145</v>
      </c>
      <c r="M9" s="474" t="str">
        <f t="shared" si="2"/>
        <v/>
      </c>
      <c r="N9" s="474" t="str">
        <f t="shared" si="0"/>
        <v/>
      </c>
      <c r="O9" s="474" t="str">
        <f t="shared" si="0"/>
        <v/>
      </c>
      <c r="P9" s="474" t="str">
        <f t="shared" si="0"/>
        <v/>
      </c>
      <c r="Q9" s="403"/>
    </row>
    <row r="10" spans="1:25">
      <c r="A10" s="471" t="s">
        <v>1683</v>
      </c>
      <c r="B10" s="472">
        <v>42037</v>
      </c>
      <c r="C10" s="478" t="s">
        <v>2390</v>
      </c>
      <c r="D10" s="290">
        <v>1001</v>
      </c>
      <c r="E10" s="287" t="s">
        <v>2391</v>
      </c>
      <c r="F10" s="289">
        <v>195</v>
      </c>
      <c r="G10" s="289">
        <v>48</v>
      </c>
      <c r="H10" s="289">
        <v>2</v>
      </c>
      <c r="I10" s="289"/>
      <c r="J10" s="289"/>
      <c r="K10" s="289">
        <f t="shared" si="1"/>
        <v>145</v>
      </c>
      <c r="M10" s="474" t="str">
        <f t="shared" si="2"/>
        <v/>
      </c>
      <c r="N10" s="474" t="str">
        <f t="shared" si="0"/>
        <v/>
      </c>
      <c r="O10" s="474" t="str">
        <f t="shared" si="0"/>
        <v/>
      </c>
      <c r="P10" s="474" t="str">
        <f t="shared" si="0"/>
        <v/>
      </c>
      <c r="Q10" s="403"/>
    </row>
    <row r="11" spans="1:25">
      <c r="A11" s="471" t="s">
        <v>1683</v>
      </c>
      <c r="B11" s="479">
        <v>42065</v>
      </c>
      <c r="C11" s="478" t="s">
        <v>2390</v>
      </c>
      <c r="D11" s="290">
        <v>1001</v>
      </c>
      <c r="E11" s="287" t="s">
        <v>2391</v>
      </c>
      <c r="F11" s="289">
        <v>195</v>
      </c>
      <c r="G11" s="289">
        <v>48</v>
      </c>
      <c r="H11" s="289">
        <v>2</v>
      </c>
      <c r="I11" s="289"/>
      <c r="J11" s="289"/>
      <c r="K11" s="289">
        <f t="shared" si="1"/>
        <v>145</v>
      </c>
      <c r="M11" s="474" t="str">
        <f t="shared" si="2"/>
        <v/>
      </c>
      <c r="N11" s="474" t="str">
        <f t="shared" si="0"/>
        <v/>
      </c>
      <c r="O11" s="474" t="str">
        <f t="shared" si="0"/>
        <v/>
      </c>
      <c r="P11" s="474" t="str">
        <f t="shared" si="0"/>
        <v/>
      </c>
      <c r="Q11" s="403"/>
    </row>
    <row r="12" spans="1:25">
      <c r="A12" s="471" t="s">
        <v>1683</v>
      </c>
      <c r="B12" s="479">
        <v>42094</v>
      </c>
      <c r="C12" s="478" t="s">
        <v>2390</v>
      </c>
      <c r="D12" s="290">
        <v>1001</v>
      </c>
      <c r="E12" s="287" t="s">
        <v>2391</v>
      </c>
      <c r="F12" s="288">
        <v>195</v>
      </c>
      <c r="G12" s="289">
        <v>48</v>
      </c>
      <c r="H12" s="289">
        <v>2</v>
      </c>
      <c r="I12" s="289"/>
      <c r="J12" s="289"/>
      <c r="K12" s="289">
        <f t="shared" si="1"/>
        <v>145</v>
      </c>
      <c r="M12" s="474" t="str">
        <f t="shared" si="2"/>
        <v/>
      </c>
      <c r="N12" s="474" t="str">
        <f t="shared" si="0"/>
        <v/>
      </c>
      <c r="O12" s="474" t="str">
        <f t="shared" si="0"/>
        <v/>
      </c>
      <c r="P12" s="474" t="str">
        <f t="shared" si="0"/>
        <v/>
      </c>
      <c r="Q12" s="403"/>
    </row>
    <row r="13" spans="1:25">
      <c r="A13" s="471" t="s">
        <v>1683</v>
      </c>
      <c r="B13" s="479">
        <v>42128</v>
      </c>
      <c r="C13" s="293" t="s">
        <v>2390</v>
      </c>
      <c r="D13" s="290">
        <v>1001</v>
      </c>
      <c r="E13" s="287" t="s">
        <v>2391</v>
      </c>
      <c r="F13" s="288">
        <v>195</v>
      </c>
      <c r="G13" s="289">
        <v>48</v>
      </c>
      <c r="H13" s="289">
        <v>2</v>
      </c>
      <c r="I13" s="289"/>
      <c r="J13" s="289"/>
      <c r="K13" s="289">
        <f t="shared" si="1"/>
        <v>145</v>
      </c>
      <c r="M13" s="474" t="str">
        <f t="shared" si="2"/>
        <v/>
      </c>
      <c r="N13" s="474">
        <f t="shared" si="0"/>
        <v>145</v>
      </c>
      <c r="O13" s="474" t="str">
        <f t="shared" si="0"/>
        <v/>
      </c>
      <c r="P13" s="474" t="str">
        <f t="shared" si="0"/>
        <v/>
      </c>
      <c r="Q13" s="403"/>
      <c r="R13">
        <v>2</v>
      </c>
      <c r="S13" t="s">
        <v>2413</v>
      </c>
    </row>
    <row r="14" spans="1:25">
      <c r="A14" s="471" t="s">
        <v>1683</v>
      </c>
      <c r="B14" s="472">
        <v>42156</v>
      </c>
      <c r="C14" s="478" t="s">
        <v>2390</v>
      </c>
      <c r="D14" s="290">
        <v>1001</v>
      </c>
      <c r="E14" s="287" t="s">
        <v>2391</v>
      </c>
      <c r="F14" s="288">
        <v>195</v>
      </c>
      <c r="G14" s="289">
        <v>48</v>
      </c>
      <c r="H14" s="289">
        <v>2</v>
      </c>
      <c r="I14" s="289"/>
      <c r="J14" s="289"/>
      <c r="K14" s="289">
        <f t="shared" si="1"/>
        <v>145</v>
      </c>
      <c r="M14" s="474" t="str">
        <f t="shared" si="2"/>
        <v/>
      </c>
      <c r="N14" s="474" t="str">
        <f t="shared" si="0"/>
        <v/>
      </c>
      <c r="O14" s="474">
        <f t="shared" si="0"/>
        <v>145</v>
      </c>
      <c r="P14" s="474" t="str">
        <f t="shared" si="0"/>
        <v/>
      </c>
      <c r="X14" t="s">
        <v>1</v>
      </c>
      <c r="Y14" t="s">
        <v>184</v>
      </c>
    </row>
    <row r="15" spans="1:25">
      <c r="A15" s="471" t="s">
        <v>1683</v>
      </c>
      <c r="B15" s="479">
        <v>42102</v>
      </c>
      <c r="C15" s="442">
        <v>957550260111</v>
      </c>
      <c r="D15" s="290">
        <v>50260111</v>
      </c>
      <c r="E15" s="287" t="s">
        <v>2392</v>
      </c>
      <c r="F15" s="288">
        <v>184</v>
      </c>
      <c r="G15" s="289">
        <v>26</v>
      </c>
      <c r="H15" s="289">
        <v>2</v>
      </c>
      <c r="I15" s="289"/>
      <c r="J15" s="289">
        <v>75</v>
      </c>
      <c r="K15" s="289">
        <f t="shared" si="1"/>
        <v>156</v>
      </c>
      <c r="M15" s="474">
        <f t="shared" si="2"/>
        <v>156</v>
      </c>
      <c r="N15" s="474" t="str">
        <f t="shared" si="0"/>
        <v/>
      </c>
      <c r="O15" s="474" t="str">
        <f t="shared" si="0"/>
        <v/>
      </c>
      <c r="P15" s="474" t="str">
        <f t="shared" si="0"/>
        <v/>
      </c>
      <c r="Q15">
        <v>1</v>
      </c>
      <c r="T15" t="str">
        <f>IF(U15="","",LEFT(U15,4))</f>
        <v>jdj1</v>
      </c>
      <c r="U15" t="str">
        <f>IF(AND($Q15="",$R15=""),"",VLOOKUP($D15,Sales!$D$3:$FS$31,2,FALSE))</f>
        <v>jdj1/1001</v>
      </c>
      <c r="V15">
        <f>IF($Q15="","",VLOOKUP($D$16,Sales!$D$3:$FS$31,168,FALSE))</f>
        <v>83.5</v>
      </c>
      <c r="W15" t="str">
        <f>IF($R15="","",VLOOKUP($D$16,Sales!$D$3:$FS$31,169,FALSE))</f>
        <v/>
      </c>
      <c r="X15" s="197">
        <f>IF(AND($Q15="",$R15=""),"",IF($Q15="",$W15*40%,$V15*20%))</f>
        <v>16.7</v>
      </c>
      <c r="Y15" s="197">
        <f>IF(AND($Q15="",$R15=""),"",IF($Q15="",$W15*60%,$V15*80%))</f>
        <v>66.8</v>
      </c>
    </row>
    <row r="16" spans="1:25">
      <c r="A16" s="471" t="s">
        <v>1683</v>
      </c>
      <c r="B16" s="479">
        <v>42128</v>
      </c>
      <c r="C16" s="442">
        <v>957550260111</v>
      </c>
      <c r="D16" s="290">
        <v>50260111</v>
      </c>
      <c r="E16" s="287" t="s">
        <v>2392</v>
      </c>
      <c r="F16" s="288">
        <v>109</v>
      </c>
      <c r="G16" s="289">
        <v>26</v>
      </c>
      <c r="H16" s="289">
        <v>2</v>
      </c>
      <c r="I16" s="289"/>
      <c r="J16" s="289"/>
      <c r="K16" s="289">
        <f t="shared" si="1"/>
        <v>81</v>
      </c>
      <c r="M16" s="474" t="str">
        <f t="shared" si="2"/>
        <v/>
      </c>
      <c r="N16" s="474">
        <f t="shared" si="0"/>
        <v>81</v>
      </c>
      <c r="O16" s="474" t="str">
        <f t="shared" si="0"/>
        <v/>
      </c>
      <c r="P16" s="474" t="str">
        <f t="shared" si="0"/>
        <v/>
      </c>
      <c r="R16">
        <v>1</v>
      </c>
      <c r="T16" t="str">
        <f t="shared" ref="T16:T50" si="3">IF(U16="","",LEFT(U16,4))</f>
        <v>jdj1</v>
      </c>
      <c r="U16" t="str">
        <f>IF(AND($Q16="",$R16=""),"",VLOOKUP($D16,Sales!$D$3:$FS$31,2,FALSE))</f>
        <v>jdj1/1001</v>
      </c>
      <c r="V16" t="str">
        <f>IF($Q16="","",VLOOKUP($D$16,Sales!$D$3:$FS$31,168,FALSE))</f>
        <v/>
      </c>
      <c r="W16">
        <f>IF($R16="","",VLOOKUP($D$16,Sales!$D$3:$FS$31,169,FALSE))</f>
        <v>21</v>
      </c>
      <c r="X16" s="197">
        <f t="shared" ref="X16:X50" si="4">IF(AND($Q16="",$R16=""),"",IF($Q16="",$W16*40%,$V16*20%))</f>
        <v>8.4</v>
      </c>
      <c r="Y16" s="197">
        <f t="shared" ref="Y16:Y50" si="5">IF(AND($Q16="",$R16=""),"",IF($Q16="",$W16*60%,$V16*80%))</f>
        <v>12.6</v>
      </c>
    </row>
    <row r="17" spans="1:25">
      <c r="A17" s="471" t="s">
        <v>1683</v>
      </c>
      <c r="B17" s="472">
        <v>42186</v>
      </c>
      <c r="C17" s="442">
        <v>957550260111</v>
      </c>
      <c r="D17" s="290">
        <v>50260111</v>
      </c>
      <c r="E17" s="287" t="s">
        <v>2392</v>
      </c>
      <c r="F17" s="288">
        <v>159</v>
      </c>
      <c r="G17" s="289">
        <v>26</v>
      </c>
      <c r="H17" s="289">
        <v>2</v>
      </c>
      <c r="I17" s="289">
        <v>42</v>
      </c>
      <c r="J17" s="289"/>
      <c r="K17" s="289">
        <f t="shared" si="1"/>
        <v>89</v>
      </c>
      <c r="M17" s="474" t="str">
        <f t="shared" si="2"/>
        <v/>
      </c>
      <c r="N17" s="474" t="str">
        <f t="shared" si="0"/>
        <v/>
      </c>
      <c r="O17" s="474" t="str">
        <f t="shared" si="0"/>
        <v/>
      </c>
      <c r="P17" s="474">
        <f t="shared" si="0"/>
        <v>89</v>
      </c>
      <c r="R17">
        <v>1</v>
      </c>
      <c r="T17" t="str">
        <f t="shared" si="3"/>
        <v>jdj1</v>
      </c>
      <c r="U17" t="str">
        <f>IF(AND($Q17="",$R17=""),"",VLOOKUP($D17,Sales!$D$3:$FS$31,2,FALSE))</f>
        <v>jdj1/1001</v>
      </c>
      <c r="V17" t="str">
        <f>IF($Q17="","",VLOOKUP($D$16,Sales!$D$3:$FS$31,168,FALSE))</f>
        <v/>
      </c>
      <c r="W17">
        <f>IF($R17="","",VLOOKUP($D$16,Sales!$D$3:$FS$31,169,FALSE))</f>
        <v>21</v>
      </c>
      <c r="X17" s="197">
        <f t="shared" si="4"/>
        <v>8.4</v>
      </c>
      <c r="Y17" s="197">
        <f t="shared" si="5"/>
        <v>12.6</v>
      </c>
    </row>
    <row r="18" spans="1:25">
      <c r="A18" s="471" t="s">
        <v>1683</v>
      </c>
      <c r="B18" s="472">
        <v>42156</v>
      </c>
      <c r="C18" s="293">
        <v>957550260111</v>
      </c>
      <c r="D18" s="290">
        <v>50260111</v>
      </c>
      <c r="E18" s="287" t="s">
        <v>2392</v>
      </c>
      <c r="F18" s="288">
        <v>159</v>
      </c>
      <c r="G18" s="289">
        <v>26</v>
      </c>
      <c r="H18" s="289">
        <v>2</v>
      </c>
      <c r="I18" s="289">
        <v>42</v>
      </c>
      <c r="J18" s="289"/>
      <c r="K18" s="289">
        <f t="shared" si="1"/>
        <v>89</v>
      </c>
      <c r="M18" s="474" t="str">
        <f t="shared" si="2"/>
        <v/>
      </c>
      <c r="N18" s="474" t="str">
        <f t="shared" si="2"/>
        <v/>
      </c>
      <c r="O18" s="474">
        <f t="shared" si="2"/>
        <v>89</v>
      </c>
      <c r="P18" s="474" t="str">
        <f t="shared" si="2"/>
        <v/>
      </c>
      <c r="R18">
        <v>1</v>
      </c>
      <c r="T18" t="str">
        <f t="shared" si="3"/>
        <v>jdj1</v>
      </c>
      <c r="U18" t="str">
        <f>IF(AND($Q18="",$R18=""),"",VLOOKUP($D18,Sales!$D$3:$FS$31,2,FALSE))</f>
        <v>jdj1/1001</v>
      </c>
      <c r="V18" t="str">
        <f>IF($Q18="","",VLOOKUP($D$16,Sales!$D$3:$FS$31,168,FALSE))</f>
        <v/>
      </c>
      <c r="W18">
        <f>IF($R18="","",VLOOKUP($D$16,Sales!$D$3:$FS$31,169,FALSE))</f>
        <v>21</v>
      </c>
      <c r="X18" s="197">
        <f t="shared" si="4"/>
        <v>8.4</v>
      </c>
      <c r="Y18" s="197">
        <f t="shared" si="5"/>
        <v>12.6</v>
      </c>
    </row>
    <row r="19" spans="1:25">
      <c r="A19" s="471" t="s">
        <v>1683</v>
      </c>
      <c r="B19" s="472">
        <v>42156</v>
      </c>
      <c r="C19" s="293">
        <v>957550260129</v>
      </c>
      <c r="D19" s="290">
        <v>50260129</v>
      </c>
      <c r="E19" s="287" t="s">
        <v>2393</v>
      </c>
      <c r="F19" s="288">
        <v>200</v>
      </c>
      <c r="G19" s="289">
        <v>26</v>
      </c>
      <c r="H19" s="289">
        <v>2</v>
      </c>
      <c r="I19" s="289"/>
      <c r="J19" s="289">
        <v>75</v>
      </c>
      <c r="K19" s="289">
        <f t="shared" si="1"/>
        <v>172</v>
      </c>
      <c r="M19" s="474" t="str">
        <f t="shared" si="2"/>
        <v/>
      </c>
      <c r="N19" s="474" t="str">
        <f t="shared" si="2"/>
        <v/>
      </c>
      <c r="O19" s="474">
        <f t="shared" si="2"/>
        <v>172</v>
      </c>
      <c r="P19" s="474" t="str">
        <f t="shared" si="2"/>
        <v/>
      </c>
      <c r="Q19">
        <v>1</v>
      </c>
      <c r="T19" t="str">
        <f t="shared" si="3"/>
        <v>jdj1</v>
      </c>
      <c r="U19" t="str">
        <f>IF(AND($Q19="",$R19=""),"",VLOOKUP($D19,Sales!$D$3:$FS$31,2,FALSE))</f>
        <v>jdj1/1001</v>
      </c>
      <c r="V19">
        <f>IF($Q19="","",VLOOKUP($D$16,Sales!$D$3:$FS$31,168,FALSE))</f>
        <v>83.5</v>
      </c>
      <c r="W19" t="str">
        <f>IF($R19="","",VLOOKUP($D$16,Sales!$D$3:$FS$31,169,FALSE))</f>
        <v/>
      </c>
      <c r="X19" s="197">
        <f t="shared" si="4"/>
        <v>16.7</v>
      </c>
      <c r="Y19" s="197">
        <f t="shared" si="5"/>
        <v>66.8</v>
      </c>
    </row>
    <row r="20" spans="1:25">
      <c r="A20" s="471" t="s">
        <v>1683</v>
      </c>
      <c r="B20" s="472">
        <v>42186</v>
      </c>
      <c r="C20" s="293">
        <v>957550260129</v>
      </c>
      <c r="D20" s="290">
        <v>50260129</v>
      </c>
      <c r="E20" s="287" t="s">
        <v>2393</v>
      </c>
      <c r="F20" s="288">
        <v>125</v>
      </c>
      <c r="G20" s="289">
        <v>26</v>
      </c>
      <c r="H20" s="289">
        <v>2</v>
      </c>
      <c r="I20" s="289"/>
      <c r="J20" s="289"/>
      <c r="K20" s="289">
        <f t="shared" si="1"/>
        <v>97</v>
      </c>
      <c r="M20" s="474" t="str">
        <f t="shared" si="2"/>
        <v/>
      </c>
      <c r="N20" s="474" t="str">
        <f t="shared" si="2"/>
        <v/>
      </c>
      <c r="O20" s="474" t="str">
        <f t="shared" si="2"/>
        <v/>
      </c>
      <c r="P20" s="474">
        <f t="shared" si="2"/>
        <v>97</v>
      </c>
      <c r="R20">
        <v>1</v>
      </c>
      <c r="T20" t="str">
        <f t="shared" si="3"/>
        <v>jdj1</v>
      </c>
      <c r="U20" t="str">
        <f>IF(AND($Q20="",$R20=""),"",VLOOKUP($D20,Sales!$D$3:$FS$31,2,FALSE))</f>
        <v>jdj1/1001</v>
      </c>
      <c r="V20" t="str">
        <f>IF($Q20="","",VLOOKUP($D$16,Sales!$D$3:$FS$31,168,FALSE))</f>
        <v/>
      </c>
      <c r="W20">
        <f>IF($R20="","",VLOOKUP($D$16,Sales!$D$3:$FS$31,169,FALSE))</f>
        <v>21</v>
      </c>
      <c r="X20" s="197">
        <f t="shared" si="4"/>
        <v>8.4</v>
      </c>
      <c r="Y20" s="197">
        <f t="shared" si="5"/>
        <v>12.6</v>
      </c>
    </row>
    <row r="21" spans="1:25">
      <c r="A21" s="471" t="s">
        <v>1683</v>
      </c>
      <c r="B21" s="472">
        <v>42156</v>
      </c>
      <c r="C21" s="293">
        <v>957550260145</v>
      </c>
      <c r="D21" s="290">
        <v>50260145</v>
      </c>
      <c r="E21" s="287" t="s">
        <v>2394</v>
      </c>
      <c r="F21" s="288">
        <v>200</v>
      </c>
      <c r="G21" s="289">
        <v>26</v>
      </c>
      <c r="H21" s="289">
        <v>2</v>
      </c>
      <c r="I21" s="289"/>
      <c r="J21" s="289">
        <v>75</v>
      </c>
      <c r="K21" s="289">
        <f t="shared" si="1"/>
        <v>172</v>
      </c>
      <c r="M21" s="474" t="str">
        <f t="shared" si="2"/>
        <v/>
      </c>
      <c r="N21" s="474" t="str">
        <f t="shared" si="2"/>
        <v/>
      </c>
      <c r="O21" s="474">
        <f t="shared" si="2"/>
        <v>172</v>
      </c>
      <c r="P21" s="474" t="str">
        <f t="shared" si="2"/>
        <v/>
      </c>
      <c r="Q21">
        <v>1</v>
      </c>
      <c r="T21" t="str">
        <f t="shared" si="3"/>
        <v>jdj1</v>
      </c>
      <c r="U21" t="str">
        <f>IF(AND($Q21="",$R21=""),"",VLOOKUP($D21,Sales!$D$3:$FS$31,2,FALSE))</f>
        <v>jdj1/1004</v>
      </c>
      <c r="V21">
        <f>IF($Q21="","",VLOOKUP($D$16,Sales!$D$3:$FS$31,168,FALSE))</f>
        <v>83.5</v>
      </c>
      <c r="W21" t="str">
        <f>IF($R21="","",VLOOKUP($D$16,Sales!$D$3:$FS$31,169,FALSE))</f>
        <v/>
      </c>
      <c r="X21" s="197">
        <f t="shared" si="4"/>
        <v>16.7</v>
      </c>
      <c r="Y21" s="197">
        <f t="shared" si="5"/>
        <v>66.8</v>
      </c>
    </row>
    <row r="22" spans="1:25">
      <c r="A22" s="471" t="s">
        <v>1683</v>
      </c>
      <c r="B22" s="472">
        <v>42186</v>
      </c>
      <c r="C22" s="293">
        <v>957550260145</v>
      </c>
      <c r="D22" s="290">
        <v>50260145</v>
      </c>
      <c r="E22" s="287" t="s">
        <v>2394</v>
      </c>
      <c r="F22" s="288">
        <v>125</v>
      </c>
      <c r="G22" s="289">
        <v>26</v>
      </c>
      <c r="H22" s="289">
        <v>2</v>
      </c>
      <c r="I22" s="289"/>
      <c r="J22" s="289"/>
      <c r="K22" s="289">
        <f t="shared" si="1"/>
        <v>97</v>
      </c>
      <c r="M22" s="474" t="str">
        <f t="shared" si="2"/>
        <v/>
      </c>
      <c r="N22" s="474" t="str">
        <f t="shared" si="2"/>
        <v/>
      </c>
      <c r="O22" s="474" t="str">
        <f t="shared" si="2"/>
        <v/>
      </c>
      <c r="P22" s="474">
        <f t="shared" si="2"/>
        <v>97</v>
      </c>
      <c r="R22">
        <v>1</v>
      </c>
      <c r="T22" t="str">
        <f t="shared" si="3"/>
        <v>jdj1</v>
      </c>
      <c r="U22" t="str">
        <f>IF(AND($Q22="",$R22=""),"",VLOOKUP($D22,Sales!$D$3:$FS$31,2,FALSE))</f>
        <v>jdj1/1004</v>
      </c>
      <c r="V22" t="str">
        <f>IF($Q22="","",VLOOKUP($D$16,Sales!$D$3:$FS$31,168,FALSE))</f>
        <v/>
      </c>
      <c r="W22">
        <f>IF($R22="","",VLOOKUP($D$16,Sales!$D$3:$FS$31,169,FALSE))</f>
        <v>21</v>
      </c>
      <c r="X22" s="197">
        <f t="shared" si="4"/>
        <v>8.4</v>
      </c>
      <c r="Y22" s="197">
        <f t="shared" si="5"/>
        <v>12.6</v>
      </c>
    </row>
    <row r="23" spans="1:25">
      <c r="A23" s="471" t="s">
        <v>1683</v>
      </c>
      <c r="B23" s="479">
        <v>42095</v>
      </c>
      <c r="C23" s="442">
        <v>957550260319</v>
      </c>
      <c r="D23" s="290">
        <v>50260319</v>
      </c>
      <c r="E23" s="287" t="s">
        <v>2395</v>
      </c>
      <c r="F23" s="288">
        <v>184</v>
      </c>
      <c r="G23" s="289">
        <v>26</v>
      </c>
      <c r="H23" s="480">
        <v>2</v>
      </c>
      <c r="I23" s="291"/>
      <c r="J23" s="288">
        <v>75</v>
      </c>
      <c r="K23" s="289">
        <f t="shared" si="1"/>
        <v>156</v>
      </c>
      <c r="M23" s="474">
        <f t="shared" si="2"/>
        <v>156</v>
      </c>
      <c r="N23" s="474" t="str">
        <f t="shared" si="2"/>
        <v/>
      </c>
      <c r="O23" s="474" t="str">
        <f t="shared" si="2"/>
        <v/>
      </c>
      <c r="P23" s="474" t="str">
        <f t="shared" si="2"/>
        <v/>
      </c>
      <c r="T23" t="str">
        <f t="shared" si="3"/>
        <v/>
      </c>
      <c r="U23" t="str">
        <f>IF(AND($Q23="",$R23=""),"",VLOOKUP($D23,Sales!$D$3:$FS$31,2,FALSE))</f>
        <v/>
      </c>
      <c r="V23" t="str">
        <f>IF($Q23="","",VLOOKUP($D$16,Sales!$D$3:$FS$31,168,FALSE))</f>
        <v/>
      </c>
      <c r="W23" t="str">
        <f>IF($R23="","",VLOOKUP($D$16,Sales!$D$3:$FS$31,169,FALSE))</f>
        <v/>
      </c>
      <c r="X23" s="197" t="str">
        <f t="shared" si="4"/>
        <v/>
      </c>
      <c r="Y23" s="197" t="str">
        <f t="shared" si="5"/>
        <v/>
      </c>
    </row>
    <row r="24" spans="1:25">
      <c r="A24" s="471" t="s">
        <v>1683</v>
      </c>
      <c r="B24" s="472">
        <v>42128</v>
      </c>
      <c r="C24" s="293">
        <v>957550260319</v>
      </c>
      <c r="D24" s="290">
        <v>50260319</v>
      </c>
      <c r="E24" s="287" t="s">
        <v>2395</v>
      </c>
      <c r="F24" s="288">
        <v>109</v>
      </c>
      <c r="G24" s="289">
        <v>26</v>
      </c>
      <c r="H24" s="289">
        <v>2</v>
      </c>
      <c r="I24" s="289"/>
      <c r="J24" s="289"/>
      <c r="K24" s="289">
        <f t="shared" si="1"/>
        <v>81</v>
      </c>
      <c r="M24" s="474" t="str">
        <f t="shared" si="2"/>
        <v/>
      </c>
      <c r="N24" s="474">
        <f t="shared" si="2"/>
        <v>81</v>
      </c>
      <c r="O24" s="474" t="str">
        <f t="shared" si="2"/>
        <v/>
      </c>
      <c r="P24" s="474" t="str">
        <f t="shared" si="2"/>
        <v/>
      </c>
      <c r="T24" t="str">
        <f t="shared" si="3"/>
        <v/>
      </c>
      <c r="U24" t="str">
        <f>IF(AND($Q24="",$R24=""),"",VLOOKUP($D24,Sales!$D$3:$FS$31,2,FALSE))</f>
        <v/>
      </c>
      <c r="V24" t="str">
        <f>IF($Q24="","",VLOOKUP($D$16,Sales!$D$3:$FS$31,168,FALSE))</f>
        <v/>
      </c>
      <c r="W24" t="str">
        <f>IF($R24="","",VLOOKUP($D$16,Sales!$D$3:$FS$31,169,FALSE))</f>
        <v/>
      </c>
      <c r="X24" s="197" t="str">
        <f t="shared" si="4"/>
        <v/>
      </c>
      <c r="Y24" s="197" t="str">
        <f t="shared" si="5"/>
        <v/>
      </c>
    </row>
    <row r="25" spans="1:25">
      <c r="A25" s="471" t="s">
        <v>1683</v>
      </c>
      <c r="B25" s="479">
        <v>42156</v>
      </c>
      <c r="C25" s="442">
        <v>957550260319</v>
      </c>
      <c r="D25" s="290">
        <v>50260319</v>
      </c>
      <c r="E25" s="287" t="s">
        <v>2395</v>
      </c>
      <c r="F25" s="288">
        <v>109</v>
      </c>
      <c r="G25" s="289">
        <v>26</v>
      </c>
      <c r="H25" s="289">
        <v>2</v>
      </c>
      <c r="I25" s="289"/>
      <c r="J25" s="289"/>
      <c r="K25" s="289">
        <f t="shared" si="1"/>
        <v>81</v>
      </c>
      <c r="M25" s="474" t="str">
        <f t="shared" si="2"/>
        <v/>
      </c>
      <c r="N25" s="474" t="str">
        <f t="shared" si="2"/>
        <v/>
      </c>
      <c r="O25" s="474">
        <f t="shared" si="2"/>
        <v>81</v>
      </c>
      <c r="P25" s="474" t="str">
        <f t="shared" si="2"/>
        <v/>
      </c>
      <c r="T25" t="str">
        <f t="shared" si="3"/>
        <v/>
      </c>
      <c r="U25" t="str">
        <f>IF(AND($Q25="",$R25=""),"",VLOOKUP($D25,Sales!$D$3:$FS$31,2,FALSE))</f>
        <v/>
      </c>
      <c r="V25" t="str">
        <f>IF($Q25="","",VLOOKUP($D$16,Sales!$D$3:$FS$31,168,FALSE))</f>
        <v/>
      </c>
      <c r="W25" t="str">
        <f>IF($R25="","",VLOOKUP($D$16,Sales!$D$3:$FS$31,169,FALSE))</f>
        <v/>
      </c>
      <c r="X25" s="197" t="str">
        <f t="shared" si="4"/>
        <v/>
      </c>
      <c r="Y25" s="197" t="str">
        <f t="shared" si="5"/>
        <v/>
      </c>
    </row>
    <row r="26" spans="1:25">
      <c r="A26" s="486" t="s">
        <v>2416</v>
      </c>
      <c r="B26" s="479">
        <v>42136</v>
      </c>
      <c r="C26" s="442">
        <v>957550260517</v>
      </c>
      <c r="D26" s="290">
        <v>50260517</v>
      </c>
      <c r="E26" s="287" t="s">
        <v>2396</v>
      </c>
      <c r="F26" s="288">
        <v>98</v>
      </c>
      <c r="G26" s="289">
        <v>20</v>
      </c>
      <c r="H26" s="289">
        <v>2</v>
      </c>
      <c r="I26" s="289"/>
      <c r="J26" s="289">
        <v>50</v>
      </c>
      <c r="K26" s="289">
        <f t="shared" si="1"/>
        <v>76</v>
      </c>
      <c r="M26" s="474" t="str">
        <f t="shared" si="2"/>
        <v/>
      </c>
      <c r="N26" s="474">
        <f t="shared" si="2"/>
        <v>76</v>
      </c>
      <c r="O26" s="474" t="str">
        <f t="shared" si="2"/>
        <v/>
      </c>
      <c r="P26" s="474" t="str">
        <f t="shared" si="2"/>
        <v/>
      </c>
      <c r="Q26">
        <v>1</v>
      </c>
      <c r="T26" t="str">
        <f t="shared" si="3"/>
        <v>cdr1</v>
      </c>
      <c r="U26" t="str">
        <f>IF(AND($Q26="",$R26=""),"",VLOOKUP($D26,Sales!$D$3:$FS$31,2,FALSE))</f>
        <v>cdr1/1001</v>
      </c>
      <c r="V26">
        <f>IF($Q26="","",VLOOKUP($D$16,Sales!$D$3:$FS$31,168,FALSE))</f>
        <v>83.5</v>
      </c>
      <c r="W26" t="str">
        <f>IF($R26="","",VLOOKUP($D$16,Sales!$D$3:$FS$31,169,FALSE))</f>
        <v/>
      </c>
      <c r="X26" s="197">
        <f t="shared" si="4"/>
        <v>16.7</v>
      </c>
      <c r="Y26" s="197">
        <f t="shared" si="5"/>
        <v>66.8</v>
      </c>
    </row>
    <row r="27" spans="1:25">
      <c r="A27" s="471" t="s">
        <v>1683</v>
      </c>
      <c r="B27" s="472">
        <v>42156</v>
      </c>
      <c r="C27" s="290">
        <v>957550260517</v>
      </c>
      <c r="D27" s="290">
        <v>50260517</v>
      </c>
      <c r="E27" s="287" t="s">
        <v>2396</v>
      </c>
      <c r="F27" s="288">
        <v>48</v>
      </c>
      <c r="G27" s="289">
        <v>20</v>
      </c>
      <c r="H27" s="289">
        <v>2</v>
      </c>
      <c r="I27" s="289"/>
      <c r="J27" s="289"/>
      <c r="K27" s="289">
        <f t="shared" si="1"/>
        <v>26</v>
      </c>
      <c r="M27" s="474" t="str">
        <f t="shared" si="2"/>
        <v/>
      </c>
      <c r="N27" s="474"/>
      <c r="O27" s="474">
        <f t="shared" si="2"/>
        <v>26</v>
      </c>
      <c r="P27" s="474" t="str">
        <f t="shared" si="2"/>
        <v/>
      </c>
      <c r="R27">
        <v>1</v>
      </c>
      <c r="T27" t="str">
        <f t="shared" si="3"/>
        <v>cdr1</v>
      </c>
      <c r="U27" t="str">
        <f>IF(AND($Q27="",$R27=""),"",VLOOKUP($D27,Sales!$D$3:$FS$31,2,FALSE))</f>
        <v>cdr1/1001</v>
      </c>
      <c r="V27" t="str">
        <f>IF($Q27="","",VLOOKUP($D$16,Sales!$D$3:$FS$31,168,FALSE))</f>
        <v/>
      </c>
      <c r="W27">
        <f>IF($R27="","",VLOOKUP($D$16,Sales!$D$3:$FS$31,169,FALSE))</f>
        <v>21</v>
      </c>
      <c r="X27" s="197">
        <f t="shared" si="4"/>
        <v>8.4</v>
      </c>
      <c r="Y27" s="197">
        <f t="shared" si="5"/>
        <v>12.6</v>
      </c>
    </row>
    <row r="28" spans="1:25">
      <c r="A28" s="471" t="s">
        <v>1683</v>
      </c>
      <c r="B28" s="472">
        <v>42186</v>
      </c>
      <c r="C28" s="290">
        <v>957550260517</v>
      </c>
      <c r="D28" s="290">
        <v>50260517</v>
      </c>
      <c r="E28" s="287" t="s">
        <v>2396</v>
      </c>
      <c r="F28" s="288">
        <v>48</v>
      </c>
      <c r="G28" s="289">
        <v>20</v>
      </c>
      <c r="H28" s="289">
        <v>2</v>
      </c>
      <c r="I28" s="289"/>
      <c r="J28" s="289"/>
      <c r="K28" s="289">
        <f t="shared" si="1"/>
        <v>26</v>
      </c>
      <c r="M28" s="474" t="str">
        <f t="shared" si="2"/>
        <v/>
      </c>
      <c r="N28" s="474" t="str">
        <f t="shared" si="2"/>
        <v/>
      </c>
      <c r="O28" s="474" t="str">
        <f t="shared" si="2"/>
        <v/>
      </c>
      <c r="P28" s="474">
        <f t="shared" si="2"/>
        <v>26</v>
      </c>
      <c r="R28">
        <v>1</v>
      </c>
      <c r="T28" t="str">
        <f t="shared" si="3"/>
        <v>cdr1</v>
      </c>
      <c r="U28" t="str">
        <f>IF(AND($Q28="",$R28=""),"",VLOOKUP($D28,Sales!$D$3:$FS$31,2,FALSE))</f>
        <v>cdr1/1001</v>
      </c>
      <c r="V28" t="str">
        <f>IF($Q28="","",VLOOKUP($D$16,Sales!$D$3:$FS$31,168,FALSE))</f>
        <v/>
      </c>
      <c r="W28">
        <f>IF($R28="","",VLOOKUP($D$16,Sales!$D$3:$FS$31,169,FALSE))</f>
        <v>21</v>
      </c>
      <c r="X28" s="197">
        <f t="shared" si="4"/>
        <v>8.4</v>
      </c>
      <c r="Y28" s="197">
        <f t="shared" si="5"/>
        <v>12.6</v>
      </c>
    </row>
    <row r="29" spans="1:25">
      <c r="A29" s="294" t="s">
        <v>1688</v>
      </c>
      <c r="B29" s="472">
        <v>42157</v>
      </c>
      <c r="C29" s="286">
        <v>957550181622</v>
      </c>
      <c r="D29" s="290">
        <v>50181622</v>
      </c>
      <c r="E29" s="294" t="s">
        <v>1689</v>
      </c>
      <c r="F29" s="481">
        <v>78</v>
      </c>
      <c r="G29" s="289"/>
      <c r="H29" s="289"/>
      <c r="I29" s="289"/>
      <c r="J29" s="289"/>
      <c r="K29" s="289">
        <f t="shared" si="1"/>
        <v>78</v>
      </c>
      <c r="L29" s="197">
        <v>78</v>
      </c>
      <c r="M29" s="474" t="str">
        <f t="shared" si="2"/>
        <v/>
      </c>
      <c r="N29" s="474" t="str">
        <f t="shared" si="2"/>
        <v/>
      </c>
      <c r="O29" s="474">
        <f t="shared" si="2"/>
        <v>78</v>
      </c>
      <c r="P29" s="474" t="str">
        <f t="shared" si="2"/>
        <v/>
      </c>
      <c r="Q29" s="403"/>
      <c r="T29" t="str">
        <f t="shared" si="3"/>
        <v/>
      </c>
      <c r="U29" t="str">
        <f>IF(AND($Q29="",$R29=""),"",VLOOKUP($D29,Sales!$D$3:$FS$31,2,FALSE))</f>
        <v/>
      </c>
      <c r="V29" t="str">
        <f>IF($Q29="","",VLOOKUP($D$16,Sales!$D$3:$FS$31,168,FALSE))</f>
        <v/>
      </c>
      <c r="W29" t="str">
        <f>IF($R29="","",VLOOKUP($D$16,Sales!$D$3:$FS$31,169,FALSE))</f>
        <v/>
      </c>
      <c r="X29" s="197" t="str">
        <f t="shared" si="4"/>
        <v/>
      </c>
      <c r="Y29" s="197" t="str">
        <f t="shared" si="5"/>
        <v/>
      </c>
    </row>
    <row r="30" spans="1:25">
      <c r="A30" s="296" t="s">
        <v>1688</v>
      </c>
      <c r="B30" s="295" t="s">
        <v>2397</v>
      </c>
      <c r="C30" s="286">
        <v>957550181630</v>
      </c>
      <c r="D30" s="290">
        <v>50181630</v>
      </c>
      <c r="E30" s="294" t="s">
        <v>1689</v>
      </c>
      <c r="F30" s="481">
        <v>78</v>
      </c>
      <c r="G30" s="289"/>
      <c r="H30" s="289"/>
      <c r="I30" s="289"/>
      <c r="J30" s="289"/>
      <c r="K30" s="289">
        <f t="shared" si="1"/>
        <v>78</v>
      </c>
      <c r="L30" s="197">
        <v>78</v>
      </c>
      <c r="M30" s="474" t="str">
        <f t="shared" si="2"/>
        <v/>
      </c>
      <c r="N30" s="474" t="str">
        <f t="shared" si="2"/>
        <v/>
      </c>
      <c r="O30" s="474">
        <f t="shared" si="2"/>
        <v>78</v>
      </c>
      <c r="P30" s="474" t="str">
        <f t="shared" si="2"/>
        <v/>
      </c>
      <c r="Q30" s="403"/>
      <c r="T30" t="str">
        <f t="shared" si="3"/>
        <v/>
      </c>
      <c r="U30" t="str">
        <f>IF(AND($Q30="",$R30=""),"",VLOOKUP($D30,Sales!$D$3:$FS$31,2,FALSE))</f>
        <v/>
      </c>
      <c r="V30" t="str">
        <f>IF($Q30="","",VLOOKUP($D$16,Sales!$D$3:$FS$31,168,FALSE))</f>
        <v/>
      </c>
      <c r="W30" t="str">
        <f>IF($R30="","",VLOOKUP($D$16,Sales!$D$3:$FS$31,169,FALSE))</f>
        <v/>
      </c>
      <c r="X30" s="197" t="str">
        <f t="shared" si="4"/>
        <v/>
      </c>
      <c r="Y30" s="197" t="str">
        <f t="shared" si="5"/>
        <v/>
      </c>
    </row>
    <row r="31" spans="1:25">
      <c r="A31" s="294" t="s">
        <v>1688</v>
      </c>
      <c r="B31" s="295" t="s">
        <v>2397</v>
      </c>
      <c r="C31" s="286">
        <v>957550181952</v>
      </c>
      <c r="D31" s="290">
        <v>50181952</v>
      </c>
      <c r="E31" s="294" t="s">
        <v>1689</v>
      </c>
      <c r="F31" s="481">
        <v>78</v>
      </c>
      <c r="G31" s="289"/>
      <c r="H31" s="289"/>
      <c r="I31" s="289"/>
      <c r="J31" s="289"/>
      <c r="K31" s="289">
        <f t="shared" si="1"/>
        <v>78</v>
      </c>
      <c r="L31" s="197">
        <v>78</v>
      </c>
      <c r="M31" s="474" t="str">
        <f t="shared" si="2"/>
        <v/>
      </c>
      <c r="N31" s="474" t="str">
        <f t="shared" si="2"/>
        <v/>
      </c>
      <c r="O31" s="474">
        <f t="shared" si="2"/>
        <v>78</v>
      </c>
      <c r="P31" s="474" t="str">
        <f t="shared" si="2"/>
        <v/>
      </c>
      <c r="Q31" s="403"/>
      <c r="T31" t="str">
        <f t="shared" si="3"/>
        <v/>
      </c>
      <c r="U31" t="str">
        <f>IF(AND($Q31="",$R31=""),"",VLOOKUP($D31,Sales!$D$3:$FS$31,2,FALSE))</f>
        <v/>
      </c>
      <c r="V31" t="str">
        <f>IF($Q31="","",VLOOKUP($D$16,Sales!$D$3:$FS$31,168,FALSE))</f>
        <v/>
      </c>
      <c r="W31" t="str">
        <f>IF($R31="","",VLOOKUP($D$16,Sales!$D$3:$FS$31,169,FALSE))</f>
        <v/>
      </c>
      <c r="X31" s="197" t="str">
        <f t="shared" si="4"/>
        <v/>
      </c>
      <c r="Y31" s="197" t="str">
        <f t="shared" si="5"/>
        <v/>
      </c>
    </row>
    <row r="32" spans="1:25">
      <c r="A32" s="294" t="s">
        <v>1688</v>
      </c>
      <c r="B32" s="295" t="s">
        <v>2397</v>
      </c>
      <c r="C32" s="295">
        <v>957550182018</v>
      </c>
      <c r="D32" s="290">
        <v>50182018</v>
      </c>
      <c r="E32" s="294" t="s">
        <v>1690</v>
      </c>
      <c r="F32" s="482">
        <v>95</v>
      </c>
      <c r="G32" s="289">
        <v>48</v>
      </c>
      <c r="H32" s="289">
        <v>2</v>
      </c>
      <c r="I32" s="289"/>
      <c r="J32" s="289"/>
      <c r="K32" s="289">
        <f t="shared" si="1"/>
        <v>45</v>
      </c>
      <c r="L32" s="197"/>
      <c r="M32" s="474" t="str">
        <f t="shared" si="2"/>
        <v/>
      </c>
      <c r="N32" s="474" t="str">
        <f t="shared" si="2"/>
        <v/>
      </c>
      <c r="O32" s="474">
        <f t="shared" si="2"/>
        <v>45</v>
      </c>
      <c r="P32" s="474" t="str">
        <f t="shared" si="2"/>
        <v/>
      </c>
      <c r="Q32" s="403"/>
      <c r="T32" t="str">
        <f t="shared" si="3"/>
        <v/>
      </c>
      <c r="U32" t="str">
        <f>IF(AND($Q32="",$R32=""),"",VLOOKUP($D32,Sales!$D$3:$FS$31,2,FALSE))</f>
        <v/>
      </c>
      <c r="V32" t="str">
        <f>IF($Q32="","",VLOOKUP($D$16,Sales!$D$3:$FS$31,168,FALSE))</f>
        <v/>
      </c>
      <c r="W32" t="str">
        <f>IF($R32="","",VLOOKUP($D$16,Sales!$D$3:$FS$31,169,FALSE))</f>
        <v/>
      </c>
      <c r="X32" s="197" t="str">
        <f t="shared" si="4"/>
        <v/>
      </c>
      <c r="Y32" s="197" t="str">
        <f t="shared" si="5"/>
        <v/>
      </c>
    </row>
    <row r="33" spans="1:25">
      <c r="A33" s="294" t="s">
        <v>1688</v>
      </c>
      <c r="B33" s="295" t="s">
        <v>2397</v>
      </c>
      <c r="C33" s="295">
        <v>957550184238</v>
      </c>
      <c r="D33" s="290">
        <v>50184238</v>
      </c>
      <c r="E33" s="294" t="s">
        <v>1962</v>
      </c>
      <c r="F33" s="482">
        <v>100</v>
      </c>
      <c r="G33" s="289">
        <v>40</v>
      </c>
      <c r="H33" s="289">
        <v>2</v>
      </c>
      <c r="I33" s="289"/>
      <c r="J33" s="289"/>
      <c r="K33" s="289">
        <f t="shared" si="1"/>
        <v>58</v>
      </c>
      <c r="L33" s="197"/>
      <c r="M33" s="474" t="str">
        <f t="shared" si="2"/>
        <v/>
      </c>
      <c r="N33" s="474" t="str">
        <f t="shared" si="2"/>
        <v/>
      </c>
      <c r="O33" s="474">
        <f t="shared" si="2"/>
        <v>58</v>
      </c>
      <c r="P33" s="474" t="str">
        <f t="shared" si="2"/>
        <v/>
      </c>
      <c r="T33" t="str">
        <f t="shared" si="3"/>
        <v/>
      </c>
      <c r="U33" t="str">
        <f>IF(AND($Q33="",$R33=""),"",VLOOKUP($D33,Sales!$D$3:$FS$31,2,FALSE))</f>
        <v/>
      </c>
      <c r="V33" t="str">
        <f>IF($Q33="","",VLOOKUP($D$16,Sales!$D$3:$FS$31,168,FALSE))</f>
        <v/>
      </c>
      <c r="W33" t="str">
        <f>IF($R33="","",VLOOKUP($D$16,Sales!$D$3:$FS$31,169,FALSE))</f>
        <v/>
      </c>
      <c r="X33" s="197" t="str">
        <f t="shared" si="4"/>
        <v/>
      </c>
      <c r="Y33" s="197" t="str">
        <f t="shared" si="5"/>
        <v/>
      </c>
    </row>
    <row r="34" spans="1:25">
      <c r="A34" s="294" t="s">
        <v>1688</v>
      </c>
      <c r="B34" s="295" t="s">
        <v>2398</v>
      </c>
      <c r="C34" s="295">
        <v>957550185011</v>
      </c>
      <c r="D34" s="290">
        <v>50185011</v>
      </c>
      <c r="E34" s="345" t="s">
        <v>2020</v>
      </c>
      <c r="F34" s="482">
        <v>135</v>
      </c>
      <c r="G34" s="289">
        <v>48</v>
      </c>
      <c r="H34" s="289">
        <v>2</v>
      </c>
      <c r="I34" s="289"/>
      <c r="J34" s="289">
        <v>40</v>
      </c>
      <c r="K34" s="289">
        <f t="shared" si="1"/>
        <v>85</v>
      </c>
      <c r="L34" s="197"/>
      <c r="M34" s="474" t="str">
        <f t="shared" si="2"/>
        <v/>
      </c>
      <c r="N34" s="474">
        <f t="shared" si="2"/>
        <v>85</v>
      </c>
      <c r="O34" s="474" t="str">
        <f t="shared" si="2"/>
        <v/>
      </c>
      <c r="P34" s="474" t="str">
        <f t="shared" si="2"/>
        <v/>
      </c>
      <c r="Q34" s="403"/>
      <c r="T34" t="str">
        <f t="shared" si="3"/>
        <v/>
      </c>
      <c r="U34" t="str">
        <f>IF(AND($Q34="",$R34=""),"",VLOOKUP($D34,Sales!$D$3:$FS$31,2,FALSE))</f>
        <v/>
      </c>
      <c r="V34" t="str">
        <f>IF($Q34="","",VLOOKUP($D$16,Sales!$D$3:$FS$31,168,FALSE))</f>
        <v/>
      </c>
      <c r="W34" t="str">
        <f>IF($R34="","",VLOOKUP($D$16,Sales!$D$3:$FS$31,169,FALSE))</f>
        <v/>
      </c>
      <c r="X34" s="197" t="str">
        <f t="shared" si="4"/>
        <v/>
      </c>
      <c r="Y34" s="197" t="str">
        <f t="shared" si="5"/>
        <v/>
      </c>
    </row>
    <row r="35" spans="1:25">
      <c r="A35" s="294" t="s">
        <v>1688</v>
      </c>
      <c r="B35" s="295" t="s">
        <v>2399</v>
      </c>
      <c r="C35" s="295">
        <v>957550185011</v>
      </c>
      <c r="D35" s="290">
        <v>50185011</v>
      </c>
      <c r="E35" s="345" t="s">
        <v>2020</v>
      </c>
      <c r="F35" s="403">
        <v>135</v>
      </c>
      <c r="G35" s="289">
        <v>48</v>
      </c>
      <c r="H35" s="289">
        <v>2</v>
      </c>
      <c r="I35" s="289"/>
      <c r="J35" s="289">
        <v>40</v>
      </c>
      <c r="K35" s="289">
        <f t="shared" si="1"/>
        <v>85</v>
      </c>
      <c r="L35" s="197"/>
      <c r="M35" s="474" t="str">
        <f t="shared" si="2"/>
        <v/>
      </c>
      <c r="N35" s="474" t="str">
        <f t="shared" si="2"/>
        <v/>
      </c>
      <c r="O35" s="474">
        <f t="shared" si="2"/>
        <v>85</v>
      </c>
      <c r="P35" s="474" t="str">
        <f t="shared" si="2"/>
        <v/>
      </c>
      <c r="Q35" s="403"/>
      <c r="T35" t="str">
        <f t="shared" si="3"/>
        <v/>
      </c>
      <c r="U35" t="str">
        <f>IF(AND($Q35="",$R35=""),"",VLOOKUP($D35,Sales!$D$3:$FS$31,2,FALSE))</f>
        <v/>
      </c>
      <c r="V35" t="str">
        <f>IF($Q35="","",VLOOKUP($D$16,Sales!$D$3:$FS$31,168,FALSE))</f>
        <v/>
      </c>
      <c r="W35" t="str">
        <f>IF($R35="","",VLOOKUP($D$16,Sales!$D$3:$FS$31,169,FALSE))</f>
        <v/>
      </c>
      <c r="X35" s="197" t="str">
        <f t="shared" si="4"/>
        <v/>
      </c>
      <c r="Y35" s="197" t="str">
        <f t="shared" si="5"/>
        <v/>
      </c>
    </row>
    <row r="36" spans="1:25">
      <c r="A36" s="294" t="s">
        <v>1688</v>
      </c>
      <c r="B36" s="295" t="s">
        <v>2398</v>
      </c>
      <c r="C36" s="295">
        <v>957550185029</v>
      </c>
      <c r="D36" s="290">
        <v>50185029</v>
      </c>
      <c r="E36" s="345" t="s">
        <v>2021</v>
      </c>
      <c r="F36" s="482">
        <v>255</v>
      </c>
      <c r="G36" s="289">
        <v>48</v>
      </c>
      <c r="H36" s="289">
        <v>2</v>
      </c>
      <c r="I36" s="289">
        <v>86</v>
      </c>
      <c r="J36" s="289">
        <v>40</v>
      </c>
      <c r="K36" s="289">
        <f t="shared" si="1"/>
        <v>119</v>
      </c>
      <c r="L36" s="197"/>
      <c r="M36" s="474" t="str">
        <f t="shared" si="2"/>
        <v/>
      </c>
      <c r="N36" s="474">
        <f t="shared" si="2"/>
        <v>119</v>
      </c>
      <c r="O36" s="474" t="str">
        <f t="shared" si="2"/>
        <v/>
      </c>
      <c r="P36" s="474" t="str">
        <f t="shared" si="2"/>
        <v/>
      </c>
      <c r="Q36" s="403"/>
      <c r="T36" t="str">
        <f t="shared" si="3"/>
        <v/>
      </c>
      <c r="U36" t="str">
        <f>IF(AND($Q36="",$R36=""),"",VLOOKUP($D36,Sales!$D$3:$FS$31,2,FALSE))</f>
        <v/>
      </c>
      <c r="V36" t="str">
        <f>IF($Q36="","",VLOOKUP($D$16,Sales!$D$3:$FS$31,168,FALSE))</f>
        <v/>
      </c>
      <c r="W36" t="str">
        <f>IF($R36="","",VLOOKUP($D$16,Sales!$D$3:$FS$31,169,FALSE))</f>
        <v/>
      </c>
      <c r="X36" s="197" t="str">
        <f t="shared" si="4"/>
        <v/>
      </c>
      <c r="Y36" s="197" t="str">
        <f t="shared" si="5"/>
        <v/>
      </c>
    </row>
    <row r="37" spans="1:25">
      <c r="A37" s="294" t="s">
        <v>1688</v>
      </c>
      <c r="B37" s="295" t="s">
        <v>2399</v>
      </c>
      <c r="C37" s="295">
        <v>957550185029</v>
      </c>
      <c r="D37" s="290">
        <v>50185029</v>
      </c>
      <c r="E37" s="345" t="s">
        <v>2021</v>
      </c>
      <c r="F37" s="403">
        <v>255</v>
      </c>
      <c r="G37" s="289">
        <v>48</v>
      </c>
      <c r="H37" s="289">
        <v>2</v>
      </c>
      <c r="I37" s="289">
        <v>86</v>
      </c>
      <c r="J37" s="289">
        <v>40</v>
      </c>
      <c r="K37" s="289">
        <f t="shared" si="1"/>
        <v>119</v>
      </c>
      <c r="L37" s="197"/>
      <c r="M37" s="474" t="str">
        <f t="shared" si="2"/>
        <v/>
      </c>
      <c r="N37" s="474" t="str">
        <f t="shared" si="2"/>
        <v/>
      </c>
      <c r="O37" s="474">
        <f t="shared" si="2"/>
        <v>119</v>
      </c>
      <c r="P37" s="474" t="str">
        <f t="shared" si="2"/>
        <v/>
      </c>
      <c r="Q37" s="403"/>
      <c r="T37" t="str">
        <f t="shared" si="3"/>
        <v/>
      </c>
      <c r="U37" t="str">
        <f>IF(AND($Q37="",$R37=""),"",VLOOKUP($D37,Sales!$D$3:$FS$31,2,FALSE))</f>
        <v/>
      </c>
      <c r="V37" t="str">
        <f>IF($Q37="","",VLOOKUP($D$16,Sales!$D$3:$FS$31,168,FALSE))</f>
        <v/>
      </c>
      <c r="W37" t="str">
        <f>IF($R37="","",VLOOKUP($D$16,Sales!$D$3:$FS$31,169,FALSE))</f>
        <v/>
      </c>
      <c r="X37" s="197" t="str">
        <f t="shared" si="4"/>
        <v/>
      </c>
      <c r="Y37" s="197" t="str">
        <f t="shared" si="5"/>
        <v/>
      </c>
    </row>
    <row r="38" spans="1:25">
      <c r="A38" s="294" t="s">
        <v>1688</v>
      </c>
      <c r="B38" s="295" t="s">
        <v>2400</v>
      </c>
      <c r="C38" s="286">
        <v>957550185227</v>
      </c>
      <c r="D38" s="290">
        <v>50185227</v>
      </c>
      <c r="E38" s="294" t="s">
        <v>1691</v>
      </c>
      <c r="F38" s="481">
        <v>95</v>
      </c>
      <c r="G38" s="289">
        <v>48</v>
      </c>
      <c r="H38" s="289">
        <v>2</v>
      </c>
      <c r="I38" s="289"/>
      <c r="J38" s="289"/>
      <c r="K38" s="289">
        <f t="shared" si="1"/>
        <v>45</v>
      </c>
      <c r="L38" s="197"/>
      <c r="M38" s="474" t="str">
        <f t="shared" si="2"/>
        <v/>
      </c>
      <c r="N38" s="474" t="str">
        <f t="shared" si="2"/>
        <v/>
      </c>
      <c r="O38" s="474">
        <f t="shared" si="2"/>
        <v>45</v>
      </c>
      <c r="P38" s="474" t="str">
        <f t="shared" si="2"/>
        <v/>
      </c>
      <c r="Q38" s="403"/>
      <c r="T38" t="str">
        <f t="shared" si="3"/>
        <v/>
      </c>
      <c r="U38" t="str">
        <f>IF(AND($Q38="",$R38=""),"",VLOOKUP($D38,Sales!$D$3:$FS$31,2,FALSE))</f>
        <v/>
      </c>
      <c r="V38" t="str">
        <f>IF($Q38="","",VLOOKUP($D$16,Sales!$D$3:$FS$31,168,FALSE))</f>
        <v/>
      </c>
      <c r="W38" t="str">
        <f>IF($R38="","",VLOOKUP($D$16,Sales!$D$3:$FS$31,169,FALSE))</f>
        <v/>
      </c>
      <c r="X38" s="197" t="str">
        <f t="shared" si="4"/>
        <v/>
      </c>
      <c r="Y38" s="197" t="str">
        <f t="shared" si="5"/>
        <v/>
      </c>
    </row>
    <row r="39" spans="1:25">
      <c r="A39" s="294" t="s">
        <v>1688</v>
      </c>
      <c r="B39" s="295" t="s">
        <v>2400</v>
      </c>
      <c r="C39" s="286">
        <v>957550180509</v>
      </c>
      <c r="D39" s="290">
        <v>50180509</v>
      </c>
      <c r="E39" s="294" t="s">
        <v>1692</v>
      </c>
      <c r="F39" s="481">
        <v>50</v>
      </c>
      <c r="G39" s="289">
        <v>26</v>
      </c>
      <c r="H39" s="289">
        <v>2</v>
      </c>
      <c r="I39" s="289"/>
      <c r="J39" s="289"/>
      <c r="K39" s="289">
        <f t="shared" si="1"/>
        <v>22</v>
      </c>
      <c r="L39" s="197"/>
      <c r="M39" s="474" t="str">
        <f t="shared" si="2"/>
        <v/>
      </c>
      <c r="N39" s="474" t="str">
        <f t="shared" si="2"/>
        <v/>
      </c>
      <c r="O39" s="474">
        <f t="shared" si="2"/>
        <v>22</v>
      </c>
      <c r="P39" s="474" t="str">
        <f t="shared" si="2"/>
        <v/>
      </c>
      <c r="Q39" s="403"/>
      <c r="T39" t="str">
        <f t="shared" si="3"/>
        <v/>
      </c>
      <c r="U39" t="str">
        <f>IF(AND($Q39="",$R39=""),"",VLOOKUP($D39,Sales!$D$3:$FS$31,2,FALSE))</f>
        <v/>
      </c>
      <c r="V39" t="str">
        <f>IF($Q39="","",VLOOKUP($D$16,Sales!$D$3:$FS$31,168,FALSE))</f>
        <v/>
      </c>
      <c r="W39" t="str">
        <f>IF($R39="","",VLOOKUP($D$16,Sales!$D$3:$FS$31,169,FALSE))</f>
        <v/>
      </c>
      <c r="X39" s="197" t="str">
        <f t="shared" si="4"/>
        <v/>
      </c>
      <c r="Y39" s="197" t="str">
        <f t="shared" si="5"/>
        <v/>
      </c>
    </row>
    <row r="40" spans="1:25">
      <c r="A40" s="294" t="s">
        <v>1688</v>
      </c>
      <c r="B40" s="295" t="s">
        <v>2398</v>
      </c>
      <c r="C40" s="295">
        <v>957550185300</v>
      </c>
      <c r="D40" s="290">
        <v>50185300</v>
      </c>
      <c r="E40" s="345" t="s">
        <v>2022</v>
      </c>
      <c r="F40" s="482">
        <v>95</v>
      </c>
      <c r="G40" s="289">
        <v>48</v>
      </c>
      <c r="H40" s="289">
        <v>2</v>
      </c>
      <c r="I40" s="289"/>
      <c r="J40" s="289"/>
      <c r="K40" s="289">
        <f t="shared" si="1"/>
        <v>45</v>
      </c>
      <c r="L40" s="197"/>
      <c r="M40" s="474" t="str">
        <f t="shared" si="2"/>
        <v/>
      </c>
      <c r="N40" s="474">
        <f t="shared" si="2"/>
        <v>45</v>
      </c>
      <c r="O40" s="474" t="str">
        <f t="shared" si="2"/>
        <v/>
      </c>
      <c r="P40" s="474" t="str">
        <f t="shared" si="2"/>
        <v/>
      </c>
      <c r="Q40" s="403"/>
      <c r="T40" t="str">
        <f t="shared" si="3"/>
        <v/>
      </c>
      <c r="U40" t="str">
        <f>IF(AND($Q40="",$R40=""),"",VLOOKUP($D40,Sales!$D$3:$FS$31,2,FALSE))</f>
        <v/>
      </c>
      <c r="V40" t="str">
        <f>IF($Q40="","",VLOOKUP($D$16,Sales!$D$3:$FS$31,168,FALSE))</f>
        <v/>
      </c>
      <c r="W40" t="str">
        <f>IF($R40="","",VLOOKUP($D$16,Sales!$D$3:$FS$31,169,FALSE))</f>
        <v/>
      </c>
      <c r="X40" s="197" t="str">
        <f t="shared" si="4"/>
        <v/>
      </c>
      <c r="Y40" s="197" t="str">
        <f t="shared" si="5"/>
        <v/>
      </c>
    </row>
    <row r="41" spans="1:25">
      <c r="A41" s="294" t="s">
        <v>1688</v>
      </c>
      <c r="B41" s="295" t="s">
        <v>2399</v>
      </c>
      <c r="C41" s="295">
        <v>957550185300</v>
      </c>
      <c r="D41" s="290">
        <v>50185300</v>
      </c>
      <c r="E41" s="345" t="s">
        <v>2022</v>
      </c>
      <c r="F41" s="403">
        <v>95</v>
      </c>
      <c r="G41" s="289">
        <v>48</v>
      </c>
      <c r="H41" s="289">
        <v>2</v>
      </c>
      <c r="I41" s="289"/>
      <c r="J41" s="289"/>
      <c r="K41" s="289">
        <f t="shared" si="1"/>
        <v>45</v>
      </c>
      <c r="L41" s="197"/>
      <c r="M41" s="474" t="str">
        <f t="shared" si="2"/>
        <v/>
      </c>
      <c r="N41" s="474" t="str">
        <f t="shared" si="2"/>
        <v/>
      </c>
      <c r="O41" s="474">
        <f t="shared" si="2"/>
        <v>45</v>
      </c>
      <c r="P41" s="474" t="str">
        <f t="shared" si="2"/>
        <v/>
      </c>
      <c r="Q41" s="403"/>
      <c r="T41" t="str">
        <f t="shared" si="3"/>
        <v/>
      </c>
      <c r="U41" t="str">
        <f>IF(AND($Q41="",$R41=""),"",VLOOKUP($D41,Sales!$D$3:$FS$31,2,FALSE))</f>
        <v/>
      </c>
      <c r="V41" t="str">
        <f>IF($Q41="","",VLOOKUP($D$16,Sales!$D$3:$FS$31,168,FALSE))</f>
        <v/>
      </c>
      <c r="W41" t="str">
        <f>IF($R41="","",VLOOKUP($D$16,Sales!$D$3:$FS$31,169,FALSE))</f>
        <v/>
      </c>
      <c r="X41" s="197" t="str">
        <f t="shared" si="4"/>
        <v/>
      </c>
      <c r="Y41" s="197" t="str">
        <f t="shared" si="5"/>
        <v/>
      </c>
    </row>
    <row r="42" spans="1:25">
      <c r="A42" s="294" t="s">
        <v>1688</v>
      </c>
      <c r="B42" s="295" t="s">
        <v>2401</v>
      </c>
      <c r="C42" s="295">
        <v>957550185524</v>
      </c>
      <c r="D42" s="290">
        <v>50185524</v>
      </c>
      <c r="E42" s="345" t="s">
        <v>2402</v>
      </c>
      <c r="F42" s="403">
        <v>100</v>
      </c>
      <c r="G42" s="289">
        <v>40</v>
      </c>
      <c r="H42" s="289">
        <v>2</v>
      </c>
      <c r="I42" s="289"/>
      <c r="J42" s="289"/>
      <c r="K42" s="289">
        <f t="shared" si="1"/>
        <v>58</v>
      </c>
      <c r="L42" s="197"/>
      <c r="M42" s="474" t="str">
        <f t="shared" si="2"/>
        <v/>
      </c>
      <c r="N42" s="474" t="str">
        <f t="shared" si="2"/>
        <v/>
      </c>
      <c r="O42" s="474">
        <f t="shared" si="2"/>
        <v>58</v>
      </c>
      <c r="P42" s="474" t="str">
        <f t="shared" si="2"/>
        <v/>
      </c>
      <c r="Q42" s="403"/>
      <c r="T42" t="str">
        <f t="shared" si="3"/>
        <v/>
      </c>
      <c r="U42" t="str">
        <f>IF(AND($Q42="",$R42=""),"",VLOOKUP($D42,Sales!$D$3:$FS$31,2,FALSE))</f>
        <v/>
      </c>
      <c r="V42" t="str">
        <f>IF($Q42="","",VLOOKUP($D$16,Sales!$D$3:$FS$31,168,FALSE))</f>
        <v/>
      </c>
      <c r="W42" t="str">
        <f>IF($R42="","",VLOOKUP($D$16,Sales!$D$3:$FS$31,169,FALSE))</f>
        <v/>
      </c>
      <c r="X42" s="197" t="str">
        <f t="shared" si="4"/>
        <v/>
      </c>
      <c r="Y42" s="197" t="str">
        <f t="shared" si="5"/>
        <v/>
      </c>
    </row>
    <row r="43" spans="1:25">
      <c r="A43" s="294" t="s">
        <v>1688</v>
      </c>
      <c r="B43" s="295" t="s">
        <v>2403</v>
      </c>
      <c r="C43" s="295">
        <v>957550185789</v>
      </c>
      <c r="D43" s="290">
        <v>50185789</v>
      </c>
      <c r="E43" s="345" t="s">
        <v>2023</v>
      </c>
      <c r="F43" s="482">
        <v>88</v>
      </c>
      <c r="G43" s="289">
        <v>37</v>
      </c>
      <c r="H43" s="289">
        <v>2</v>
      </c>
      <c r="I43" s="289"/>
      <c r="J43" s="289"/>
      <c r="K43" s="289">
        <f t="shared" si="1"/>
        <v>49</v>
      </c>
      <c r="L43" s="197"/>
      <c r="M43" s="474" t="str">
        <f t="shared" si="2"/>
        <v/>
      </c>
      <c r="N43" s="474" t="str">
        <f t="shared" si="2"/>
        <v/>
      </c>
      <c r="O43" s="474">
        <f t="shared" si="2"/>
        <v>49</v>
      </c>
      <c r="P43" s="474" t="str">
        <f t="shared" si="2"/>
        <v/>
      </c>
      <c r="Q43" s="403"/>
      <c r="T43" t="str">
        <f t="shared" si="3"/>
        <v/>
      </c>
      <c r="U43" t="str">
        <f>IF(AND($Q43="",$R43=""),"",VLOOKUP($D43,Sales!$D$3:$FS$31,2,FALSE))</f>
        <v/>
      </c>
      <c r="V43" t="str">
        <f>IF($Q43="","",VLOOKUP($D$16,Sales!$D$3:$FS$31,168,FALSE))</f>
        <v/>
      </c>
      <c r="W43" t="str">
        <f>IF($R43="","",VLOOKUP($D$16,Sales!$D$3:$FS$31,169,FALSE))</f>
        <v/>
      </c>
      <c r="X43" s="197" t="str">
        <f t="shared" si="4"/>
        <v/>
      </c>
      <c r="Y43" s="197" t="str">
        <f t="shared" si="5"/>
        <v/>
      </c>
    </row>
    <row r="44" spans="1:25">
      <c r="A44" s="294" t="s">
        <v>1688</v>
      </c>
      <c r="B44" s="295" t="s">
        <v>2404</v>
      </c>
      <c r="C44" s="295">
        <v>957550185789</v>
      </c>
      <c r="D44" s="290">
        <v>50185789</v>
      </c>
      <c r="E44" s="295" t="s">
        <v>2023</v>
      </c>
      <c r="F44" s="403">
        <v>88</v>
      </c>
      <c r="G44" s="289">
        <v>37</v>
      </c>
      <c r="H44" s="289">
        <v>2</v>
      </c>
      <c r="I44" s="289"/>
      <c r="J44" s="289"/>
      <c r="K44" s="289">
        <f t="shared" si="1"/>
        <v>49</v>
      </c>
      <c r="L44" s="197"/>
      <c r="M44" s="474" t="str">
        <f t="shared" si="2"/>
        <v/>
      </c>
      <c r="N44" s="474" t="str">
        <f t="shared" si="2"/>
        <v/>
      </c>
      <c r="O44" s="474">
        <f t="shared" si="2"/>
        <v>49</v>
      </c>
      <c r="P44" s="474" t="str">
        <f t="shared" si="2"/>
        <v/>
      </c>
      <c r="Q44" s="403"/>
      <c r="T44" t="str">
        <f t="shared" si="3"/>
        <v/>
      </c>
      <c r="U44" t="str">
        <f>IF(AND($Q44="",$R44=""),"",VLOOKUP($D44,Sales!$D$3:$FS$31,2,FALSE))</f>
        <v/>
      </c>
      <c r="V44" t="str">
        <f>IF($Q44="","",VLOOKUP($D$16,Sales!$D$3:$FS$31,168,FALSE))</f>
        <v/>
      </c>
      <c r="W44" t="str">
        <f>IF($R44="","",VLOOKUP($D$16,Sales!$D$3:$FS$31,169,FALSE))</f>
        <v/>
      </c>
      <c r="X44" s="197" t="str">
        <f t="shared" si="4"/>
        <v/>
      </c>
      <c r="Y44" s="197" t="str">
        <f t="shared" si="5"/>
        <v/>
      </c>
    </row>
    <row r="45" spans="1:25">
      <c r="A45" s="294" t="s">
        <v>1688</v>
      </c>
      <c r="B45" s="295" t="s">
        <v>2405</v>
      </c>
      <c r="C45" s="286">
        <v>957550185797</v>
      </c>
      <c r="D45" s="290">
        <v>50185797</v>
      </c>
      <c r="E45" s="294" t="s">
        <v>1693</v>
      </c>
      <c r="F45" s="481">
        <v>48</v>
      </c>
      <c r="G45" s="289">
        <v>26</v>
      </c>
      <c r="H45" s="289">
        <v>2</v>
      </c>
      <c r="I45" s="289"/>
      <c r="J45" s="289"/>
      <c r="K45" s="289">
        <f t="shared" si="1"/>
        <v>20</v>
      </c>
      <c r="L45" s="197"/>
      <c r="M45" s="474" t="str">
        <f t="shared" si="2"/>
        <v/>
      </c>
      <c r="N45" s="474">
        <f t="shared" si="2"/>
        <v>20</v>
      </c>
      <c r="O45" s="474" t="str">
        <f t="shared" si="2"/>
        <v/>
      </c>
      <c r="P45" s="474" t="str">
        <f t="shared" si="2"/>
        <v/>
      </c>
      <c r="Q45" s="197"/>
      <c r="T45" t="str">
        <f t="shared" si="3"/>
        <v/>
      </c>
      <c r="U45" t="str">
        <f>IF(AND($Q45="",$R45=""),"",VLOOKUP($D45,Sales!$D$3:$FS$31,2,FALSE))</f>
        <v/>
      </c>
      <c r="V45" t="str">
        <f>IF($Q45="","",VLOOKUP($D$16,Sales!$D$3:$FS$31,168,FALSE))</f>
        <v/>
      </c>
      <c r="W45" t="str">
        <f>IF($R45="","",VLOOKUP($D$16,Sales!$D$3:$FS$31,169,FALSE))</f>
        <v/>
      </c>
      <c r="X45" s="197" t="str">
        <f t="shared" si="4"/>
        <v/>
      </c>
      <c r="Y45" s="197" t="str">
        <f t="shared" si="5"/>
        <v/>
      </c>
    </row>
    <row r="46" spans="1:25">
      <c r="A46" s="294" t="s">
        <v>1688</v>
      </c>
      <c r="B46" s="295" t="s">
        <v>2405</v>
      </c>
      <c r="C46" s="286">
        <v>957550185862</v>
      </c>
      <c r="D46" s="290">
        <v>50185862</v>
      </c>
      <c r="E46" s="294" t="s">
        <v>1694</v>
      </c>
      <c r="F46" s="481">
        <v>48</v>
      </c>
      <c r="G46" s="289">
        <v>26</v>
      </c>
      <c r="H46" s="289">
        <v>2</v>
      </c>
      <c r="I46" s="289"/>
      <c r="J46" s="289"/>
      <c r="K46" s="289">
        <f t="shared" si="1"/>
        <v>20</v>
      </c>
      <c r="L46" s="197"/>
      <c r="M46" s="474" t="str">
        <f t="shared" si="2"/>
        <v/>
      </c>
      <c r="N46" s="474">
        <f t="shared" si="2"/>
        <v>20</v>
      </c>
      <c r="O46" s="474" t="str">
        <f t="shared" si="2"/>
        <v/>
      </c>
      <c r="P46" s="474" t="str">
        <f t="shared" si="2"/>
        <v/>
      </c>
      <c r="Q46" s="403"/>
      <c r="T46" t="str">
        <f t="shared" si="3"/>
        <v/>
      </c>
      <c r="U46" t="str">
        <f>IF(AND($Q46="",$R46=""),"",VLOOKUP($D46,Sales!$D$3:$FS$31,2,FALSE))</f>
        <v/>
      </c>
      <c r="V46" t="str">
        <f>IF($Q46="","",VLOOKUP($D$16,Sales!$D$3:$FS$31,168,FALSE))</f>
        <v/>
      </c>
      <c r="W46" t="str">
        <f>IF($R46="","",VLOOKUP($D$16,Sales!$D$3:$FS$31,169,FALSE))</f>
        <v/>
      </c>
      <c r="X46" s="197" t="str">
        <f t="shared" si="4"/>
        <v/>
      </c>
      <c r="Y46" s="197" t="str">
        <f t="shared" si="5"/>
        <v/>
      </c>
    </row>
    <row r="47" spans="1:25">
      <c r="A47" s="294" t="s">
        <v>1688</v>
      </c>
      <c r="B47" s="295" t="s">
        <v>2406</v>
      </c>
      <c r="C47" s="295">
        <v>957550260525</v>
      </c>
      <c r="D47" s="290">
        <v>50260525</v>
      </c>
      <c r="E47" s="345" t="s">
        <v>2407</v>
      </c>
      <c r="F47" s="297">
        <v>148</v>
      </c>
      <c r="G47" s="289">
        <v>26</v>
      </c>
      <c r="H47" s="289">
        <v>2</v>
      </c>
      <c r="I47" s="289">
        <v>40</v>
      </c>
      <c r="J47" s="289">
        <v>50</v>
      </c>
      <c r="K47" s="289">
        <f t="shared" si="1"/>
        <v>80</v>
      </c>
      <c r="L47" s="197"/>
      <c r="M47" s="474" t="str">
        <f t="shared" si="2"/>
        <v/>
      </c>
      <c r="N47" s="474">
        <f t="shared" si="2"/>
        <v>80</v>
      </c>
      <c r="O47" s="474" t="str">
        <f t="shared" si="2"/>
        <v/>
      </c>
      <c r="P47" s="474" t="str">
        <f t="shared" si="2"/>
        <v/>
      </c>
      <c r="Q47">
        <v>1</v>
      </c>
      <c r="T47" t="str">
        <f t="shared" si="3"/>
        <v>cdr1</v>
      </c>
      <c r="U47" t="str">
        <f>IF(AND($Q47="",$R47=""),"",VLOOKUP($D47,Sales!$D$3:$FS$31,2,FALSE))</f>
        <v>cdr1/1001</v>
      </c>
      <c r="V47">
        <f>IF($Q47="","",VLOOKUP($D$16,Sales!$D$3:$FS$31,168,FALSE))</f>
        <v>83.5</v>
      </c>
      <c r="W47" t="str">
        <f>IF($R47="","",VLOOKUP($D$16,Sales!$D$3:$FS$31,169,FALSE))</f>
        <v/>
      </c>
      <c r="X47" s="197">
        <f t="shared" si="4"/>
        <v>16.7</v>
      </c>
      <c r="Y47" s="197">
        <f t="shared" si="5"/>
        <v>66.8</v>
      </c>
    </row>
    <row r="48" spans="1:25">
      <c r="A48" s="294" t="s">
        <v>1688</v>
      </c>
      <c r="B48" s="295" t="s">
        <v>2399</v>
      </c>
      <c r="C48" s="295">
        <v>957550260525</v>
      </c>
      <c r="D48" s="290">
        <v>50260525</v>
      </c>
      <c r="E48" s="345" t="s">
        <v>2407</v>
      </c>
      <c r="F48" s="482">
        <v>98</v>
      </c>
      <c r="G48" s="289">
        <v>26</v>
      </c>
      <c r="H48" s="289">
        <v>2</v>
      </c>
      <c r="I48" s="289">
        <v>40</v>
      </c>
      <c r="J48" s="289"/>
      <c r="K48" s="289">
        <f t="shared" si="1"/>
        <v>30</v>
      </c>
      <c r="L48" s="197"/>
      <c r="M48" s="474" t="str">
        <f t="shared" si="2"/>
        <v/>
      </c>
      <c r="N48" s="474" t="str">
        <f t="shared" si="2"/>
        <v/>
      </c>
      <c r="O48" s="474">
        <f t="shared" si="2"/>
        <v>30</v>
      </c>
      <c r="P48" s="474" t="str">
        <f t="shared" si="2"/>
        <v/>
      </c>
      <c r="R48">
        <v>1</v>
      </c>
      <c r="T48" t="str">
        <f t="shared" si="3"/>
        <v>cdr1</v>
      </c>
      <c r="U48" t="str">
        <f>IF(AND($Q48="",$R48=""),"",VLOOKUP($D48,Sales!$D$3:$FS$31,2,FALSE))</f>
        <v>cdr1/1001</v>
      </c>
      <c r="V48" t="str">
        <f>IF($Q48="","",VLOOKUP($D$16,Sales!$D$3:$FS$31,168,FALSE))</f>
        <v/>
      </c>
      <c r="W48">
        <f>IF($R48="","",VLOOKUP($D$16,Sales!$D$3:$FS$31,169,FALSE))</f>
        <v>21</v>
      </c>
      <c r="X48" s="197">
        <f t="shared" si="4"/>
        <v>8.4</v>
      </c>
      <c r="Y48" s="197">
        <f t="shared" si="5"/>
        <v>12.6</v>
      </c>
    </row>
    <row r="49" spans="1:25">
      <c r="A49" s="294" t="s">
        <v>1688</v>
      </c>
      <c r="B49" s="295" t="s">
        <v>2408</v>
      </c>
      <c r="C49" s="295">
        <v>957550260533</v>
      </c>
      <c r="D49" s="290">
        <v>50260533</v>
      </c>
      <c r="E49" s="295" t="s">
        <v>2409</v>
      </c>
      <c r="F49" s="297">
        <v>200</v>
      </c>
      <c r="G49" s="289">
        <v>26</v>
      </c>
      <c r="H49" s="289">
        <v>2</v>
      </c>
      <c r="I49" s="289"/>
      <c r="J49" s="289">
        <v>75</v>
      </c>
      <c r="K49" s="289">
        <f t="shared" si="1"/>
        <v>172</v>
      </c>
      <c r="L49" s="197"/>
      <c r="M49" s="474" t="str">
        <f t="shared" si="2"/>
        <v/>
      </c>
      <c r="N49" s="474">
        <f t="shared" si="2"/>
        <v>172</v>
      </c>
      <c r="O49" s="474" t="str">
        <f t="shared" si="2"/>
        <v/>
      </c>
      <c r="P49" s="474" t="str">
        <f t="shared" si="2"/>
        <v/>
      </c>
      <c r="Q49">
        <v>1</v>
      </c>
      <c r="T49" t="str">
        <f t="shared" si="3"/>
        <v>cdr1</v>
      </c>
      <c r="U49" t="str">
        <f>IF(AND($Q49="",$R49=""),"",VLOOKUP($D49,Sales!$D$3:$FS$31,2,FALSE))</f>
        <v>cdr1/1002</v>
      </c>
      <c r="V49">
        <f>IF($Q49="","",VLOOKUP($D$16,Sales!$D$3:$FS$31,168,FALSE))</f>
        <v>83.5</v>
      </c>
      <c r="W49" t="str">
        <f>IF($R49="","",VLOOKUP($D$16,Sales!$D$3:$FS$31,169,FALSE))</f>
        <v/>
      </c>
      <c r="X49" s="197">
        <f t="shared" si="4"/>
        <v>16.7</v>
      </c>
      <c r="Y49" s="197">
        <f t="shared" si="5"/>
        <v>66.8</v>
      </c>
    </row>
    <row r="50" spans="1:25">
      <c r="A50" s="294" t="s">
        <v>1688</v>
      </c>
      <c r="B50" s="295" t="s">
        <v>2410</v>
      </c>
      <c r="C50" s="295">
        <v>957550260624</v>
      </c>
      <c r="D50" s="290">
        <v>50260624</v>
      </c>
      <c r="E50" s="295" t="s">
        <v>2411</v>
      </c>
      <c r="F50" s="297">
        <v>200</v>
      </c>
      <c r="G50" s="289">
        <v>26</v>
      </c>
      <c r="H50" s="289">
        <v>2</v>
      </c>
      <c r="I50" s="289"/>
      <c r="J50" s="289">
        <v>75</v>
      </c>
      <c r="K50" s="289">
        <f t="shared" si="1"/>
        <v>172</v>
      </c>
      <c r="L50" s="197"/>
      <c r="M50" s="474" t="str">
        <f t="shared" si="2"/>
        <v/>
      </c>
      <c r="N50" s="474" t="str">
        <f t="shared" si="2"/>
        <v/>
      </c>
      <c r="O50" s="474">
        <f t="shared" si="2"/>
        <v>172</v>
      </c>
      <c r="P50" s="474" t="str">
        <f t="shared" si="2"/>
        <v/>
      </c>
      <c r="Q50">
        <v>1</v>
      </c>
      <c r="T50" t="str">
        <f t="shared" si="3"/>
        <v>jdj1</v>
      </c>
      <c r="U50" t="str">
        <f>IF(AND($Q50="",$R50=""),"",VLOOKUP($D50,Sales!$D$3:$FS$31,2,FALSE))</f>
        <v>jdj1/1001</v>
      </c>
      <c r="V50">
        <f>IF($Q50="","",VLOOKUP($D$16,Sales!$D$3:$FS$31,168,FALSE))</f>
        <v>83.5</v>
      </c>
      <c r="W50" t="str">
        <f>IF($R50="","",VLOOKUP($D$16,Sales!$D$3:$FS$31,169,FALSE))</f>
        <v/>
      </c>
      <c r="X50" s="197">
        <f t="shared" si="4"/>
        <v>16.7</v>
      </c>
      <c r="Y50" s="197">
        <f t="shared" si="5"/>
        <v>66.8</v>
      </c>
    </row>
    <row r="51" spans="1:25">
      <c r="A51" s="294" t="s">
        <v>1688</v>
      </c>
      <c r="B51" s="295" t="s">
        <v>2400</v>
      </c>
      <c r="C51" s="286">
        <v>957550261820</v>
      </c>
      <c r="D51" s="290">
        <v>50261820</v>
      </c>
      <c r="E51" s="298" t="s">
        <v>1695</v>
      </c>
      <c r="F51" s="481">
        <v>95</v>
      </c>
      <c r="G51" s="289">
        <v>48</v>
      </c>
      <c r="H51" s="289">
        <v>2</v>
      </c>
      <c r="I51" s="289"/>
      <c r="J51" s="289"/>
      <c r="K51" s="289">
        <f t="shared" si="1"/>
        <v>45</v>
      </c>
      <c r="M51" s="474" t="str">
        <f t="shared" si="2"/>
        <v/>
      </c>
      <c r="N51" s="474" t="str">
        <f t="shared" si="2"/>
        <v/>
      </c>
      <c r="O51" s="474">
        <f t="shared" si="2"/>
        <v>45</v>
      </c>
      <c r="P51" s="474" t="str">
        <f t="shared" si="2"/>
        <v/>
      </c>
      <c r="U51" t="str">
        <f>IF(AND($Q51="",$R51=""),"",VLOOKUP($D$16,Sales!$D$3:$FS$31,2,FALSE))</f>
        <v/>
      </c>
      <c r="V51" t="str">
        <f>IF($Q51="","",VLOOKUP($D$16,Sales!$D$3:$FS$31,168,FALSE))</f>
        <v/>
      </c>
      <c r="W51" t="str">
        <f>IF($R51="","",VLOOKUP($D$16,Sales!$D$3:$FS$31,169,FALSE))</f>
        <v/>
      </c>
      <c r="X51" t="str">
        <f t="shared" ref="X51" si="6">IF(AND($Q51="",$R51=""),"",$V51*20%+$W51*R51*40%)</f>
        <v/>
      </c>
    </row>
  </sheetData>
  <conditionalFormatting sqref="C16:D16">
    <cfRule type="duplicateValues" dxfId="37" priority="63"/>
  </conditionalFormatting>
  <conditionalFormatting sqref="C2:D2">
    <cfRule type="duplicateValues" dxfId="36" priority="62"/>
  </conditionalFormatting>
  <conditionalFormatting sqref="C18:D18">
    <cfRule type="duplicateValues" dxfId="35" priority="60"/>
  </conditionalFormatting>
  <conditionalFormatting sqref="C4:D4">
    <cfRule type="duplicateValues" dxfId="34" priority="59"/>
  </conditionalFormatting>
  <conditionalFormatting sqref="C5:D5">
    <cfRule type="duplicateValues" dxfId="33" priority="58"/>
  </conditionalFormatting>
  <conditionalFormatting sqref="C17:D17">
    <cfRule type="duplicateValues" dxfId="32" priority="57"/>
  </conditionalFormatting>
  <conditionalFormatting sqref="C12:D14">
    <cfRule type="duplicateValues" dxfId="31" priority="56"/>
  </conditionalFormatting>
  <conditionalFormatting sqref="C19:D22">
    <cfRule type="duplicateValues" dxfId="30" priority="55"/>
  </conditionalFormatting>
  <conditionalFormatting sqref="C3:D3 C21:D22 C5:D5 C18:D18 C7:D10">
    <cfRule type="duplicateValues" dxfId="29" priority="53"/>
  </conditionalFormatting>
  <conditionalFormatting sqref="C19:D19">
    <cfRule type="duplicateValues" dxfId="28" priority="52"/>
  </conditionalFormatting>
  <conditionalFormatting sqref="C23:D23">
    <cfRule type="duplicateValues" dxfId="27" priority="50"/>
  </conditionalFormatting>
  <conditionalFormatting sqref="C11:D11 C13:D15 C17:D17">
    <cfRule type="duplicateValues" dxfId="26" priority="48"/>
  </conditionalFormatting>
  <conditionalFormatting sqref="C6:D6">
    <cfRule type="duplicateValues" dxfId="25" priority="47"/>
  </conditionalFormatting>
  <conditionalFormatting sqref="C20:D20">
    <cfRule type="duplicateValues" dxfId="24" priority="46"/>
  </conditionalFormatting>
  <conditionalFormatting sqref="C12:D12">
    <cfRule type="duplicateValues" dxfId="23" priority="45"/>
  </conditionalFormatting>
  <conditionalFormatting sqref="D3:D23">
    <cfRule type="duplicateValues" dxfId="22" priority="43"/>
  </conditionalFormatting>
  <conditionalFormatting sqref="C1:D1 C3:D3 C6:D11 C15:D15">
    <cfRule type="duplicateValues" dxfId="21" priority="65"/>
  </conditionalFormatting>
  <conditionalFormatting sqref="D24">
    <cfRule type="duplicateValues" dxfId="20" priority="42"/>
  </conditionalFormatting>
  <conditionalFormatting sqref="D3:D24">
    <cfRule type="duplicateValues" dxfId="19" priority="39"/>
  </conditionalFormatting>
  <conditionalFormatting sqref="C5">
    <cfRule type="duplicateValues" dxfId="18" priority="38"/>
  </conditionalFormatting>
  <conditionalFormatting sqref="C44 C41:C42 C49:C50">
    <cfRule type="duplicateValues" dxfId="17" priority="37"/>
  </conditionalFormatting>
  <conditionalFormatting sqref="C35">
    <cfRule type="duplicateValues" dxfId="16" priority="36"/>
  </conditionalFormatting>
  <conditionalFormatting sqref="C37">
    <cfRule type="duplicateValues" dxfId="15" priority="35"/>
  </conditionalFormatting>
  <conditionalFormatting sqref="C14">
    <cfRule type="duplicateValues" dxfId="14" priority="34"/>
  </conditionalFormatting>
  <conditionalFormatting sqref="C12">
    <cfRule type="duplicateValues" dxfId="13" priority="33"/>
  </conditionalFormatting>
  <conditionalFormatting sqref="C11">
    <cfRule type="duplicateValues" dxfId="12" priority="32"/>
  </conditionalFormatting>
  <conditionalFormatting sqref="C10">
    <cfRule type="duplicateValues" dxfId="11" priority="31"/>
  </conditionalFormatting>
  <conditionalFormatting sqref="C9">
    <cfRule type="duplicateValues" dxfId="10" priority="30"/>
  </conditionalFormatting>
  <conditionalFormatting sqref="C8">
    <cfRule type="duplicateValues" dxfId="9" priority="29"/>
  </conditionalFormatting>
  <conditionalFormatting sqref="C15">
    <cfRule type="duplicateValues" dxfId="8" priority="28"/>
  </conditionalFormatting>
  <conditionalFormatting sqref="C16">
    <cfRule type="duplicateValues" dxfId="7" priority="27"/>
  </conditionalFormatting>
  <conditionalFormatting sqref="I23 C13 C17">
    <cfRule type="duplicateValues" dxfId="6" priority="26"/>
  </conditionalFormatting>
  <conditionalFormatting sqref="C20">
    <cfRule type="duplicateValues" dxfId="5" priority="25"/>
  </conditionalFormatting>
  <conditionalFormatting sqref="C22">
    <cfRule type="duplicateValues" dxfId="4" priority="24"/>
  </conditionalFormatting>
  <conditionalFormatting sqref="C23">
    <cfRule type="duplicateValues" dxfId="3" priority="23"/>
  </conditionalFormatting>
  <conditionalFormatting sqref="C24 C18:C19 C21 C27">
    <cfRule type="duplicateValues" dxfId="2" priority="22"/>
  </conditionalFormatting>
  <conditionalFormatting sqref="C25:C26">
    <cfRule type="duplicateValues" dxfId="1" priority="21"/>
  </conditionalFormatting>
  <conditionalFormatting sqref="C28">
    <cfRule type="duplicateValues" dxfId="0" priority="20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L1000"/>
  <sheetViews>
    <sheetView workbookViewId="0">
      <selection activeCell="A22" sqref="A22:L41"/>
    </sheetView>
  </sheetViews>
  <sheetFormatPr defaultRowHeight="15"/>
  <cols>
    <col min="1" max="1" width="15.7109375" customWidth="1"/>
    <col min="2" max="2" width="11.28515625" customWidth="1"/>
    <col min="3" max="3" width="18.7109375" customWidth="1"/>
    <col min="4" max="4" width="10.28515625" customWidth="1"/>
    <col min="5" max="5" width="8.5703125" customWidth="1"/>
    <col min="6" max="6" width="10.28515625" customWidth="1"/>
    <col min="7" max="7" width="10.42578125" customWidth="1"/>
    <col min="8" max="8" width="10.85546875" customWidth="1"/>
    <col min="9" max="9" width="9.85546875" customWidth="1"/>
    <col min="12" max="12" width="7.42578125" customWidth="1"/>
  </cols>
  <sheetData>
    <row r="1" spans="1:12">
      <c r="A1" s="117" t="s">
        <v>1713</v>
      </c>
      <c r="B1" s="117">
        <f>COUNTA(A1:A10000)</f>
        <v>35</v>
      </c>
    </row>
    <row r="2" spans="1:12" ht="15.75" thickBot="1">
      <c r="A2" s="117" t="s">
        <v>73</v>
      </c>
    </row>
    <row r="3" spans="1:12" ht="15" customHeight="1">
      <c r="A3" s="307" t="s">
        <v>73</v>
      </c>
      <c r="B3" s="206"/>
      <c r="C3" s="206"/>
      <c r="D3" s="308" t="s">
        <v>1</v>
      </c>
      <c r="E3" s="308" t="s">
        <v>1709</v>
      </c>
      <c r="F3" t="s">
        <v>1772</v>
      </c>
      <c r="G3" s="309"/>
      <c r="H3" s="310"/>
      <c r="I3" s="310"/>
      <c r="J3" s="311" t="s">
        <v>59</v>
      </c>
      <c r="K3" s="206" t="s">
        <v>1781</v>
      </c>
      <c r="L3" s="201"/>
    </row>
    <row r="4" spans="1:12" ht="15" customHeight="1">
      <c r="A4" s="312" t="s">
        <v>73</v>
      </c>
      <c r="B4" s="500" t="s">
        <v>74</v>
      </c>
      <c r="C4" s="501"/>
      <c r="D4" s="237"/>
      <c r="E4" s="237"/>
      <c r="F4" s="237"/>
      <c r="G4" s="313"/>
      <c r="H4" s="314"/>
      <c r="I4" s="314"/>
      <c r="J4" s="315" t="s">
        <v>58</v>
      </c>
      <c r="K4" s="237" t="s">
        <v>89</v>
      </c>
      <c r="L4" s="316"/>
    </row>
    <row r="5" spans="1:12" ht="15" customHeight="1">
      <c r="A5" s="312" t="s">
        <v>73</v>
      </c>
      <c r="B5" s="501"/>
      <c r="C5" s="501"/>
      <c r="D5" s="317" t="s">
        <v>1</v>
      </c>
      <c r="E5" s="317" t="s">
        <v>1767</v>
      </c>
      <c r="F5" s="318" t="s">
        <v>1773</v>
      </c>
      <c r="G5" s="313"/>
      <c r="H5" s="314"/>
      <c r="I5" s="314"/>
      <c r="J5" s="315" t="s">
        <v>1438</v>
      </c>
      <c r="K5" s="237" t="s">
        <v>1783</v>
      </c>
      <c r="L5" s="316"/>
    </row>
    <row r="6" spans="1:12" ht="15" customHeight="1">
      <c r="A6" s="312" t="s">
        <v>73</v>
      </c>
      <c r="B6" s="237"/>
      <c r="C6" s="237"/>
      <c r="D6" s="237"/>
      <c r="E6" s="237"/>
      <c r="F6" s="237"/>
      <c r="G6" s="313"/>
      <c r="H6" s="314"/>
      <c r="I6" s="314"/>
      <c r="J6" s="315" t="s">
        <v>1716</v>
      </c>
      <c r="K6" s="237" t="s">
        <v>1784</v>
      </c>
      <c r="L6" s="316"/>
    </row>
    <row r="7" spans="1:12" ht="15" customHeight="1">
      <c r="A7" s="312" t="s">
        <v>73</v>
      </c>
      <c r="B7" s="237"/>
      <c r="E7" s="319" t="s">
        <v>1710</v>
      </c>
      <c r="F7" s="320" t="s">
        <v>2420</v>
      </c>
      <c r="G7" s="313"/>
      <c r="H7" s="314"/>
      <c r="I7" s="314"/>
      <c r="J7" s="315" t="s">
        <v>60</v>
      </c>
      <c r="K7" s="237" t="s">
        <v>1782</v>
      </c>
      <c r="L7" s="316"/>
    </row>
    <row r="8" spans="1:12" ht="15" customHeight="1">
      <c r="A8" s="312" t="s">
        <v>101</v>
      </c>
      <c r="B8" s="322" t="s">
        <v>1717</v>
      </c>
      <c r="C8" s="237" t="s">
        <v>1780</v>
      </c>
      <c r="D8" s="237"/>
      <c r="E8" s="319"/>
      <c r="F8" s="320"/>
      <c r="G8" s="313"/>
      <c r="H8" s="314"/>
      <c r="I8" s="314"/>
      <c r="J8" s="315" t="s">
        <v>61</v>
      </c>
      <c r="K8" s="237" t="s">
        <v>213</v>
      </c>
      <c r="L8" s="316"/>
    </row>
    <row r="9" spans="1:12" ht="15" customHeight="1" thickBot="1">
      <c r="A9" s="312" t="s">
        <v>73</v>
      </c>
      <c r="E9" s="237"/>
      <c r="F9" s="315" t="s">
        <v>1707</v>
      </c>
      <c r="G9" s="313"/>
      <c r="H9" s="313">
        <v>71</v>
      </c>
      <c r="I9" s="313" t="s">
        <v>75</v>
      </c>
      <c r="L9" s="316"/>
    </row>
    <row r="10" spans="1:12" ht="57" customHeight="1" thickBot="1">
      <c r="A10" s="334" t="s">
        <v>1703</v>
      </c>
      <c r="B10" s="324" t="s">
        <v>1704</v>
      </c>
      <c r="C10" s="324" t="s">
        <v>1705</v>
      </c>
      <c r="D10" s="324" t="s">
        <v>1442</v>
      </c>
      <c r="E10" s="324" t="s">
        <v>1566</v>
      </c>
      <c r="F10" s="324" t="s">
        <v>1706</v>
      </c>
      <c r="G10" s="324" t="s">
        <v>1707</v>
      </c>
      <c r="H10" s="324" t="s">
        <v>1559</v>
      </c>
      <c r="I10" s="325" t="s">
        <v>1708</v>
      </c>
      <c r="J10" s="323"/>
      <c r="K10" s="227"/>
      <c r="L10" s="321"/>
    </row>
    <row r="11" spans="1:12" ht="15" customHeight="1">
      <c r="A11">
        <v>9575</v>
      </c>
      <c r="B11">
        <v>50260517</v>
      </c>
      <c r="C11" t="s">
        <v>2396</v>
      </c>
      <c r="D11" t="s">
        <v>169</v>
      </c>
      <c r="E11" t="s">
        <v>75</v>
      </c>
      <c r="F11" t="str">
        <f>VLOOKUP(B11,Sales!$D$3:$E$31,2,FALSE)</f>
        <v>cdr1/1001</v>
      </c>
      <c r="G11" s="41">
        <v>83.5</v>
      </c>
      <c r="H11" s="197">
        <v>16.7</v>
      </c>
      <c r="I11" s="197"/>
    </row>
    <row r="12" spans="1:12" ht="15" customHeight="1">
      <c r="A12">
        <v>9575</v>
      </c>
      <c r="B12">
        <v>50260517</v>
      </c>
      <c r="C12" t="s">
        <v>2396</v>
      </c>
      <c r="D12" t="s">
        <v>169</v>
      </c>
      <c r="E12" t="s">
        <v>75</v>
      </c>
      <c r="F12" t="str">
        <f>VLOOKUP(B12,Sales!$D$3:$E$31,2,FALSE)</f>
        <v>cdr1/1001</v>
      </c>
      <c r="G12" s="41">
        <v>21</v>
      </c>
      <c r="H12" s="197">
        <v>8.4</v>
      </c>
      <c r="I12" s="197"/>
    </row>
    <row r="13" spans="1:12" ht="15" customHeight="1">
      <c r="A13">
        <v>9575</v>
      </c>
      <c r="B13">
        <v>50260517</v>
      </c>
      <c r="C13" t="s">
        <v>2396</v>
      </c>
      <c r="D13" t="s">
        <v>169</v>
      </c>
      <c r="E13" t="s">
        <v>75</v>
      </c>
      <c r="F13" t="str">
        <f>VLOOKUP(B13,Sales!$D$3:$E$31,2,FALSE)</f>
        <v>cdr1/1001</v>
      </c>
      <c r="G13" s="41">
        <v>21</v>
      </c>
      <c r="H13" s="197">
        <v>8.4</v>
      </c>
      <c r="I13" s="197"/>
    </row>
    <row r="14" spans="1:12" ht="15" customHeight="1">
      <c r="A14">
        <v>9575</v>
      </c>
      <c r="B14">
        <v>50260525</v>
      </c>
      <c r="C14" t="s">
        <v>2407</v>
      </c>
      <c r="D14" t="s">
        <v>168</v>
      </c>
      <c r="E14" t="s">
        <v>1959</v>
      </c>
      <c r="F14" t="str">
        <f>VLOOKUP(B14,Sales!$D$3:$E$31,2,FALSE)</f>
        <v>cdr1/1001</v>
      </c>
      <c r="G14" s="41">
        <v>87.5</v>
      </c>
      <c r="H14" s="197">
        <v>18.7</v>
      </c>
      <c r="I14" s="197"/>
    </row>
    <row r="15" spans="1:12" ht="15" customHeight="1">
      <c r="A15">
        <v>9575</v>
      </c>
      <c r="B15">
        <v>50260525</v>
      </c>
      <c r="C15" t="s">
        <v>2407</v>
      </c>
      <c r="D15" t="s">
        <v>168</v>
      </c>
      <c r="E15" t="s">
        <v>1959</v>
      </c>
      <c r="F15" t="str">
        <f>VLOOKUP(B15,Sales!$D$3:$E$31,2,FALSE)</f>
        <v>cdr1/1001</v>
      </c>
      <c r="G15" s="41">
        <v>25</v>
      </c>
      <c r="H15" s="197">
        <v>10.4</v>
      </c>
      <c r="I15" s="197"/>
    </row>
    <row r="16" spans="1:12" ht="15" customHeight="1">
      <c r="A16">
        <v>9575</v>
      </c>
      <c r="B16">
        <v>50260533</v>
      </c>
      <c r="C16" t="s">
        <v>2409</v>
      </c>
      <c r="D16" t="s">
        <v>1721</v>
      </c>
      <c r="E16" t="s">
        <v>75</v>
      </c>
      <c r="F16" t="str">
        <f>VLOOKUP(B16,Sales!$D$3:$E$31,2,FALSE)</f>
        <v>cdr1/1002</v>
      </c>
      <c r="G16" s="41">
        <v>21</v>
      </c>
      <c r="H16" s="197">
        <v>8.4</v>
      </c>
      <c r="I16" s="197"/>
    </row>
    <row r="17" spans="1:12" ht="15" customHeight="1">
      <c r="G17" s="403" t="s">
        <v>2417</v>
      </c>
      <c r="H17" s="197">
        <v>71</v>
      </c>
      <c r="I17" s="197" t="s">
        <v>75</v>
      </c>
    </row>
    <row r="18" spans="1:12" ht="15" customHeight="1">
      <c r="G18" s="403" t="s">
        <v>2418</v>
      </c>
      <c r="H18" s="197">
        <v>8</v>
      </c>
      <c r="I18" s="197"/>
    </row>
    <row r="19" spans="1:12" ht="15" customHeight="1">
      <c r="G19" s="403" t="s">
        <v>2419</v>
      </c>
      <c r="H19" s="197">
        <v>63</v>
      </c>
      <c r="I19" s="197"/>
    </row>
    <row r="20" spans="1:12" ht="15" customHeight="1"/>
    <row r="21" spans="1:12" ht="15" customHeight="1" thickBot="1"/>
    <row r="22" spans="1:12" ht="15" customHeight="1">
      <c r="A22" s="307" t="s">
        <v>73</v>
      </c>
      <c r="B22" s="206"/>
      <c r="C22" s="206"/>
      <c r="D22" s="308" t="s">
        <v>1</v>
      </c>
      <c r="E22" s="308" t="s">
        <v>1709</v>
      </c>
      <c r="F22" t="s">
        <v>242</v>
      </c>
      <c r="G22" s="309"/>
      <c r="H22" s="310"/>
      <c r="I22" s="310"/>
      <c r="J22" s="311" t="s">
        <v>59</v>
      </c>
      <c r="K22" s="206" t="s">
        <v>248</v>
      </c>
      <c r="L22" s="201"/>
    </row>
    <row r="23" spans="1:12" ht="15" customHeight="1">
      <c r="A23" s="312" t="s">
        <v>73</v>
      </c>
      <c r="B23" s="500" t="s">
        <v>74</v>
      </c>
      <c r="C23" s="501"/>
      <c r="D23" s="237"/>
      <c r="E23" s="237"/>
      <c r="F23" s="237"/>
      <c r="G23" s="313"/>
      <c r="H23" s="314"/>
      <c r="I23" s="314"/>
      <c r="J23" s="315" t="s">
        <v>58</v>
      </c>
      <c r="K23" s="237" t="s">
        <v>241</v>
      </c>
      <c r="L23" s="316"/>
    </row>
    <row r="24" spans="1:12" ht="15" customHeight="1">
      <c r="A24" s="312" t="s">
        <v>73</v>
      </c>
      <c r="B24" s="501"/>
      <c r="C24" s="501"/>
      <c r="D24" s="317" t="s">
        <v>1</v>
      </c>
      <c r="E24" s="317" t="s">
        <v>1767</v>
      </c>
      <c r="F24" s="318" t="s">
        <v>243</v>
      </c>
      <c r="G24" s="313"/>
      <c r="H24" s="314"/>
      <c r="I24" s="314"/>
      <c r="J24" s="315" t="s">
        <v>1438</v>
      </c>
      <c r="K24" s="237">
        <v>0</v>
      </c>
      <c r="L24" s="316"/>
    </row>
    <row r="25" spans="1:12" ht="20.25" customHeight="1">
      <c r="A25" s="312" t="s">
        <v>73</v>
      </c>
      <c r="B25" s="237"/>
      <c r="C25" s="237"/>
      <c r="D25" s="237"/>
      <c r="E25" s="237"/>
      <c r="F25" s="237"/>
      <c r="G25" s="313"/>
      <c r="H25" s="314"/>
      <c r="I25" s="314"/>
      <c r="J25" s="315" t="s">
        <v>1716</v>
      </c>
      <c r="K25" s="237" t="s">
        <v>253</v>
      </c>
      <c r="L25" s="316"/>
    </row>
    <row r="26" spans="1:12" ht="15" customHeight="1">
      <c r="A26" s="312" t="s">
        <v>73</v>
      </c>
      <c r="B26" s="237"/>
      <c r="E26" s="319" t="s">
        <v>1710</v>
      </c>
      <c r="F26" s="320" t="s">
        <v>2420</v>
      </c>
      <c r="G26" s="313"/>
      <c r="H26" s="314"/>
      <c r="I26" s="314"/>
      <c r="J26" s="315" t="s">
        <v>60</v>
      </c>
      <c r="K26" s="237" t="s">
        <v>252</v>
      </c>
      <c r="L26" s="316"/>
    </row>
    <row r="27" spans="1:12" ht="15" customHeight="1">
      <c r="A27" s="312" t="s">
        <v>101</v>
      </c>
      <c r="B27" s="322" t="s">
        <v>1717</v>
      </c>
      <c r="C27" s="237" t="s">
        <v>1642</v>
      </c>
      <c r="D27" s="237"/>
      <c r="E27" s="319"/>
      <c r="F27" s="320"/>
      <c r="G27" s="313"/>
      <c r="H27" s="314"/>
      <c r="I27" s="314"/>
      <c r="J27" s="315" t="s">
        <v>61</v>
      </c>
      <c r="K27" s="237" t="s">
        <v>88</v>
      </c>
      <c r="L27" s="316"/>
    </row>
    <row r="28" spans="1:12" ht="15" customHeight="1" thickBot="1">
      <c r="A28" s="312" t="s">
        <v>73</v>
      </c>
      <c r="E28" s="237"/>
      <c r="F28" s="315" t="s">
        <v>1707</v>
      </c>
      <c r="G28" s="313"/>
      <c r="H28" s="313">
        <v>116.80000000000001</v>
      </c>
      <c r="I28" s="313" t="s">
        <v>75</v>
      </c>
      <c r="L28" s="316"/>
    </row>
    <row r="29" spans="1:12" ht="53.25" customHeight="1" thickBot="1">
      <c r="A29" s="334" t="s">
        <v>1703</v>
      </c>
      <c r="B29" s="324" t="s">
        <v>1704</v>
      </c>
      <c r="C29" s="324" t="s">
        <v>1705</v>
      </c>
      <c r="D29" s="324" t="s">
        <v>1442</v>
      </c>
      <c r="E29" s="324" t="s">
        <v>1566</v>
      </c>
      <c r="F29" s="324" t="s">
        <v>1706</v>
      </c>
      <c r="G29" s="324" t="s">
        <v>1707</v>
      </c>
      <c r="H29" s="324" t="s">
        <v>1559</v>
      </c>
      <c r="I29" s="325" t="s">
        <v>1708</v>
      </c>
      <c r="J29" s="323"/>
      <c r="K29" s="227"/>
      <c r="L29" s="321"/>
    </row>
    <row r="30" spans="1:12" ht="15" customHeight="1">
      <c r="A30">
        <v>9575</v>
      </c>
      <c r="B30">
        <v>50260111</v>
      </c>
      <c r="C30" t="s">
        <v>2392</v>
      </c>
      <c r="D30" t="s">
        <v>1721</v>
      </c>
      <c r="E30">
        <v>1</v>
      </c>
      <c r="F30" t="s">
        <v>1341</v>
      </c>
      <c r="G30" s="41">
        <v>87.5</v>
      </c>
      <c r="H30" s="197">
        <v>18.7</v>
      </c>
      <c r="I30" s="197"/>
    </row>
    <row r="31" spans="1:12" ht="15" customHeight="1">
      <c r="A31">
        <v>9575</v>
      </c>
      <c r="B31">
        <v>50260111</v>
      </c>
      <c r="C31" t="s">
        <v>2392</v>
      </c>
      <c r="D31" t="s">
        <v>1721</v>
      </c>
      <c r="E31">
        <v>1</v>
      </c>
      <c r="F31" t="s">
        <v>1341</v>
      </c>
      <c r="G31" s="41">
        <v>25</v>
      </c>
      <c r="H31" s="197">
        <v>10.4</v>
      </c>
      <c r="I31" s="197"/>
    </row>
    <row r="32" spans="1:12" ht="15" customHeight="1">
      <c r="A32">
        <v>9575</v>
      </c>
      <c r="B32">
        <v>50260111</v>
      </c>
      <c r="C32" t="s">
        <v>2392</v>
      </c>
      <c r="D32" t="s">
        <v>1721</v>
      </c>
      <c r="E32">
        <v>1</v>
      </c>
      <c r="F32" t="s">
        <v>1341</v>
      </c>
      <c r="G32" s="41">
        <v>25</v>
      </c>
      <c r="H32" s="197">
        <v>10.4</v>
      </c>
      <c r="I32" s="197"/>
    </row>
    <row r="33" spans="1:9" ht="15" customHeight="1">
      <c r="A33">
        <v>9575</v>
      </c>
      <c r="B33">
        <v>50260111</v>
      </c>
      <c r="C33" t="s">
        <v>2392</v>
      </c>
      <c r="D33" t="s">
        <v>1721</v>
      </c>
      <c r="E33">
        <v>1</v>
      </c>
      <c r="F33" t="s">
        <v>1341</v>
      </c>
      <c r="G33" s="41">
        <v>25</v>
      </c>
      <c r="H33" s="197">
        <v>10.4</v>
      </c>
      <c r="I33" s="197"/>
    </row>
    <row r="34" spans="1:9" ht="15" customHeight="1">
      <c r="A34">
        <v>9575</v>
      </c>
      <c r="B34">
        <v>50260129</v>
      </c>
      <c r="C34" t="s">
        <v>2393</v>
      </c>
      <c r="D34" t="s">
        <v>1721</v>
      </c>
      <c r="E34" t="s">
        <v>75</v>
      </c>
      <c r="F34" t="s">
        <v>1341</v>
      </c>
      <c r="G34" s="41">
        <v>83.5</v>
      </c>
      <c r="H34" s="197">
        <v>16.7</v>
      </c>
      <c r="I34" s="197"/>
    </row>
    <row r="35" spans="1:9" ht="15" customHeight="1">
      <c r="A35">
        <v>9575</v>
      </c>
      <c r="B35">
        <v>50260129</v>
      </c>
      <c r="C35" t="s">
        <v>2393</v>
      </c>
      <c r="D35" t="s">
        <v>1721</v>
      </c>
      <c r="E35" t="s">
        <v>75</v>
      </c>
      <c r="F35" t="s">
        <v>1341</v>
      </c>
      <c r="G35" s="41">
        <v>21</v>
      </c>
      <c r="H35" s="197">
        <v>8.4</v>
      </c>
      <c r="I35" s="197"/>
    </row>
    <row r="36" spans="1:9" ht="15" customHeight="1">
      <c r="A36">
        <v>9575</v>
      </c>
      <c r="B36">
        <v>50260145</v>
      </c>
      <c r="C36" t="s">
        <v>2394</v>
      </c>
      <c r="D36" t="s">
        <v>1721</v>
      </c>
      <c r="E36" t="s">
        <v>75</v>
      </c>
      <c r="F36" t="s">
        <v>1320</v>
      </c>
      <c r="G36" s="41">
        <v>83.5</v>
      </c>
      <c r="H36" s="197">
        <v>16.7</v>
      </c>
      <c r="I36" s="197"/>
    </row>
    <row r="37" spans="1:9" ht="15" customHeight="1">
      <c r="A37">
        <v>9575</v>
      </c>
      <c r="B37">
        <v>50260145</v>
      </c>
      <c r="C37" t="s">
        <v>2394</v>
      </c>
      <c r="D37" t="s">
        <v>1721</v>
      </c>
      <c r="E37" t="s">
        <v>75</v>
      </c>
      <c r="F37" t="s">
        <v>1320</v>
      </c>
      <c r="G37" s="41">
        <v>21</v>
      </c>
      <c r="H37" s="197">
        <v>8.4</v>
      </c>
      <c r="I37" s="197"/>
    </row>
    <row r="38" spans="1:9" ht="15" customHeight="1">
      <c r="A38">
        <v>9575</v>
      </c>
      <c r="B38">
        <v>50260624</v>
      </c>
      <c r="C38" t="s">
        <v>2411</v>
      </c>
      <c r="D38" t="s">
        <v>1721</v>
      </c>
      <c r="E38" t="s">
        <v>75</v>
      </c>
      <c r="F38" t="s">
        <v>1341</v>
      </c>
      <c r="G38" s="41">
        <v>83.5</v>
      </c>
      <c r="H38" s="197">
        <v>16.7</v>
      </c>
      <c r="I38" s="197"/>
    </row>
    <row r="39" spans="1:9" ht="16.5" customHeight="1">
      <c r="G39" s="403" t="s">
        <v>2417</v>
      </c>
      <c r="H39" s="197">
        <v>116.80000000000001</v>
      </c>
      <c r="I39" s="197" t="s">
        <v>75</v>
      </c>
    </row>
    <row r="40" spans="1:9" ht="15" customHeight="1">
      <c r="G40" s="403" t="s">
        <v>2418</v>
      </c>
      <c r="H40" s="197">
        <v>8</v>
      </c>
      <c r="I40" s="197"/>
    </row>
    <row r="41" spans="1:9" ht="15" customHeight="1">
      <c r="G41" s="403" t="s">
        <v>2419</v>
      </c>
      <c r="H41" s="197">
        <v>108.80000000000001</v>
      </c>
      <c r="I41" s="197"/>
    </row>
    <row r="42" spans="1:9" ht="15" customHeight="1"/>
    <row r="43" spans="1:9" ht="15" customHeight="1">
      <c r="A43" s="117" t="s">
        <v>1712</v>
      </c>
    </row>
    <row r="44" spans="1:9" ht="15" customHeight="1">
      <c r="A44" s="117" t="s">
        <v>1712</v>
      </c>
    </row>
    <row r="45" spans="1:9" ht="15" customHeight="1"/>
    <row r="46" spans="1:9" ht="15" customHeight="1"/>
    <row r="47" spans="1:9" ht="15" customHeight="1"/>
    <row r="48" spans="1:9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</sheetData>
  <mergeCells count="2">
    <mergeCell ref="B4:C5"/>
    <mergeCell ref="B23:C24"/>
  </mergeCells>
  <pageMargins left="0.70866141732283472" right="0.70866141732283472" top="0.74803149606299213" bottom="0.74803149606299213" header="0.31496062992125984" footer="0.31496062992125984"/>
  <pageSetup paperSize="9" scale="67" orientation="landscape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L1000"/>
  <sheetViews>
    <sheetView topLeftCell="A40" workbookViewId="0">
      <selection activeCell="A55" sqref="A55:L66"/>
    </sheetView>
  </sheetViews>
  <sheetFormatPr defaultRowHeight="15"/>
  <cols>
    <col min="1" max="1" width="15.7109375" customWidth="1"/>
    <col min="2" max="2" width="11.28515625" customWidth="1"/>
    <col min="3" max="3" width="18.7109375" customWidth="1"/>
    <col min="4" max="4" width="10.28515625" customWidth="1"/>
    <col min="5" max="5" width="8.5703125" customWidth="1"/>
    <col min="6" max="6" width="10.28515625" customWidth="1"/>
    <col min="7" max="7" width="10.42578125" customWidth="1"/>
    <col min="8" max="8" width="10.85546875" customWidth="1"/>
    <col min="9" max="9" width="9.85546875" customWidth="1"/>
    <col min="12" max="12" width="14.5703125" customWidth="1"/>
  </cols>
  <sheetData>
    <row r="1" spans="1:12">
      <c r="A1" s="117" t="s">
        <v>1713</v>
      </c>
      <c r="B1" s="117">
        <f>COUNTA(A1:A10000)</f>
        <v>51</v>
      </c>
    </row>
    <row r="2" spans="1:12" ht="15.75" thickBot="1">
      <c r="A2" s="117" t="s">
        <v>73</v>
      </c>
    </row>
    <row r="3" spans="1:12" ht="15" customHeight="1">
      <c r="A3" s="307" t="s">
        <v>73</v>
      </c>
      <c r="B3" s="206"/>
      <c r="C3" s="206"/>
      <c r="D3" s="308" t="s">
        <v>184</v>
      </c>
      <c r="E3" s="308" t="s">
        <v>1709</v>
      </c>
      <c r="F3" t="s">
        <v>1341</v>
      </c>
      <c r="G3" s="309"/>
      <c r="H3" s="310"/>
      <c r="I3" s="310"/>
      <c r="J3" s="311" t="s">
        <v>59</v>
      </c>
      <c r="K3" s="206" t="s">
        <v>1337</v>
      </c>
      <c r="L3" s="201"/>
    </row>
    <row r="4" spans="1:12" ht="15" customHeight="1">
      <c r="A4" s="312" t="s">
        <v>73</v>
      </c>
      <c r="B4" s="500" t="s">
        <v>74</v>
      </c>
      <c r="C4" s="501"/>
      <c r="D4" s="237"/>
      <c r="E4" s="237"/>
      <c r="F4" s="237"/>
      <c r="G4" s="313"/>
      <c r="H4" s="314"/>
      <c r="I4" s="314"/>
      <c r="J4" s="315" t="s">
        <v>58</v>
      </c>
      <c r="K4" s="237" t="s">
        <v>241</v>
      </c>
      <c r="L4" s="316"/>
    </row>
    <row r="5" spans="1:12" ht="15" customHeight="1">
      <c r="A5" s="312" t="s">
        <v>73</v>
      </c>
      <c r="B5" s="501"/>
      <c r="C5" s="501"/>
      <c r="D5" s="317"/>
      <c r="E5" s="317" t="s">
        <v>1766</v>
      </c>
      <c r="F5" s="318" t="s">
        <v>1337</v>
      </c>
      <c r="G5" s="313"/>
      <c r="H5" s="314"/>
      <c r="I5" s="314"/>
      <c r="J5" s="315" t="s">
        <v>1438</v>
      </c>
      <c r="K5" s="237">
        <v>0</v>
      </c>
      <c r="L5" s="316"/>
    </row>
    <row r="6" spans="1:12" ht="15" customHeight="1">
      <c r="A6" s="312" t="s">
        <v>73</v>
      </c>
      <c r="B6" s="237"/>
      <c r="C6" s="237"/>
      <c r="D6" s="237"/>
      <c r="E6" s="237"/>
      <c r="F6" s="237"/>
      <c r="G6" s="313"/>
      <c r="H6" s="314"/>
      <c r="I6" s="314"/>
      <c r="J6" s="315" t="s">
        <v>1716</v>
      </c>
      <c r="K6" s="237" t="s">
        <v>253</v>
      </c>
      <c r="L6" s="316"/>
    </row>
    <row r="7" spans="1:12" ht="15" customHeight="1">
      <c r="A7" s="312" t="s">
        <v>73</v>
      </c>
      <c r="B7" s="237"/>
      <c r="E7" s="319" t="s">
        <v>1710</v>
      </c>
      <c r="F7" s="320" t="s">
        <v>2420</v>
      </c>
      <c r="G7" s="313"/>
      <c r="H7" s="314"/>
      <c r="I7" s="314"/>
      <c r="J7" s="315" t="s">
        <v>60</v>
      </c>
      <c r="K7" s="237" t="s">
        <v>252</v>
      </c>
      <c r="L7" s="316"/>
    </row>
    <row r="8" spans="1:12" ht="15" customHeight="1">
      <c r="A8" s="312" t="s">
        <v>101</v>
      </c>
      <c r="B8" s="322" t="s">
        <v>1717</v>
      </c>
      <c r="C8" s="237" t="s">
        <v>1642</v>
      </c>
      <c r="D8" s="237"/>
      <c r="E8" s="319"/>
      <c r="F8" s="320"/>
      <c r="G8" s="313"/>
      <c r="H8" s="314"/>
      <c r="I8" s="314"/>
      <c r="J8" s="315" t="s">
        <v>61</v>
      </c>
      <c r="K8" s="237" t="s">
        <v>254</v>
      </c>
      <c r="L8" s="316"/>
    </row>
    <row r="9" spans="1:12" ht="15" customHeight="1" thickBot="1">
      <c r="A9" s="312" t="s">
        <v>73</v>
      </c>
      <c r="E9" s="237"/>
      <c r="F9" s="315" t="s">
        <v>1707</v>
      </c>
      <c r="G9" s="313"/>
      <c r="H9" s="313" t="s">
        <v>75</v>
      </c>
      <c r="I9" s="313">
        <v>258.79999999999995</v>
      </c>
      <c r="L9" s="316"/>
    </row>
    <row r="10" spans="1:12" ht="57" customHeight="1" thickBot="1">
      <c r="A10" s="334" t="s">
        <v>1703</v>
      </c>
      <c r="B10" s="324" t="s">
        <v>1704</v>
      </c>
      <c r="C10" s="324" t="s">
        <v>1705</v>
      </c>
      <c r="D10" s="324" t="s">
        <v>1442</v>
      </c>
      <c r="E10" s="324" t="s">
        <v>1566</v>
      </c>
      <c r="F10" s="324" t="s">
        <v>1706</v>
      </c>
      <c r="G10" s="324" t="s">
        <v>1707</v>
      </c>
      <c r="H10" s="324" t="s">
        <v>1559</v>
      </c>
      <c r="I10" s="325" t="s">
        <v>1708</v>
      </c>
      <c r="J10" s="323"/>
      <c r="K10" s="227"/>
      <c r="L10" s="321"/>
    </row>
    <row r="11" spans="1:12" ht="15" customHeight="1">
      <c r="A11">
        <v>9575</v>
      </c>
      <c r="B11">
        <v>50260111</v>
      </c>
      <c r="C11" t="s">
        <v>2392</v>
      </c>
      <c r="D11" t="s">
        <v>1721</v>
      </c>
      <c r="E11">
        <v>1</v>
      </c>
      <c r="F11" t="s">
        <v>1341</v>
      </c>
      <c r="G11" s="41">
        <v>87.5</v>
      </c>
      <c r="H11" s="197"/>
      <c r="I11" s="197">
        <v>68.8</v>
      </c>
    </row>
    <row r="12" spans="1:12" ht="15" customHeight="1">
      <c r="A12">
        <v>9575</v>
      </c>
      <c r="B12">
        <v>50260111</v>
      </c>
      <c r="C12" t="s">
        <v>2392</v>
      </c>
      <c r="D12" t="s">
        <v>1721</v>
      </c>
      <c r="E12">
        <v>1</v>
      </c>
      <c r="F12" t="s">
        <v>1341</v>
      </c>
      <c r="G12" s="235">
        <v>25</v>
      </c>
      <c r="H12" s="197"/>
      <c r="I12" s="197">
        <v>14.6</v>
      </c>
    </row>
    <row r="13" spans="1:12" ht="15" customHeight="1">
      <c r="A13">
        <v>9575</v>
      </c>
      <c r="B13">
        <v>50260111</v>
      </c>
      <c r="C13" t="s">
        <v>2392</v>
      </c>
      <c r="D13" t="s">
        <v>1721</v>
      </c>
      <c r="E13">
        <v>1</v>
      </c>
      <c r="F13" t="s">
        <v>1341</v>
      </c>
      <c r="G13" s="235">
        <v>25</v>
      </c>
      <c r="H13" s="197"/>
      <c r="I13" s="197">
        <v>14.6</v>
      </c>
    </row>
    <row r="14" spans="1:12" ht="15" customHeight="1">
      <c r="A14">
        <v>9575</v>
      </c>
      <c r="B14">
        <v>50260111</v>
      </c>
      <c r="C14" t="s">
        <v>2392</v>
      </c>
      <c r="D14" t="s">
        <v>1721</v>
      </c>
      <c r="E14">
        <v>1</v>
      </c>
      <c r="F14" t="s">
        <v>1341</v>
      </c>
      <c r="G14" s="235">
        <v>25</v>
      </c>
      <c r="H14" s="197"/>
      <c r="I14" s="197">
        <v>14.6</v>
      </c>
    </row>
    <row r="15" spans="1:12" ht="15" customHeight="1">
      <c r="A15">
        <v>9575</v>
      </c>
      <c r="B15">
        <v>50260129</v>
      </c>
      <c r="C15" t="s">
        <v>2393</v>
      </c>
      <c r="D15" t="s">
        <v>1721</v>
      </c>
      <c r="E15" t="s">
        <v>75</v>
      </c>
      <c r="F15" t="s">
        <v>1341</v>
      </c>
      <c r="G15" s="41">
        <v>83.5</v>
      </c>
      <c r="H15" s="197"/>
      <c r="I15" s="197">
        <v>66.8</v>
      </c>
    </row>
    <row r="16" spans="1:12" ht="15" customHeight="1">
      <c r="A16">
        <v>9575</v>
      </c>
      <c r="B16">
        <v>50260129</v>
      </c>
      <c r="C16" t="s">
        <v>2393</v>
      </c>
      <c r="D16" t="s">
        <v>1721</v>
      </c>
      <c r="E16" t="s">
        <v>75</v>
      </c>
      <c r="F16" t="s">
        <v>1341</v>
      </c>
      <c r="G16" s="41">
        <v>21</v>
      </c>
      <c r="H16" s="197"/>
      <c r="I16" s="197">
        <v>12.6</v>
      </c>
    </row>
    <row r="17" spans="1:12" ht="15" customHeight="1">
      <c r="A17">
        <v>9575</v>
      </c>
      <c r="B17">
        <v>50260624</v>
      </c>
      <c r="C17" t="s">
        <v>2411</v>
      </c>
      <c r="D17" t="s">
        <v>1721</v>
      </c>
      <c r="E17" t="s">
        <v>75</v>
      </c>
      <c r="F17" t="s">
        <v>1341</v>
      </c>
      <c r="G17" s="41">
        <v>83.5</v>
      </c>
      <c r="H17" s="197"/>
      <c r="I17" s="197">
        <v>66.8</v>
      </c>
    </row>
    <row r="18" spans="1:12" ht="15" customHeight="1">
      <c r="G18" s="41"/>
      <c r="H18" s="403" t="s">
        <v>2417</v>
      </c>
      <c r="I18" s="197">
        <v>258.79999999999995</v>
      </c>
    </row>
    <row r="19" spans="1:12" ht="15" customHeight="1">
      <c r="G19" s="41"/>
      <c r="H19" s="403" t="s">
        <v>2418</v>
      </c>
      <c r="I19" s="197">
        <v>8</v>
      </c>
    </row>
    <row r="20" spans="1:12" ht="15" customHeight="1">
      <c r="G20" s="41"/>
      <c r="H20" s="403" t="s">
        <v>2419</v>
      </c>
      <c r="I20" s="197">
        <v>250.79999999999995</v>
      </c>
    </row>
    <row r="21" spans="1:12" ht="15" customHeight="1"/>
    <row r="22" spans="1:12" ht="15" customHeight="1" thickBot="1"/>
    <row r="23" spans="1:12" ht="16.5" customHeight="1">
      <c r="A23" s="307" t="s">
        <v>73</v>
      </c>
      <c r="B23" s="206"/>
      <c r="C23" s="206"/>
      <c r="D23" s="308" t="s">
        <v>184</v>
      </c>
      <c r="E23" s="308" t="s">
        <v>1709</v>
      </c>
      <c r="F23" t="s">
        <v>1320</v>
      </c>
      <c r="G23" s="309"/>
      <c r="H23" s="310"/>
      <c r="I23" s="310"/>
      <c r="J23" s="311" t="s">
        <v>59</v>
      </c>
      <c r="K23" s="206" t="s">
        <v>1718</v>
      </c>
      <c r="L23" s="201"/>
    </row>
    <row r="24" spans="1:12" ht="15" customHeight="1">
      <c r="A24" s="312" t="s">
        <v>73</v>
      </c>
      <c r="B24" s="500" t="s">
        <v>74</v>
      </c>
      <c r="C24" s="501"/>
      <c r="D24" s="237"/>
      <c r="E24" s="237"/>
      <c r="F24" s="237"/>
      <c r="G24" s="313"/>
      <c r="H24" s="314"/>
      <c r="I24" s="314"/>
      <c r="J24" s="315" t="s">
        <v>58</v>
      </c>
      <c r="K24" s="237" t="s">
        <v>241</v>
      </c>
      <c r="L24" s="316"/>
    </row>
    <row r="25" spans="1:12" ht="15" customHeight="1">
      <c r="A25" s="312" t="s">
        <v>73</v>
      </c>
      <c r="B25" s="501"/>
      <c r="C25" s="501"/>
      <c r="D25" s="317"/>
      <c r="E25" s="317" t="s">
        <v>1766</v>
      </c>
      <c r="F25" s="318" t="s">
        <v>1718</v>
      </c>
      <c r="G25" s="313"/>
      <c r="H25" s="314"/>
      <c r="I25" s="314"/>
      <c r="J25" s="315" t="s">
        <v>1438</v>
      </c>
      <c r="K25" s="237">
        <v>0</v>
      </c>
      <c r="L25" s="316"/>
    </row>
    <row r="26" spans="1:12" ht="15" customHeight="1">
      <c r="A26" s="312" t="s">
        <v>73</v>
      </c>
      <c r="B26" s="237"/>
      <c r="C26" s="237"/>
      <c r="D26" s="237"/>
      <c r="E26" s="237"/>
      <c r="F26" s="237"/>
      <c r="G26" s="313"/>
      <c r="H26" s="314"/>
      <c r="I26" s="314"/>
      <c r="J26" s="315" t="s">
        <v>1716</v>
      </c>
      <c r="K26" s="237" t="s">
        <v>1331</v>
      </c>
      <c r="L26" s="316"/>
    </row>
    <row r="27" spans="1:12" ht="15" customHeight="1">
      <c r="A27" s="312" t="s">
        <v>73</v>
      </c>
      <c r="B27" s="237"/>
      <c r="E27" s="319" t="s">
        <v>1710</v>
      </c>
      <c r="F27" s="320" t="s">
        <v>2420</v>
      </c>
      <c r="G27" s="313"/>
      <c r="H27" s="314"/>
      <c r="I27" s="314"/>
      <c r="J27" s="315" t="s">
        <v>60</v>
      </c>
      <c r="K27" s="237" t="s">
        <v>1330</v>
      </c>
      <c r="L27" s="316"/>
    </row>
    <row r="28" spans="1:12" ht="15" customHeight="1">
      <c r="A28" s="312" t="s">
        <v>101</v>
      </c>
      <c r="B28" s="322" t="s">
        <v>1717</v>
      </c>
      <c r="C28" s="237" t="s">
        <v>1640</v>
      </c>
      <c r="D28" s="237"/>
      <c r="E28" s="319"/>
      <c r="F28" s="320"/>
      <c r="G28" s="313"/>
      <c r="H28" s="314"/>
      <c r="I28" s="314"/>
      <c r="J28" s="315" t="s">
        <v>61</v>
      </c>
      <c r="K28" s="237" t="s">
        <v>213</v>
      </c>
      <c r="L28" s="316"/>
    </row>
    <row r="29" spans="1:12" ht="15" customHeight="1" thickBot="1">
      <c r="A29" s="312" t="s">
        <v>73</v>
      </c>
      <c r="E29" s="237"/>
      <c r="F29" s="315" t="s">
        <v>1707</v>
      </c>
      <c r="G29" s="313"/>
      <c r="H29" s="313" t="s">
        <v>75</v>
      </c>
      <c r="I29" s="313">
        <v>79.400000000000006</v>
      </c>
      <c r="L29" s="316"/>
    </row>
    <row r="30" spans="1:12" ht="55.5" customHeight="1" thickBot="1">
      <c r="A30" s="334" t="s">
        <v>1703</v>
      </c>
      <c r="B30" s="324" t="s">
        <v>1704</v>
      </c>
      <c r="C30" s="324" t="s">
        <v>1705</v>
      </c>
      <c r="D30" s="324" t="s">
        <v>1442</v>
      </c>
      <c r="E30" s="324" t="s">
        <v>1566</v>
      </c>
      <c r="F30" s="324" t="s">
        <v>1706</v>
      </c>
      <c r="G30" s="324" t="s">
        <v>1707</v>
      </c>
      <c r="H30" s="324" t="s">
        <v>1559</v>
      </c>
      <c r="I30" s="325" t="s">
        <v>1708</v>
      </c>
      <c r="J30" s="323"/>
      <c r="K30" s="227"/>
      <c r="L30" s="321"/>
    </row>
    <row r="31" spans="1:12" ht="15" customHeight="1">
      <c r="A31">
        <v>9575</v>
      </c>
      <c r="B31">
        <v>50260145</v>
      </c>
      <c r="C31" t="s">
        <v>2394</v>
      </c>
      <c r="D31" t="s">
        <v>1721</v>
      </c>
      <c r="E31" t="s">
        <v>75</v>
      </c>
      <c r="F31" t="s">
        <v>1320</v>
      </c>
      <c r="G31" s="41">
        <v>83.5</v>
      </c>
      <c r="H31" s="197"/>
      <c r="I31" s="197">
        <v>66.8</v>
      </c>
    </row>
    <row r="32" spans="1:12" ht="15" customHeight="1">
      <c r="A32">
        <v>9575</v>
      </c>
      <c r="B32">
        <v>50260145</v>
      </c>
      <c r="C32" t="s">
        <v>2394</v>
      </c>
      <c r="D32" t="s">
        <v>1721</v>
      </c>
      <c r="E32" t="s">
        <v>75</v>
      </c>
      <c r="F32" t="s">
        <v>1320</v>
      </c>
      <c r="G32" s="235">
        <v>21</v>
      </c>
      <c r="H32" s="197"/>
      <c r="I32" s="197">
        <v>12.6</v>
      </c>
    </row>
    <row r="33" spans="1:12" ht="15" customHeight="1">
      <c r="G33" s="41"/>
      <c r="H33" s="403" t="s">
        <v>2417</v>
      </c>
      <c r="I33" s="197">
        <v>79.400000000000006</v>
      </c>
    </row>
    <row r="34" spans="1:12" ht="15" customHeight="1">
      <c r="G34" s="41"/>
      <c r="H34" s="403" t="s">
        <v>2418</v>
      </c>
      <c r="I34" s="197">
        <v>8</v>
      </c>
    </row>
    <row r="35" spans="1:12" ht="15" customHeight="1">
      <c r="G35" s="41"/>
      <c r="H35" s="403" t="s">
        <v>2419</v>
      </c>
      <c r="I35" s="197">
        <v>71.400000000000006</v>
      </c>
    </row>
    <row r="36" spans="1:12" ht="19.5" customHeight="1"/>
    <row r="37" spans="1:12" ht="15" customHeight="1" thickBot="1"/>
    <row r="38" spans="1:12" ht="15" customHeight="1">
      <c r="A38" s="307" t="s">
        <v>73</v>
      </c>
      <c r="B38" s="206"/>
      <c r="C38" s="206"/>
      <c r="D38" s="308" t="s">
        <v>184</v>
      </c>
      <c r="E38" s="308" t="s">
        <v>1709</v>
      </c>
      <c r="F38" t="s">
        <v>1786</v>
      </c>
      <c r="G38" s="309"/>
      <c r="H38" s="310"/>
      <c r="I38" s="310"/>
      <c r="J38" s="311" t="s">
        <v>59</v>
      </c>
      <c r="K38" s="206" t="s">
        <v>1781</v>
      </c>
      <c r="L38" s="201"/>
    </row>
    <row r="39" spans="1:12" ht="15" customHeight="1">
      <c r="A39" s="312" t="s">
        <v>73</v>
      </c>
      <c r="B39" s="500" t="s">
        <v>74</v>
      </c>
      <c r="C39" s="501"/>
      <c r="D39" s="237"/>
      <c r="E39" s="237"/>
      <c r="F39" s="237"/>
      <c r="G39" s="313"/>
      <c r="H39" s="314"/>
      <c r="I39" s="314"/>
      <c r="J39" s="315" t="s">
        <v>58</v>
      </c>
      <c r="K39" s="237" t="s">
        <v>89</v>
      </c>
      <c r="L39" s="316"/>
    </row>
    <row r="40" spans="1:12" ht="15" customHeight="1">
      <c r="A40" s="312" t="s">
        <v>73</v>
      </c>
      <c r="B40" s="501"/>
      <c r="C40" s="501"/>
      <c r="D40" s="317"/>
      <c r="E40" s="317" t="s">
        <v>1766</v>
      </c>
      <c r="F40" s="318" t="s">
        <v>1778</v>
      </c>
      <c r="G40" s="313"/>
      <c r="H40" s="314"/>
      <c r="I40" s="314"/>
      <c r="J40" s="315" t="s">
        <v>1438</v>
      </c>
      <c r="K40" s="237" t="s">
        <v>1783</v>
      </c>
      <c r="L40" s="316"/>
    </row>
    <row r="41" spans="1:12" ht="15" customHeight="1">
      <c r="A41" s="312" t="s">
        <v>73</v>
      </c>
      <c r="B41" s="237"/>
      <c r="C41" s="237"/>
      <c r="D41" s="237"/>
      <c r="E41" s="237"/>
      <c r="F41" s="237"/>
      <c r="G41" s="313"/>
      <c r="H41" s="314"/>
      <c r="I41" s="314"/>
      <c r="J41" s="315" t="s">
        <v>1716</v>
      </c>
      <c r="K41" s="237" t="s">
        <v>1784</v>
      </c>
      <c r="L41" s="316"/>
    </row>
    <row r="42" spans="1:12" ht="15" customHeight="1">
      <c r="A42" s="312" t="s">
        <v>73</v>
      </c>
      <c r="B42" s="237"/>
      <c r="E42" s="319" t="s">
        <v>1710</v>
      </c>
      <c r="F42" s="320" t="s">
        <v>2420</v>
      </c>
      <c r="G42" s="313"/>
      <c r="H42" s="314"/>
      <c r="I42" s="314"/>
      <c r="J42" s="315" t="s">
        <v>60</v>
      </c>
      <c r="K42" s="237" t="s">
        <v>1792</v>
      </c>
      <c r="L42" s="316"/>
    </row>
    <row r="43" spans="1:12" ht="15" customHeight="1">
      <c r="A43" s="312" t="s">
        <v>101</v>
      </c>
      <c r="B43" s="322" t="s">
        <v>1717</v>
      </c>
      <c r="C43" s="237" t="s">
        <v>1780</v>
      </c>
      <c r="D43" s="237"/>
      <c r="E43" s="319"/>
      <c r="F43" s="320"/>
      <c r="G43" s="313"/>
      <c r="H43" s="314"/>
      <c r="I43" s="314"/>
      <c r="J43" s="315" t="s">
        <v>61</v>
      </c>
      <c r="K43" s="237" t="s">
        <v>213</v>
      </c>
      <c r="L43" s="316"/>
    </row>
    <row r="44" spans="1:12" ht="15" customHeight="1" thickBot="1">
      <c r="A44" s="312" t="s">
        <v>73</v>
      </c>
      <c r="E44" s="237"/>
      <c r="F44" s="315" t="s">
        <v>1707</v>
      </c>
      <c r="G44" s="313"/>
      <c r="H44" s="313" t="s">
        <v>75</v>
      </c>
      <c r="I44" s="313">
        <v>175.39999999999998</v>
      </c>
      <c r="L44" s="316"/>
    </row>
    <row r="45" spans="1:12" ht="57" customHeight="1" thickBot="1">
      <c r="A45" s="334" t="s">
        <v>1703</v>
      </c>
      <c r="B45" s="324" t="s">
        <v>1704</v>
      </c>
      <c r="C45" s="324" t="s">
        <v>1705</v>
      </c>
      <c r="D45" s="324" t="s">
        <v>1442</v>
      </c>
      <c r="E45" s="324" t="s">
        <v>1566</v>
      </c>
      <c r="F45" s="324" t="s">
        <v>1706</v>
      </c>
      <c r="G45" s="324" t="s">
        <v>1707</v>
      </c>
      <c r="H45" s="324" t="s">
        <v>1559</v>
      </c>
      <c r="I45" s="325" t="s">
        <v>1708</v>
      </c>
      <c r="J45" s="323"/>
      <c r="K45" s="227"/>
      <c r="L45" s="321"/>
    </row>
    <row r="46" spans="1:12" ht="15" customHeight="1">
      <c r="A46">
        <v>9575</v>
      </c>
      <c r="B46">
        <v>50260517</v>
      </c>
      <c r="C46" t="s">
        <v>2396</v>
      </c>
      <c r="D46" t="s">
        <v>169</v>
      </c>
      <c r="E46" t="s">
        <v>75</v>
      </c>
      <c r="F46" t="s">
        <v>1786</v>
      </c>
      <c r="G46" s="41">
        <v>83.5</v>
      </c>
      <c r="H46" s="197"/>
      <c r="I46" s="197">
        <v>66.8</v>
      </c>
    </row>
    <row r="47" spans="1:12" ht="15" customHeight="1">
      <c r="A47">
        <v>9575</v>
      </c>
      <c r="B47">
        <v>50260517</v>
      </c>
      <c r="C47" t="s">
        <v>2396</v>
      </c>
      <c r="D47" t="s">
        <v>169</v>
      </c>
      <c r="E47" t="s">
        <v>75</v>
      </c>
      <c r="F47" t="s">
        <v>1786</v>
      </c>
      <c r="G47" s="235">
        <v>21</v>
      </c>
      <c r="H47" s="197"/>
      <c r="I47" s="197">
        <v>12.6</v>
      </c>
    </row>
    <row r="48" spans="1:12" ht="15" customHeight="1">
      <c r="A48">
        <v>9575</v>
      </c>
      <c r="B48">
        <v>50260517</v>
      </c>
      <c r="C48" t="s">
        <v>2396</v>
      </c>
      <c r="D48" t="s">
        <v>169</v>
      </c>
      <c r="E48" t="s">
        <v>75</v>
      </c>
      <c r="F48" t="s">
        <v>1786</v>
      </c>
      <c r="G48" s="235">
        <v>21</v>
      </c>
      <c r="H48" s="197"/>
      <c r="I48" s="197">
        <v>12.6</v>
      </c>
    </row>
    <row r="49" spans="1:12" ht="16.5" customHeight="1">
      <c r="A49">
        <v>9575</v>
      </c>
      <c r="B49">
        <v>50260525</v>
      </c>
      <c r="C49" t="s">
        <v>2407</v>
      </c>
      <c r="D49" t="s">
        <v>168</v>
      </c>
      <c r="E49" t="s">
        <v>1959</v>
      </c>
      <c r="F49" t="s">
        <v>1786</v>
      </c>
      <c r="G49" s="235">
        <v>87.5</v>
      </c>
      <c r="H49" s="197"/>
      <c r="I49" s="197">
        <v>68.8</v>
      </c>
    </row>
    <row r="50" spans="1:12" ht="15" customHeight="1">
      <c r="A50">
        <v>9575</v>
      </c>
      <c r="B50">
        <v>50260525</v>
      </c>
      <c r="C50" t="s">
        <v>2407</v>
      </c>
      <c r="D50" t="s">
        <v>168</v>
      </c>
      <c r="E50" t="s">
        <v>1959</v>
      </c>
      <c r="F50" t="s">
        <v>1786</v>
      </c>
      <c r="G50" s="235">
        <v>25</v>
      </c>
      <c r="H50" s="197"/>
      <c r="I50" s="197">
        <v>14.6</v>
      </c>
    </row>
    <row r="51" spans="1:12" ht="15" customHeight="1">
      <c r="G51" s="41"/>
      <c r="H51" s="403" t="s">
        <v>2417</v>
      </c>
      <c r="I51" s="197">
        <v>175.39999999999998</v>
      </c>
    </row>
    <row r="52" spans="1:12" ht="15" customHeight="1">
      <c r="G52" s="41"/>
      <c r="H52" s="403" t="s">
        <v>2418</v>
      </c>
      <c r="I52" s="197">
        <v>8</v>
      </c>
    </row>
    <row r="53" spans="1:12" ht="15" customHeight="1">
      <c r="G53" s="41"/>
      <c r="H53" s="403" t="s">
        <v>2419</v>
      </c>
      <c r="I53" s="197">
        <v>167.39999999999998</v>
      </c>
    </row>
    <row r="54" spans="1:12" ht="15" customHeight="1" thickBot="1"/>
    <row r="55" spans="1:12" ht="15" customHeight="1">
      <c r="A55" s="307" t="s">
        <v>73</v>
      </c>
      <c r="B55" s="206"/>
      <c r="C55" s="206"/>
      <c r="D55" s="308" t="s">
        <v>184</v>
      </c>
      <c r="E55" s="308" t="s">
        <v>1709</v>
      </c>
      <c r="F55" t="s">
        <v>2152</v>
      </c>
      <c r="G55" s="309"/>
      <c r="H55" s="310"/>
      <c r="I55" s="310"/>
      <c r="J55" s="311" t="s">
        <v>59</v>
      </c>
      <c r="K55" s="206" t="s">
        <v>1819</v>
      </c>
      <c r="L55" s="201"/>
    </row>
    <row r="56" spans="1:12" ht="15" customHeight="1">
      <c r="A56" s="312" t="s">
        <v>73</v>
      </c>
      <c r="B56" s="500" t="s">
        <v>74</v>
      </c>
      <c r="C56" s="501"/>
      <c r="D56" s="237"/>
      <c r="E56" s="237"/>
      <c r="F56" s="237"/>
      <c r="G56" s="313"/>
      <c r="H56" s="314"/>
      <c r="I56" s="314"/>
      <c r="J56" s="315" t="s">
        <v>58</v>
      </c>
      <c r="K56" s="237" t="s">
        <v>89</v>
      </c>
      <c r="L56" s="316"/>
    </row>
    <row r="57" spans="1:12" ht="15" customHeight="1">
      <c r="A57" s="312" t="s">
        <v>73</v>
      </c>
      <c r="B57" s="501"/>
      <c r="C57" s="501"/>
      <c r="D57" s="317"/>
      <c r="E57" s="317" t="s">
        <v>1766</v>
      </c>
      <c r="F57" s="318" t="s">
        <v>2421</v>
      </c>
      <c r="G57" s="313"/>
      <c r="H57" s="314"/>
      <c r="I57" s="314"/>
      <c r="J57" s="315" t="s">
        <v>1438</v>
      </c>
      <c r="K57" s="237" t="s">
        <v>1821</v>
      </c>
      <c r="L57" s="316"/>
    </row>
    <row r="58" spans="1:12" ht="15" customHeight="1">
      <c r="A58" s="312" t="s">
        <v>73</v>
      </c>
      <c r="B58" s="237"/>
      <c r="C58" s="237"/>
      <c r="D58" s="237"/>
      <c r="E58" s="237"/>
      <c r="F58" s="237"/>
      <c r="G58" s="313"/>
      <c r="H58" s="314"/>
      <c r="I58" s="314"/>
      <c r="J58" s="315" t="s">
        <v>1716</v>
      </c>
      <c r="K58" s="237" t="s">
        <v>87</v>
      </c>
      <c r="L58" s="316"/>
    </row>
    <row r="59" spans="1:12" ht="15" customHeight="1">
      <c r="A59" s="312" t="s">
        <v>73</v>
      </c>
      <c r="B59" s="237"/>
      <c r="E59" s="319" t="s">
        <v>1710</v>
      </c>
      <c r="F59" s="320" t="s">
        <v>2420</v>
      </c>
      <c r="G59" s="313"/>
      <c r="H59" s="314"/>
      <c r="I59" s="314"/>
      <c r="J59" s="315" t="s">
        <v>60</v>
      </c>
      <c r="K59" s="237" t="s">
        <v>1820</v>
      </c>
      <c r="L59" s="316"/>
    </row>
    <row r="60" spans="1:12" ht="15" customHeight="1">
      <c r="A60" s="312" t="s">
        <v>101</v>
      </c>
      <c r="B60" s="322" t="s">
        <v>1717</v>
      </c>
      <c r="C60" s="237" t="s">
        <v>1817</v>
      </c>
      <c r="D60" s="237"/>
      <c r="E60" s="319"/>
      <c r="F60" s="320"/>
      <c r="G60" s="313"/>
      <c r="H60" s="314"/>
      <c r="I60" s="314"/>
      <c r="J60" s="315" t="s">
        <v>61</v>
      </c>
      <c r="K60" s="237" t="s">
        <v>88</v>
      </c>
      <c r="L60" s="316"/>
    </row>
    <row r="61" spans="1:12" ht="15" customHeight="1" thickBot="1">
      <c r="A61" s="312" t="s">
        <v>73</v>
      </c>
      <c r="E61" s="237"/>
      <c r="F61" s="315" t="s">
        <v>1707</v>
      </c>
      <c r="G61" s="313"/>
      <c r="H61" s="313" t="s">
        <v>75</v>
      </c>
      <c r="I61" s="313">
        <v>66.8</v>
      </c>
      <c r="L61" s="316"/>
    </row>
    <row r="62" spans="1:12" ht="57" customHeight="1" thickBot="1">
      <c r="A62" s="334" t="s">
        <v>1703</v>
      </c>
      <c r="B62" s="324" t="s">
        <v>1704</v>
      </c>
      <c r="C62" s="324" t="s">
        <v>1705</v>
      </c>
      <c r="D62" s="324" t="s">
        <v>1442</v>
      </c>
      <c r="E62" s="324" t="s">
        <v>1566</v>
      </c>
      <c r="F62" s="324" t="s">
        <v>1706</v>
      </c>
      <c r="G62" s="324" t="s">
        <v>1707</v>
      </c>
      <c r="H62" s="324" t="s">
        <v>1559</v>
      </c>
      <c r="I62" s="325" t="s">
        <v>1708</v>
      </c>
      <c r="J62" s="323"/>
      <c r="K62" s="227"/>
      <c r="L62" s="321"/>
    </row>
    <row r="63" spans="1:12" ht="18.75" customHeight="1">
      <c r="A63">
        <v>9575</v>
      </c>
      <c r="B63">
        <v>50260517</v>
      </c>
      <c r="C63" t="s">
        <v>2396</v>
      </c>
      <c r="D63" t="s">
        <v>169</v>
      </c>
      <c r="E63" t="s">
        <v>75</v>
      </c>
      <c r="F63" t="s">
        <v>2152</v>
      </c>
      <c r="G63" s="41">
        <v>83.5</v>
      </c>
      <c r="H63" s="197"/>
      <c r="I63" s="197">
        <v>66.8</v>
      </c>
    </row>
    <row r="64" spans="1:12" ht="15" customHeight="1">
      <c r="G64" s="41"/>
      <c r="H64" s="403" t="s">
        <v>2417</v>
      </c>
      <c r="I64" s="197">
        <v>66.8</v>
      </c>
    </row>
    <row r="65" spans="1:9" ht="15" customHeight="1">
      <c r="G65" s="41"/>
      <c r="H65" s="403" t="s">
        <v>2418</v>
      </c>
      <c r="I65" s="197">
        <v>8</v>
      </c>
    </row>
    <row r="66" spans="1:9" ht="15" customHeight="1">
      <c r="G66" s="41"/>
      <c r="H66" s="403" t="s">
        <v>2419</v>
      </c>
      <c r="I66" s="197">
        <v>58.8</v>
      </c>
    </row>
    <row r="67" spans="1:9" ht="15" customHeight="1"/>
    <row r="68" spans="1:9" ht="15" customHeight="1"/>
    <row r="69" spans="1:9" ht="15" customHeight="1"/>
    <row r="70" spans="1:9" ht="15" customHeight="1"/>
    <row r="71" spans="1:9" ht="15" customHeight="1"/>
    <row r="72" spans="1:9" ht="15" customHeight="1"/>
    <row r="73" spans="1:9" ht="15" customHeight="1"/>
    <row r="74" spans="1:9" ht="15" customHeight="1"/>
    <row r="75" spans="1:9" ht="15" customHeight="1"/>
    <row r="76" spans="1:9" ht="57" customHeight="1"/>
    <row r="77" spans="1:9" ht="15" customHeight="1"/>
    <row r="78" spans="1:9" ht="15" customHeight="1"/>
    <row r="79" spans="1:9" ht="15" customHeight="1"/>
    <row r="80" spans="1:9" ht="15" customHeight="1">
      <c r="A80" s="117" t="s">
        <v>1712</v>
      </c>
    </row>
    <row r="81" spans="1:1" ht="15" customHeight="1">
      <c r="A81" s="117" t="s">
        <v>1712</v>
      </c>
    </row>
    <row r="82" spans="1:1" ht="15" customHeight="1"/>
    <row r="83" spans="1:1" ht="15" customHeight="1"/>
    <row r="84" spans="1:1" ht="15" customHeight="1"/>
    <row r="85" spans="1:1" ht="15" customHeight="1"/>
    <row r="86" spans="1:1" ht="15" customHeight="1"/>
    <row r="87" spans="1:1" ht="15" customHeight="1"/>
    <row r="88" spans="1:1" ht="15" customHeight="1"/>
    <row r="89" spans="1:1" ht="15" customHeight="1"/>
    <row r="90" spans="1:1" ht="15" customHeight="1"/>
    <row r="91" spans="1:1" ht="15" customHeight="1"/>
    <row r="92" spans="1:1" ht="15" customHeight="1"/>
    <row r="93" spans="1:1" ht="15" customHeight="1"/>
    <row r="94" spans="1:1" ht="15" customHeight="1"/>
    <row r="95" spans="1:1" ht="15" customHeight="1"/>
    <row r="96" spans="1:1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</sheetData>
  <mergeCells count="4">
    <mergeCell ref="B4:C5"/>
    <mergeCell ref="B24:C25"/>
    <mergeCell ref="B39:C40"/>
    <mergeCell ref="B56:C57"/>
  </mergeCells>
  <pageMargins left="0.70866141732283472" right="0.70866141732283472" top="0.74803149606299213" bottom="0.74803149606299213" header="0.31496062992125984" footer="0.31496062992125984"/>
  <pageSetup paperSize="9" scale="35" orientation="landscape" horizontalDpi="4294967292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P10000"/>
  <sheetViews>
    <sheetView workbookViewId="0">
      <selection sqref="A1:P9"/>
    </sheetView>
  </sheetViews>
  <sheetFormatPr defaultRowHeight="15"/>
  <cols>
    <col min="1" max="1" width="9.140625" customWidth="1"/>
    <col min="2" max="2" width="11.28515625" customWidth="1"/>
    <col min="3" max="3" width="18.7109375" customWidth="1"/>
    <col min="4" max="4" width="17.140625" customWidth="1"/>
    <col min="5" max="5" width="15.5703125" customWidth="1"/>
    <col min="8" max="8" width="8.42578125" customWidth="1"/>
    <col min="9" max="9" width="19" customWidth="1"/>
    <col min="11" max="11" width="12.28515625" customWidth="1"/>
    <col min="12" max="12" width="13" style="401" customWidth="1"/>
    <col min="13" max="13" width="11.7109375" style="403" customWidth="1"/>
    <col min="15" max="15" width="12.140625" style="401" customWidth="1"/>
    <col min="16" max="16" width="9.140625" style="389"/>
  </cols>
  <sheetData>
    <row r="1" spans="1:16" ht="31.5" customHeight="1">
      <c r="A1" t="s">
        <v>73</v>
      </c>
      <c r="B1" t="s">
        <v>1713</v>
      </c>
      <c r="C1" t="s">
        <v>2003</v>
      </c>
      <c r="D1" s="306" t="s">
        <v>1890</v>
      </c>
      <c r="E1" s="427">
        <v>42179</v>
      </c>
      <c r="L1" s="425"/>
    </row>
    <row r="2" spans="1:16" ht="61.5" customHeight="1">
      <c r="A2" s="423" t="s">
        <v>1885</v>
      </c>
      <c r="B2" s="423" t="s">
        <v>1885</v>
      </c>
      <c r="C2" s="231" t="s">
        <v>106</v>
      </c>
      <c r="D2" s="231" t="s">
        <v>1565</v>
      </c>
      <c r="E2" s="231" t="s">
        <v>1886</v>
      </c>
      <c r="F2" s="231" t="s">
        <v>58</v>
      </c>
      <c r="G2" s="231" t="s">
        <v>1438</v>
      </c>
      <c r="H2" s="231" t="s">
        <v>210</v>
      </c>
      <c r="I2" s="231" t="s">
        <v>1439</v>
      </c>
      <c r="J2" s="231" t="s">
        <v>1440</v>
      </c>
      <c r="K2" s="231" t="s">
        <v>186</v>
      </c>
      <c r="L2" s="232" t="s">
        <v>1888</v>
      </c>
      <c r="M2" s="234" t="s">
        <v>1889</v>
      </c>
      <c r="O2" s="232" t="s">
        <v>1403</v>
      </c>
      <c r="P2" s="234" t="s">
        <v>1441</v>
      </c>
    </row>
    <row r="3" spans="1:16" ht="15" customHeight="1">
      <c r="A3">
        <f>9575</f>
        <v>9575</v>
      </c>
      <c r="B3" s="301">
        <v>50260319</v>
      </c>
      <c r="C3" t="str">
        <f ca="1">OFFSET(Sales!$D$2,MATCH('Debit orders'!B3,Sales!$D$3:$D$10000,0),3)</f>
        <v>Stapelberg</v>
      </c>
      <c r="D3" t="str">
        <f ca="1">OFFSET(Sales!$D$2,MATCH('Debit orders'!$B3,Sales!$D$3:$D$10000,0),4)</f>
        <v>C S M</v>
      </c>
      <c r="E3" t="str">
        <f ca="1">OFFSET(Sales!$D$2,MATCH('Debit orders'!$B3,Sales!$D$3:$D$10000,0),45)</f>
        <v>C S M Stapelberg</v>
      </c>
      <c r="F3" t="str">
        <f ca="1">OFFSET(Sales!$D$2,MATCH('Debit orders'!$B3,Sales!$D$3:$D$10000,0),46)</f>
        <v>FNB</v>
      </c>
      <c r="G3" t="str">
        <f ca="1">OFFSET(Sales!$D$2,MATCH('Debit orders'!$B3,Sales!$D$3:$D$10000,0),47)</f>
        <v>Paarl</v>
      </c>
      <c r="H3" t="str">
        <f ca="1">OFFSET(Sales!$D$2,MATCH('Debit orders'!$B3,Sales!$D$3:$D$10000,0),48)</f>
        <v/>
      </c>
      <c r="I3" t="str">
        <f ca="1">OFFSET(Sales!$D$2,MATCH('Debit orders'!$B3,Sales!$D$3:$D$10000,0),49)</f>
        <v>62159550071</v>
      </c>
      <c r="J3" t="str">
        <f ca="1">OFFSET(Sales!$D$2,MATCH('Debit orders'!$B3,Sales!$D$3:$D$10000,0),50)</f>
        <v>Savings</v>
      </c>
      <c r="K3" t="str">
        <f ca="1">OFFSET(Sales!$D$2,MATCH('Debit orders'!$B3,Sales!$D$3:$D$10000,0),51)</f>
        <v>Debit order</v>
      </c>
      <c r="L3" s="461">
        <f t="shared" ref="L3:L9" ca="1" si="0">IF(VALUE(P3)&gt;DAY($E$1),DATE(YEAR($E$1),MONTH($E$1),VALUE(P3)),DATE(YEAR($E$1),MONTH($E$1)+1,VALUE(P3)))</f>
        <v>42186</v>
      </c>
      <c r="M3" s="197">
        <f ca="1">IF(ISERROR(DATEDIF($E$1,O3,"M")),OFFSET(Sales!$FE$2,MATCH('Debit orders'!$B3,Sales!$D$3:$D$10000,0),0),IF(DATEDIF($E$1,O3,"M")&gt;0,0,OFFSET(Sales!$FD$2,MATCH('Debit orders'!$B3,Sales!$D$3:$D$10000,0),0)))</f>
        <v>109</v>
      </c>
      <c r="O3" s="461">
        <f ca="1">OFFSET(Sales!$D$2,MATCH('Debit orders'!$B3,Sales!$D$3:$D$10000,0),-2)</f>
        <v>42095</v>
      </c>
      <c r="P3" s="198">
        <f ca="1">OFFSET(Sales!$D$2,MATCH('Debit orders'!$B3,Sales!$D$3:$D$10000,0),52)</f>
        <v>1</v>
      </c>
    </row>
    <row r="4" spans="1:16" ht="15" customHeight="1">
      <c r="A4">
        <f>9575</f>
        <v>9575</v>
      </c>
      <c r="B4" s="301">
        <v>50260111</v>
      </c>
      <c r="C4" t="str">
        <f ca="1">OFFSET(Sales!$D$2,MATCH('Debit orders'!B4,Sales!$D$3:$D$10000,0),3)</f>
        <v>Jonkers</v>
      </c>
      <c r="D4" t="str">
        <f ca="1">OFFSET(Sales!$D$2,MATCH('Debit orders'!$B4,Sales!$D$3:$D$10000,0),4)</f>
        <v>N M L</v>
      </c>
      <c r="E4" t="str">
        <f ca="1">OFFSET(Sales!$D$2,MATCH('Debit orders'!$B4,Sales!$D$3:$D$10000,0),45)</f>
        <v>N M L Jonkers</v>
      </c>
      <c r="F4" t="str">
        <f ca="1">OFFSET(Sales!$D$2,MATCH('Debit orders'!$B4,Sales!$D$3:$D$10000,0),46)</f>
        <v>FNB</v>
      </c>
      <c r="G4" t="str">
        <f ca="1">OFFSET(Sales!$D$2,MATCH('Debit orders'!$B4,Sales!$D$3:$D$10000,0),47)</f>
        <v/>
      </c>
      <c r="H4" t="str">
        <f ca="1">OFFSET(Sales!$D$2,MATCH('Debit orders'!$B4,Sales!$D$3:$D$10000,0),48)</f>
        <v>200710</v>
      </c>
      <c r="I4" t="str">
        <f ca="1">OFFSET(Sales!$D$2,MATCH('Debit orders'!$B4,Sales!$D$3:$D$10000,0),49)</f>
        <v>54240012218</v>
      </c>
      <c r="J4" t="str">
        <f ca="1">OFFSET(Sales!$D$2,MATCH('Debit orders'!$B4,Sales!$D$3:$D$10000,0),50)</f>
        <v>Cheque</v>
      </c>
      <c r="K4" t="str">
        <f ca="1">OFFSET(Sales!$D$2,MATCH('Debit orders'!$B4,Sales!$D$3:$D$10000,0),51)</f>
        <v>Debit order</v>
      </c>
      <c r="L4" s="461">
        <f t="shared" ca="1" si="0"/>
        <v>42186</v>
      </c>
      <c r="M4" s="197">
        <f ca="1">IF(ISERROR(DATEDIF($E$1,O4,"M")),OFFSET(Sales!$FE$2,MATCH('Debit orders'!$B4,Sales!$D$3:$D$10000,0),0),IF(DATEDIF($E$1,O4,"M")&gt;0,0,OFFSET(Sales!$FD$2,MATCH('Debit orders'!$B4,Sales!$D$3:$D$10000,0),0)))</f>
        <v>159</v>
      </c>
      <c r="O4" s="461">
        <f ca="1">OFFSET(Sales!$D$2,MATCH('Debit orders'!$B4,Sales!$D$3:$D$10000,0),-2)</f>
        <v>42095</v>
      </c>
      <c r="P4" s="198">
        <f ca="1">OFFSET(Sales!$D$2,MATCH('Debit orders'!$B4,Sales!$D$3:$D$10000,0),52)</f>
        <v>1</v>
      </c>
    </row>
    <row r="5" spans="1:16" ht="15" customHeight="1">
      <c r="A5">
        <f>9575</f>
        <v>9575</v>
      </c>
      <c r="B5" s="301">
        <v>50260129</v>
      </c>
      <c r="C5" t="str">
        <f ca="1">OFFSET(Sales!$D$2,MATCH('Debit orders'!B5,Sales!$D$3:$D$10000,0),3)</f>
        <v>Jonkers</v>
      </c>
      <c r="D5" t="str">
        <f ca="1">OFFSET(Sales!$D$2,MATCH('Debit orders'!$B5,Sales!$D$3:$D$10000,0),4)</f>
        <v>Maroschoné Petra</v>
      </c>
      <c r="E5" t="str">
        <f ca="1">OFFSET(Sales!$D$2,MATCH('Debit orders'!$B5,Sales!$D$3:$D$10000,0),45)</f>
        <v>M P Jonkers</v>
      </c>
      <c r="F5" t="str">
        <f ca="1">OFFSET(Sales!$D$2,MATCH('Debit orders'!$B5,Sales!$D$3:$D$10000,0),46)</f>
        <v>Capitec</v>
      </c>
      <c r="G5" t="str">
        <f ca="1">OFFSET(Sales!$D$2,MATCH('Debit orders'!$B5,Sales!$D$3:$D$10000,0),47)</f>
        <v/>
      </c>
      <c r="H5" t="str">
        <f ca="1">OFFSET(Sales!$D$2,MATCH('Debit orders'!$B5,Sales!$D$3:$D$10000,0),48)</f>
        <v>470010</v>
      </c>
      <c r="I5" t="str">
        <f ca="1">OFFSET(Sales!$D$2,MATCH('Debit orders'!$B5,Sales!$D$3:$D$10000,0),49)</f>
        <v>1360314693</v>
      </c>
      <c r="J5" t="str">
        <f ca="1">OFFSET(Sales!$D$2,MATCH('Debit orders'!$B5,Sales!$D$3:$D$10000,0),50)</f>
        <v>Savings</v>
      </c>
      <c r="K5" t="str">
        <f ca="1">OFFSET(Sales!$D$2,MATCH('Debit orders'!$B5,Sales!$D$3:$D$10000,0),51)</f>
        <v>Debit order</v>
      </c>
      <c r="L5" s="461">
        <f t="shared" ca="1" si="0"/>
        <v>42186</v>
      </c>
      <c r="M5" s="197">
        <f ca="1">IF(ISERROR(DATEDIF($E$1,O5,"M")),OFFSET(Sales!$FE$2,MATCH('Debit orders'!$B5,Sales!$D$3:$D$10000,0),0),IF(DATEDIF($E$1,O5,"M")&gt;0,0,OFFSET(Sales!$FD$2,MATCH('Debit orders'!$B5,Sales!$D$3:$D$10000,0),0)))</f>
        <v>125</v>
      </c>
      <c r="O5" s="461">
        <f ca="1">OFFSET(Sales!$D$2,MATCH('Debit orders'!$B5,Sales!$D$3:$D$10000,0),-2)</f>
        <v>42156</v>
      </c>
      <c r="P5" s="198">
        <f ca="1">OFFSET(Sales!$D$2,MATCH('Debit orders'!$B5,Sales!$D$3:$D$10000,0),52)</f>
        <v>1</v>
      </c>
    </row>
    <row r="6" spans="1:16" ht="15" customHeight="1">
      <c r="A6">
        <f>9575</f>
        <v>9575</v>
      </c>
      <c r="B6" s="301">
        <v>50260145</v>
      </c>
      <c r="C6" t="str">
        <f ca="1">OFFSET(Sales!$D$2,MATCH('Debit orders'!B6,Sales!$D$3:$D$10000,0),3)</f>
        <v>Morris</v>
      </c>
      <c r="D6" t="str">
        <f ca="1">OFFSET(Sales!$D$2,MATCH('Debit orders'!$B6,Sales!$D$3:$D$10000,0),4)</f>
        <v>Rozanne</v>
      </c>
      <c r="E6" t="str">
        <f ca="1">OFFSET(Sales!$D$2,MATCH('Debit orders'!$B6,Sales!$D$3:$D$10000,0),45)</f>
        <v>Mrs L M Cupido</v>
      </c>
      <c r="F6" t="str">
        <f ca="1">OFFSET(Sales!$D$2,MATCH('Debit orders'!$B6,Sales!$D$3:$D$10000,0),46)</f>
        <v>Standard</v>
      </c>
      <c r="G6" t="str">
        <f ca="1">OFFSET(Sales!$D$2,MATCH('Debit orders'!$B6,Sales!$D$3:$D$10000,0),47)</f>
        <v/>
      </c>
      <c r="H6" t="str">
        <f ca="1">OFFSET(Sales!$D$2,MATCH('Debit orders'!$B6,Sales!$D$3:$D$10000,0),48)</f>
        <v>031110</v>
      </c>
      <c r="I6" t="str">
        <f ca="1">OFFSET(Sales!$D$2,MATCH('Debit orders'!$B6,Sales!$D$3:$D$10000,0),49)</f>
        <v>075851326</v>
      </c>
      <c r="J6" t="str">
        <f ca="1">OFFSET(Sales!$D$2,MATCH('Debit orders'!$B6,Sales!$D$3:$D$10000,0),50)</f>
        <v>Cheque</v>
      </c>
      <c r="K6" t="str">
        <f ca="1">OFFSET(Sales!$D$2,MATCH('Debit orders'!$B6,Sales!$D$3:$D$10000,0),51)</f>
        <v>Debit order</v>
      </c>
      <c r="L6" s="461">
        <f t="shared" ca="1" si="0"/>
        <v>42186</v>
      </c>
      <c r="M6" s="197">
        <f ca="1">IF(ISERROR(DATEDIF($E$1,O6,"M")),OFFSET(Sales!$FE$2,MATCH('Debit orders'!$B6,Sales!$D$3:$D$10000,0),0),IF(DATEDIF($E$1,O6,"M")&gt;0,0,OFFSET(Sales!$FD$2,MATCH('Debit orders'!$B6,Sales!$D$3:$D$10000,0),0)))</f>
        <v>125</v>
      </c>
      <c r="O6" s="461">
        <f ca="1">OFFSET(Sales!$D$2,MATCH('Debit orders'!$B6,Sales!$D$3:$D$10000,0),-2)</f>
        <v>42156</v>
      </c>
      <c r="P6" s="198">
        <f ca="1">OFFSET(Sales!$D$2,MATCH('Debit orders'!$B6,Sales!$D$3:$D$10000,0),52)</f>
        <v>1</v>
      </c>
    </row>
    <row r="7" spans="1:16" ht="15" customHeight="1">
      <c r="A7">
        <f>9575</f>
        <v>9575</v>
      </c>
      <c r="B7" s="301">
        <v>50260517</v>
      </c>
      <c r="C7" t="str">
        <f ca="1">OFFSET(Sales!$D$2,MATCH('Debit orders'!B7,Sales!$D$3:$D$10000,0),3)</f>
        <v>Abrahams</v>
      </c>
      <c r="D7" t="str">
        <f ca="1">OFFSET(Sales!$D$2,MATCH('Debit orders'!$B7,Sales!$D$3:$D$10000,0),4)</f>
        <v>Michael Craig</v>
      </c>
      <c r="E7" t="str">
        <f ca="1">OFFSET(Sales!$D$2,MATCH('Debit orders'!$B7,Sales!$D$3:$D$10000,0),45)</f>
        <v>Michaele Abrahams</v>
      </c>
      <c r="F7" t="str">
        <f ca="1">OFFSET(Sales!$D$2,MATCH('Debit orders'!$B7,Sales!$D$3:$D$10000,0),46)</f>
        <v>Standard</v>
      </c>
      <c r="G7" t="str">
        <f ca="1">OFFSET(Sales!$D$2,MATCH('Debit orders'!$B7,Sales!$D$3:$D$10000,0),47)</f>
        <v/>
      </c>
      <c r="H7" t="str">
        <f ca="1">OFFSET(Sales!$D$2,MATCH('Debit orders'!$B7,Sales!$D$3:$D$10000,0),48)</f>
        <v>025909</v>
      </c>
      <c r="I7" t="str">
        <f ca="1">OFFSET(Sales!$D$2,MATCH('Debit orders'!$B7,Sales!$D$3:$D$10000,0),49)</f>
        <v>272920169</v>
      </c>
      <c r="J7" t="str">
        <f ca="1">OFFSET(Sales!$D$2,MATCH('Debit orders'!$B7,Sales!$D$3:$D$10000,0),50)</f>
        <v>Cheque</v>
      </c>
      <c r="K7" t="str">
        <f ca="1">OFFSET(Sales!$D$2,MATCH('Debit orders'!$B7,Sales!$D$3:$D$10000,0),51)</f>
        <v>Debit order</v>
      </c>
      <c r="L7" s="461">
        <f t="shared" ca="1" si="0"/>
        <v>42186</v>
      </c>
      <c r="M7" s="197">
        <f ca="1">IF(ISERROR(DATEDIF($E$1,O7,"M")),OFFSET(Sales!$FE$2,MATCH('Debit orders'!$B7,Sales!$D$3:$D$10000,0),0),IF(DATEDIF($E$1,O7,"M")&gt;0,0,OFFSET(Sales!$FD$2,MATCH('Debit orders'!$B7,Sales!$D$3:$D$10000,0),0)))</f>
        <v>48</v>
      </c>
      <c r="O7" s="461">
        <f ca="1">OFFSET(Sales!$D$2,MATCH('Debit orders'!$B7,Sales!$D$3:$D$10000,0),-2)</f>
        <v>42125</v>
      </c>
      <c r="P7" s="198">
        <f ca="1">OFFSET(Sales!$D$2,MATCH('Debit orders'!$B7,Sales!$D$3:$D$10000,0),52)</f>
        <v>1</v>
      </c>
    </row>
    <row r="8" spans="1:16" ht="15" customHeight="1">
      <c r="A8">
        <f>9575</f>
        <v>9575</v>
      </c>
      <c r="B8" s="301">
        <v>50260335</v>
      </c>
      <c r="C8" t="str">
        <f ca="1">OFFSET(Sales!$D$2,MATCH('Debit orders'!B8,Sales!$D$3:$D$10000,0),3)</f>
        <v>Theart</v>
      </c>
      <c r="D8" t="str">
        <f ca="1">OFFSET(Sales!$D$2,MATCH('Debit orders'!$B8,Sales!$D$3:$D$10000,0),4)</f>
        <v>Willem McDonald</v>
      </c>
      <c r="E8" t="str">
        <f ca="1">OFFSET(Sales!$D$2,MATCH('Debit orders'!$B8,Sales!$D$3:$D$10000,0),45)</f>
        <v>Willem Theart</v>
      </c>
      <c r="F8" t="str">
        <f ca="1">OFFSET(Sales!$D$2,MATCH('Debit orders'!$B8,Sales!$D$3:$D$10000,0),46)</f>
        <v>Capitec</v>
      </c>
      <c r="G8" t="str">
        <f ca="1">OFFSET(Sales!$D$2,MATCH('Debit orders'!$B8,Sales!$D$3:$D$10000,0),47)</f>
        <v/>
      </c>
      <c r="H8" t="str">
        <f ca="1">OFFSET(Sales!$D$2,MATCH('Debit orders'!$B8,Sales!$D$3:$D$10000,0),48)</f>
        <v>470010</v>
      </c>
      <c r="I8" t="str">
        <f ca="1">OFFSET(Sales!$D$2,MATCH('Debit orders'!$B8,Sales!$D$3:$D$10000,0),49)</f>
        <v>1313797896</v>
      </c>
      <c r="J8" t="str">
        <f ca="1">OFFSET(Sales!$D$2,MATCH('Debit orders'!$B8,Sales!$D$3:$D$10000,0),50)</f>
        <v>Savings</v>
      </c>
      <c r="K8" t="str">
        <f ca="1">OFFSET(Sales!$D$2,MATCH('Debit orders'!$B8,Sales!$D$3:$D$10000,0),51)</f>
        <v>Debit order</v>
      </c>
      <c r="L8" s="461">
        <f t="shared" ca="1" si="0"/>
        <v>42186</v>
      </c>
      <c r="M8" s="197">
        <f ca="1">IF(ISERROR(DATEDIF($E$1,O8,"M")),OFFSET(Sales!$FE$2,MATCH('Debit orders'!$B8,Sales!$D$3:$D$10000,0),0),IF(DATEDIF($E$1,O8,"M")&gt;0,0,OFFSET(Sales!$FD$2,MATCH('Debit orders'!$B8,Sales!$D$3:$D$10000,0),0)))</f>
        <v>229</v>
      </c>
      <c r="O8" s="461">
        <f ca="1">OFFSET(Sales!$D$2,MATCH('Debit orders'!$B8,Sales!$D$3:$D$10000,0),-2)</f>
        <v>42156</v>
      </c>
      <c r="P8" s="198">
        <f ca="1">OFFSET(Sales!$D$2,MATCH('Debit orders'!$B8,Sales!$D$3:$D$10000,0),52)</f>
        <v>1</v>
      </c>
    </row>
    <row r="9" spans="1:16" ht="15" customHeight="1">
      <c r="A9">
        <f>9575</f>
        <v>9575</v>
      </c>
      <c r="B9" s="301">
        <v>50260020</v>
      </c>
      <c r="C9" t="str">
        <f ca="1">OFFSET(Sales!$D$2,MATCH('Debit orders'!B9,Sales!$D$3:$D$10000,0),3)</f>
        <v>Thorne</v>
      </c>
      <c r="D9" t="str">
        <f ca="1">OFFSET(Sales!$D$2,MATCH('Debit orders'!$B9,Sales!$D$3:$D$10000,0),4)</f>
        <v>Ingrid Kerin</v>
      </c>
      <c r="E9" t="str">
        <f ca="1">OFFSET(Sales!$D$2,MATCH('Debit orders'!$B9,Sales!$D$3:$D$10000,0),45)</f>
        <v>I K Thorne</v>
      </c>
      <c r="F9" t="str">
        <f ca="1">OFFSET(Sales!$D$2,MATCH('Debit orders'!$B9,Sales!$D$3:$D$10000,0),46)</f>
        <v>FNB</v>
      </c>
      <c r="G9" t="str">
        <f ca="1">OFFSET(Sales!$D$2,MATCH('Debit orders'!$B9,Sales!$D$3:$D$10000,0),47)</f>
        <v>Mitchells Plein</v>
      </c>
      <c r="H9" t="str">
        <f ca="1">OFFSET(Sales!$D$2,MATCH('Debit orders'!$B9,Sales!$D$3:$D$10000,0),48)</f>
        <v/>
      </c>
      <c r="I9" t="str">
        <f ca="1">OFFSET(Sales!$D$2,MATCH('Debit orders'!$B9,Sales!$D$3:$D$10000,0),49)</f>
        <v>62299490848</v>
      </c>
      <c r="J9" t="str">
        <f ca="1">OFFSET(Sales!$D$2,MATCH('Debit orders'!$B9,Sales!$D$3:$D$10000,0),50)</f>
        <v>Cheque</v>
      </c>
      <c r="K9" t="str">
        <f ca="1">OFFSET(Sales!$D$2,MATCH('Debit orders'!$B9,Sales!$D$3:$D$10000,0),51)</f>
        <v>Debit order</v>
      </c>
      <c r="L9" s="461">
        <f t="shared" ca="1" si="0"/>
        <v>42186</v>
      </c>
      <c r="M9" s="197">
        <f ca="1">IF(ISERROR(DATEDIF($E$1,O9,"M")),OFFSET(Sales!$FE$2,MATCH('Debit orders'!$B9,Sales!$D$3:$D$10000,0),0),IF(DATEDIF($E$1,O9,"M")&gt;0,0,OFFSET(Sales!$FD$2,MATCH('Debit orders'!$B9,Sales!$D$3:$D$10000,0),0)))</f>
        <v>145</v>
      </c>
      <c r="O9" s="461">
        <f ca="1">OFFSET(Sales!$D$2,MATCH('Debit orders'!$B9,Sales!$D$3:$D$10000,0),-2)</f>
        <v>42186</v>
      </c>
      <c r="P9" s="198">
        <f ca="1">OFFSET(Sales!$D$2,MATCH('Debit orders'!$B9,Sales!$D$3:$D$10000,0),52)</f>
        <v>1</v>
      </c>
    </row>
    <row r="10" spans="1:16" ht="15" customHeight="1">
      <c r="L10"/>
      <c r="M10"/>
      <c r="O10"/>
      <c r="P10"/>
    </row>
    <row r="11" spans="1:16" ht="15" customHeight="1">
      <c r="L11"/>
      <c r="M11"/>
      <c r="O11"/>
      <c r="P11"/>
    </row>
    <row r="12" spans="1:16" ht="15" customHeight="1">
      <c r="L12"/>
      <c r="M12"/>
      <c r="O12"/>
      <c r="P12"/>
    </row>
    <row r="13" spans="1:16" ht="15" customHeight="1">
      <c r="L13"/>
      <c r="M13"/>
      <c r="O13"/>
      <c r="P13"/>
    </row>
    <row r="14" spans="1:16" ht="15" customHeight="1">
      <c r="L14"/>
      <c r="M14"/>
      <c r="O14"/>
      <c r="P14"/>
    </row>
    <row r="15" spans="1:16" ht="15" customHeight="1">
      <c r="L15"/>
      <c r="M15"/>
      <c r="O15"/>
      <c r="P15"/>
    </row>
    <row r="16" spans="1:16" ht="15" customHeight="1">
      <c r="L16"/>
      <c r="M16"/>
      <c r="O16"/>
      <c r="P16"/>
    </row>
    <row r="17" spans="12:16" ht="15" customHeight="1">
      <c r="L17"/>
      <c r="M17"/>
      <c r="O17"/>
      <c r="P17"/>
    </row>
    <row r="18" spans="12:16" ht="15" customHeight="1">
      <c r="L18"/>
      <c r="M18"/>
      <c r="O18"/>
      <c r="P18"/>
    </row>
    <row r="19" spans="12:16" ht="15" customHeight="1">
      <c r="L19"/>
      <c r="M19"/>
      <c r="O19"/>
      <c r="P19"/>
    </row>
    <row r="20" spans="12:16" ht="15" customHeight="1">
      <c r="L20"/>
      <c r="M20"/>
      <c r="O20"/>
      <c r="P20"/>
    </row>
    <row r="21" spans="12:16" ht="15" customHeight="1">
      <c r="L21"/>
      <c r="M21"/>
      <c r="O21"/>
      <c r="P21"/>
    </row>
    <row r="22" spans="12:16" ht="15" customHeight="1">
      <c r="L22"/>
      <c r="M22"/>
      <c r="O22"/>
      <c r="P22"/>
    </row>
    <row r="23" spans="12:16" ht="15" customHeight="1">
      <c r="L23"/>
      <c r="M23"/>
      <c r="O23"/>
      <c r="P23"/>
    </row>
    <row r="24" spans="12:16" ht="15" customHeight="1">
      <c r="L24"/>
      <c r="M24"/>
      <c r="O24"/>
      <c r="P24"/>
    </row>
    <row r="25" spans="12:16" ht="15" customHeight="1">
      <c r="L25"/>
      <c r="M25"/>
      <c r="O25"/>
      <c r="P25"/>
    </row>
    <row r="26" spans="12:16" ht="15" customHeight="1">
      <c r="L26"/>
      <c r="M26"/>
      <c r="O26"/>
      <c r="P26"/>
    </row>
    <row r="27" spans="12:16" ht="15" customHeight="1">
      <c r="L27"/>
      <c r="M27"/>
      <c r="O27"/>
      <c r="P27"/>
    </row>
    <row r="28" spans="12:16" ht="15" customHeight="1">
      <c r="L28"/>
      <c r="M28"/>
      <c r="O28"/>
      <c r="P28"/>
    </row>
    <row r="29" spans="12:16" ht="15" customHeight="1">
      <c r="L29"/>
      <c r="M29"/>
      <c r="O29"/>
      <c r="P29"/>
    </row>
    <row r="30" spans="12:16" ht="15" customHeight="1">
      <c r="L30"/>
      <c r="M30"/>
      <c r="O30"/>
      <c r="P30"/>
    </row>
    <row r="31" spans="12:16" ht="15" customHeight="1">
      <c r="L31"/>
      <c r="M31"/>
      <c r="O31"/>
      <c r="P31"/>
    </row>
    <row r="32" spans="12:16" ht="15" customHeight="1">
      <c r="L32"/>
      <c r="M32"/>
      <c r="O32"/>
      <c r="P32"/>
    </row>
    <row r="33" spans="12:16" ht="15" customHeight="1">
      <c r="L33"/>
      <c r="M33"/>
      <c r="O33"/>
      <c r="P33"/>
    </row>
    <row r="34" spans="12:16" ht="15" customHeight="1">
      <c r="L34"/>
      <c r="M34"/>
      <c r="O34"/>
      <c r="P34"/>
    </row>
    <row r="35" spans="12:16" ht="15" customHeight="1">
      <c r="L35"/>
      <c r="M35"/>
      <c r="O35"/>
      <c r="P35"/>
    </row>
    <row r="36" spans="12:16" ht="15" customHeight="1">
      <c r="L36"/>
      <c r="M36"/>
      <c r="O36"/>
      <c r="P36"/>
    </row>
    <row r="37" spans="12:16" ht="15" customHeight="1">
      <c r="L37"/>
      <c r="M37"/>
      <c r="O37"/>
      <c r="P37"/>
    </row>
    <row r="38" spans="12:16" ht="15" customHeight="1">
      <c r="L38"/>
      <c r="M38"/>
      <c r="O38"/>
      <c r="P38"/>
    </row>
    <row r="39" spans="12:16" ht="15" customHeight="1">
      <c r="L39"/>
      <c r="M39"/>
      <c r="O39"/>
      <c r="P39"/>
    </row>
    <row r="40" spans="12:16" ht="15" customHeight="1">
      <c r="L40"/>
      <c r="M40"/>
      <c r="O40"/>
      <c r="P40"/>
    </row>
    <row r="41" spans="12:16" ht="15" customHeight="1">
      <c r="L41"/>
      <c r="M41"/>
      <c r="O41"/>
      <c r="P41"/>
    </row>
    <row r="42" spans="12:16" ht="15" customHeight="1">
      <c r="L42"/>
      <c r="M42"/>
      <c r="O42"/>
      <c r="P42"/>
    </row>
    <row r="43" spans="12:16" ht="15" customHeight="1">
      <c r="L43"/>
      <c r="M43"/>
      <c r="O43"/>
      <c r="P43"/>
    </row>
    <row r="44" spans="12:16" ht="15" customHeight="1">
      <c r="L44"/>
      <c r="M44"/>
      <c r="O44"/>
      <c r="P44"/>
    </row>
    <row r="45" spans="12:16" ht="15" customHeight="1">
      <c r="L45"/>
      <c r="M45"/>
      <c r="O45"/>
      <c r="P45"/>
    </row>
    <row r="46" spans="12:16" ht="15" customHeight="1">
      <c r="L46"/>
      <c r="M46"/>
      <c r="O46"/>
      <c r="P46"/>
    </row>
    <row r="47" spans="12:16" ht="15" customHeight="1">
      <c r="L47"/>
      <c r="M47"/>
      <c r="O47"/>
      <c r="P47"/>
    </row>
    <row r="48" spans="12:16" ht="15" customHeight="1">
      <c r="L48"/>
      <c r="M48"/>
      <c r="O48"/>
      <c r="P48"/>
    </row>
    <row r="49" spans="12:16" ht="15" customHeight="1">
      <c r="L49"/>
      <c r="M49"/>
      <c r="O49"/>
      <c r="P49"/>
    </row>
    <row r="50" spans="12:16" ht="15" customHeight="1">
      <c r="L50"/>
      <c r="M50"/>
      <c r="O50"/>
      <c r="P50"/>
    </row>
    <row r="51" spans="12:16" ht="15" customHeight="1">
      <c r="L51"/>
      <c r="M51"/>
      <c r="O51"/>
      <c r="P51"/>
    </row>
    <row r="52" spans="12:16" ht="15" customHeight="1">
      <c r="L52"/>
      <c r="M52"/>
      <c r="O52"/>
      <c r="P52"/>
    </row>
    <row r="53" spans="12:16" ht="15" customHeight="1">
      <c r="L53"/>
      <c r="M53"/>
      <c r="O53"/>
      <c r="P53"/>
    </row>
    <row r="54" spans="12:16" ht="15" customHeight="1">
      <c r="L54"/>
      <c r="M54"/>
      <c r="O54"/>
      <c r="P54"/>
    </row>
    <row r="55" spans="12:16" ht="15" customHeight="1">
      <c r="L55"/>
      <c r="M55"/>
      <c r="O55"/>
      <c r="P55"/>
    </row>
    <row r="56" spans="12:16" ht="15" customHeight="1">
      <c r="L56"/>
      <c r="M56"/>
      <c r="O56"/>
      <c r="P56"/>
    </row>
    <row r="57" spans="12:16" ht="15" customHeight="1">
      <c r="L57"/>
      <c r="M57"/>
      <c r="O57"/>
      <c r="P57"/>
    </row>
    <row r="58" spans="12:16" ht="15" customHeight="1">
      <c r="L58"/>
      <c r="M58"/>
      <c r="O58"/>
      <c r="P58"/>
    </row>
    <row r="59" spans="12:16" ht="15" customHeight="1">
      <c r="L59"/>
      <c r="M59"/>
      <c r="O59"/>
      <c r="P59"/>
    </row>
    <row r="60" spans="12:16" ht="15" customHeight="1">
      <c r="L60"/>
      <c r="M60"/>
      <c r="O60"/>
      <c r="P60"/>
    </row>
    <row r="61" spans="12:16" ht="15" customHeight="1">
      <c r="L61"/>
      <c r="M61"/>
      <c r="O61"/>
      <c r="P61"/>
    </row>
    <row r="62" spans="12:16" ht="15" customHeight="1">
      <c r="L62"/>
      <c r="M62"/>
      <c r="O62"/>
      <c r="P62"/>
    </row>
    <row r="63" spans="12:16" ht="15" customHeight="1">
      <c r="L63"/>
      <c r="M63"/>
      <c r="O63"/>
      <c r="P63"/>
    </row>
    <row r="64" spans="12:16" ht="15" customHeight="1">
      <c r="L64"/>
      <c r="M64"/>
      <c r="O64"/>
      <c r="P64"/>
    </row>
    <row r="65" spans="12:16" ht="15" customHeight="1">
      <c r="L65"/>
      <c r="M65"/>
      <c r="O65"/>
      <c r="P65"/>
    </row>
    <row r="66" spans="12:16" ht="15" customHeight="1">
      <c r="L66"/>
      <c r="M66"/>
      <c r="O66"/>
      <c r="P66"/>
    </row>
    <row r="67" spans="12:16" ht="15" customHeight="1">
      <c r="L67"/>
      <c r="M67"/>
      <c r="O67"/>
      <c r="P67"/>
    </row>
    <row r="68" spans="12:16" ht="15" customHeight="1">
      <c r="L68"/>
      <c r="M68"/>
      <c r="O68"/>
      <c r="P68"/>
    </row>
    <row r="69" spans="12:16" ht="15" customHeight="1">
      <c r="L69"/>
      <c r="M69"/>
      <c r="O69"/>
      <c r="P69"/>
    </row>
    <row r="70" spans="12:16" ht="15" customHeight="1">
      <c r="L70"/>
      <c r="M70"/>
      <c r="O70"/>
      <c r="P70"/>
    </row>
    <row r="71" spans="12:16" ht="15" customHeight="1">
      <c r="L71"/>
      <c r="M71"/>
      <c r="O71"/>
      <c r="P71"/>
    </row>
    <row r="72" spans="12:16" ht="15" customHeight="1">
      <c r="L72"/>
      <c r="M72"/>
      <c r="O72"/>
      <c r="P72"/>
    </row>
    <row r="73" spans="12:16" ht="15" customHeight="1">
      <c r="L73"/>
      <c r="M73"/>
      <c r="O73"/>
      <c r="P73"/>
    </row>
    <row r="74" spans="12:16" ht="15" customHeight="1">
      <c r="L74"/>
      <c r="M74"/>
      <c r="O74"/>
      <c r="P74"/>
    </row>
    <row r="75" spans="12:16" ht="15" customHeight="1">
      <c r="L75"/>
      <c r="M75"/>
      <c r="O75"/>
      <c r="P75"/>
    </row>
    <row r="76" spans="12:16" ht="15" customHeight="1">
      <c r="L76"/>
      <c r="M76"/>
      <c r="O76"/>
      <c r="P76"/>
    </row>
    <row r="77" spans="12:16" ht="15" customHeight="1">
      <c r="L77"/>
      <c r="M77"/>
      <c r="O77"/>
      <c r="P77"/>
    </row>
    <row r="78" spans="12:16" ht="15" customHeight="1">
      <c r="L78"/>
      <c r="M78"/>
      <c r="O78"/>
      <c r="P78"/>
    </row>
    <row r="79" spans="12:16" ht="15" customHeight="1">
      <c r="L79"/>
      <c r="M79"/>
      <c r="O79"/>
      <c r="P79"/>
    </row>
    <row r="80" spans="12:16" ht="15" customHeight="1">
      <c r="L80"/>
      <c r="M80"/>
      <c r="O80"/>
      <c r="P80"/>
    </row>
    <row r="81" spans="12:16" ht="15" customHeight="1">
      <c r="L81"/>
      <c r="M81"/>
      <c r="O81"/>
      <c r="P81"/>
    </row>
    <row r="82" spans="12:16" ht="15" customHeight="1">
      <c r="L82"/>
      <c r="M82"/>
      <c r="O82"/>
      <c r="P82"/>
    </row>
    <row r="83" spans="12:16" ht="15" customHeight="1">
      <c r="L83"/>
      <c r="M83"/>
      <c r="O83"/>
      <c r="P83"/>
    </row>
    <row r="84" spans="12:16" ht="15" customHeight="1">
      <c r="L84"/>
      <c r="M84"/>
      <c r="O84"/>
      <c r="P84"/>
    </row>
    <row r="85" spans="12:16" ht="15" customHeight="1">
      <c r="L85"/>
      <c r="M85"/>
      <c r="O85"/>
      <c r="P85"/>
    </row>
    <row r="86" spans="12:16" ht="15" customHeight="1">
      <c r="L86"/>
      <c r="M86"/>
      <c r="O86"/>
      <c r="P86"/>
    </row>
    <row r="87" spans="12:16" ht="15" customHeight="1">
      <c r="L87"/>
      <c r="M87"/>
      <c r="O87"/>
      <c r="P87"/>
    </row>
    <row r="88" spans="12:16" ht="15" customHeight="1">
      <c r="L88"/>
      <c r="M88"/>
      <c r="O88"/>
      <c r="P88"/>
    </row>
    <row r="89" spans="12:16" ht="15" customHeight="1">
      <c r="L89"/>
      <c r="M89"/>
      <c r="O89"/>
      <c r="P89"/>
    </row>
    <row r="90" spans="12:16" ht="15" customHeight="1">
      <c r="L90"/>
      <c r="M90"/>
      <c r="O90"/>
      <c r="P90"/>
    </row>
    <row r="91" spans="12:16" ht="15" customHeight="1">
      <c r="L91"/>
      <c r="M91"/>
      <c r="O91"/>
      <c r="P91"/>
    </row>
    <row r="92" spans="12:16" ht="15" customHeight="1">
      <c r="L92"/>
      <c r="M92"/>
      <c r="O92"/>
      <c r="P92"/>
    </row>
    <row r="93" spans="12:16" ht="15" customHeight="1">
      <c r="L93"/>
      <c r="M93"/>
      <c r="O93"/>
      <c r="P93"/>
    </row>
    <row r="94" spans="12:16" ht="15" customHeight="1">
      <c r="L94"/>
      <c r="M94"/>
      <c r="O94"/>
      <c r="P94"/>
    </row>
    <row r="95" spans="12:16" ht="15" customHeight="1">
      <c r="L95"/>
      <c r="M95"/>
      <c r="O95"/>
      <c r="P95"/>
    </row>
    <row r="96" spans="12:16" ht="15" customHeight="1">
      <c r="L96"/>
      <c r="M96"/>
      <c r="O96"/>
      <c r="P96"/>
    </row>
    <row r="97" spans="12:16" ht="15" customHeight="1">
      <c r="L97"/>
      <c r="M97"/>
      <c r="O97"/>
      <c r="P97"/>
    </row>
    <row r="98" spans="12:16" ht="15" customHeight="1">
      <c r="L98"/>
      <c r="M98"/>
      <c r="O98"/>
      <c r="P98"/>
    </row>
    <row r="99" spans="12:16" ht="15" customHeight="1">
      <c r="L99"/>
      <c r="M99"/>
      <c r="O99"/>
      <c r="P99"/>
    </row>
    <row r="100" spans="12:16" ht="15" customHeight="1">
      <c r="L100"/>
      <c r="M100"/>
      <c r="O100"/>
      <c r="P100"/>
    </row>
    <row r="101" spans="12:16" ht="15" customHeight="1">
      <c r="L101"/>
      <c r="M101"/>
      <c r="O101"/>
      <c r="P101"/>
    </row>
    <row r="102" spans="12:16" ht="15" customHeight="1">
      <c r="L102"/>
      <c r="M102"/>
      <c r="O102"/>
      <c r="P102"/>
    </row>
    <row r="103" spans="12:16" ht="15" customHeight="1">
      <c r="L103"/>
      <c r="M103"/>
      <c r="O103"/>
      <c r="P103"/>
    </row>
    <row r="104" spans="12:16" ht="15" customHeight="1">
      <c r="L104"/>
      <c r="M104"/>
      <c r="O104"/>
      <c r="P104"/>
    </row>
    <row r="105" spans="12:16" ht="15" customHeight="1">
      <c r="L105"/>
      <c r="M105"/>
      <c r="O105"/>
      <c r="P105"/>
    </row>
    <row r="106" spans="12:16" ht="15" customHeight="1">
      <c r="L106"/>
      <c r="M106"/>
      <c r="O106"/>
      <c r="P106"/>
    </row>
    <row r="107" spans="12:16" ht="15" customHeight="1">
      <c r="L107"/>
      <c r="M107"/>
      <c r="O107"/>
      <c r="P107"/>
    </row>
    <row r="108" spans="12:16" ht="15" customHeight="1">
      <c r="L108"/>
      <c r="M108"/>
      <c r="O108"/>
      <c r="P108"/>
    </row>
    <row r="109" spans="12:16" ht="15" customHeight="1">
      <c r="L109"/>
      <c r="M109"/>
      <c r="O109"/>
      <c r="P109"/>
    </row>
    <row r="110" spans="12:16" ht="15" customHeight="1">
      <c r="L110"/>
      <c r="M110"/>
      <c r="O110"/>
      <c r="P110"/>
    </row>
    <row r="111" spans="12:16" ht="15" customHeight="1">
      <c r="L111"/>
      <c r="M111"/>
      <c r="O111"/>
      <c r="P111"/>
    </row>
    <row r="112" spans="12:16" ht="15" customHeight="1">
      <c r="L112"/>
      <c r="M112"/>
      <c r="O112"/>
      <c r="P112"/>
    </row>
    <row r="113" spans="12:16" ht="15" customHeight="1">
      <c r="L113"/>
      <c r="M113"/>
      <c r="O113"/>
      <c r="P113"/>
    </row>
    <row r="114" spans="12:16" ht="15" customHeight="1">
      <c r="L114"/>
      <c r="M114"/>
      <c r="O114"/>
      <c r="P114"/>
    </row>
    <row r="115" spans="12:16" ht="15" customHeight="1">
      <c r="L115"/>
      <c r="M115"/>
      <c r="O115"/>
      <c r="P115"/>
    </row>
    <row r="116" spans="12:16" ht="15" customHeight="1">
      <c r="L116"/>
      <c r="M116"/>
      <c r="O116"/>
      <c r="P116"/>
    </row>
    <row r="117" spans="12:16" ht="15" customHeight="1">
      <c r="L117"/>
      <c r="M117"/>
      <c r="O117"/>
      <c r="P117"/>
    </row>
    <row r="118" spans="12:16" ht="15" customHeight="1">
      <c r="L118"/>
      <c r="M118"/>
      <c r="O118"/>
      <c r="P118"/>
    </row>
    <row r="119" spans="12:16" ht="15" customHeight="1">
      <c r="L119"/>
      <c r="M119"/>
      <c r="O119"/>
      <c r="P119"/>
    </row>
    <row r="120" spans="12:16" ht="15" customHeight="1">
      <c r="L120"/>
      <c r="M120"/>
      <c r="O120"/>
      <c r="P120"/>
    </row>
    <row r="121" spans="12:16" ht="15" customHeight="1">
      <c r="L121"/>
      <c r="M121"/>
      <c r="O121"/>
      <c r="P121"/>
    </row>
    <row r="122" spans="12:16" ht="15" customHeight="1">
      <c r="L122"/>
      <c r="M122"/>
      <c r="O122"/>
      <c r="P122"/>
    </row>
    <row r="123" spans="12:16" ht="15" customHeight="1">
      <c r="L123"/>
      <c r="M123"/>
      <c r="O123"/>
      <c r="P123"/>
    </row>
    <row r="124" spans="12:16" ht="15" customHeight="1">
      <c r="L124"/>
      <c r="M124"/>
      <c r="O124"/>
      <c r="P124"/>
    </row>
    <row r="125" spans="12:16" ht="15" customHeight="1">
      <c r="L125"/>
      <c r="M125"/>
      <c r="O125"/>
      <c r="P125"/>
    </row>
    <row r="126" spans="12:16" ht="15" customHeight="1">
      <c r="L126"/>
      <c r="M126"/>
      <c r="O126"/>
      <c r="P126"/>
    </row>
    <row r="127" spans="12:16" ht="15" customHeight="1">
      <c r="L127"/>
      <c r="M127"/>
      <c r="O127"/>
      <c r="P127"/>
    </row>
    <row r="128" spans="12:16" ht="15" customHeight="1">
      <c r="L128"/>
      <c r="M128"/>
      <c r="O128"/>
      <c r="P128"/>
    </row>
    <row r="129" spans="12:16" ht="15" customHeight="1">
      <c r="L129"/>
      <c r="M129"/>
      <c r="O129"/>
      <c r="P129"/>
    </row>
    <row r="130" spans="12:16" ht="15" customHeight="1">
      <c r="L130"/>
      <c r="M130"/>
      <c r="O130"/>
      <c r="P130"/>
    </row>
    <row r="131" spans="12:16" ht="15" customHeight="1">
      <c r="L131"/>
      <c r="M131"/>
      <c r="O131"/>
      <c r="P131"/>
    </row>
    <row r="132" spans="12:16" ht="15" customHeight="1">
      <c r="L132"/>
      <c r="M132"/>
      <c r="O132"/>
      <c r="P132"/>
    </row>
    <row r="133" spans="12:16" ht="15" customHeight="1">
      <c r="L133"/>
      <c r="M133"/>
      <c r="O133"/>
      <c r="P133"/>
    </row>
    <row r="134" spans="12:16" ht="15" customHeight="1">
      <c r="L134"/>
      <c r="M134"/>
      <c r="O134"/>
      <c r="P134"/>
    </row>
    <row r="135" spans="12:16" ht="15" customHeight="1">
      <c r="L135"/>
      <c r="M135"/>
      <c r="O135"/>
      <c r="P135"/>
    </row>
    <row r="136" spans="12:16" ht="15" customHeight="1">
      <c r="L136"/>
      <c r="M136"/>
      <c r="O136"/>
      <c r="P136"/>
    </row>
    <row r="137" spans="12:16" ht="15" customHeight="1">
      <c r="L137"/>
      <c r="M137"/>
      <c r="O137"/>
      <c r="P137"/>
    </row>
    <row r="138" spans="12:16" ht="15" customHeight="1">
      <c r="L138"/>
      <c r="M138"/>
      <c r="O138"/>
      <c r="P138"/>
    </row>
    <row r="139" spans="12:16" ht="15" customHeight="1">
      <c r="L139"/>
      <c r="M139"/>
      <c r="O139"/>
      <c r="P139"/>
    </row>
    <row r="140" spans="12:16" ht="15" customHeight="1">
      <c r="L140"/>
      <c r="M140"/>
      <c r="O140"/>
      <c r="P140"/>
    </row>
    <row r="141" spans="12:16" ht="15" customHeight="1">
      <c r="L141"/>
      <c r="M141"/>
      <c r="O141"/>
      <c r="P141"/>
    </row>
    <row r="142" spans="12:16" ht="15" customHeight="1">
      <c r="L142"/>
      <c r="M142"/>
      <c r="O142"/>
      <c r="P142"/>
    </row>
    <row r="143" spans="12:16" ht="15" customHeight="1">
      <c r="L143"/>
      <c r="M143"/>
      <c r="O143"/>
      <c r="P143"/>
    </row>
    <row r="144" spans="12:16" ht="15" customHeight="1">
      <c r="L144"/>
      <c r="M144"/>
      <c r="O144"/>
      <c r="P144"/>
    </row>
    <row r="145" spans="12:16" ht="15" customHeight="1">
      <c r="L145"/>
      <c r="M145"/>
      <c r="O145"/>
      <c r="P145"/>
    </row>
    <row r="146" spans="12:16" ht="15" customHeight="1">
      <c r="L146"/>
      <c r="M146"/>
      <c r="O146"/>
      <c r="P146"/>
    </row>
    <row r="147" spans="12:16" ht="15" customHeight="1">
      <c r="L147"/>
      <c r="M147"/>
      <c r="O147"/>
      <c r="P147"/>
    </row>
    <row r="148" spans="12:16" ht="15" customHeight="1">
      <c r="L148"/>
      <c r="M148"/>
      <c r="O148"/>
      <c r="P148"/>
    </row>
    <row r="149" spans="12:16" ht="15" customHeight="1">
      <c r="L149"/>
      <c r="M149"/>
      <c r="O149"/>
      <c r="P149"/>
    </row>
    <row r="150" spans="12:16" ht="15" customHeight="1">
      <c r="L150"/>
      <c r="M150"/>
      <c r="O150"/>
      <c r="P150"/>
    </row>
    <row r="151" spans="12:16" ht="15" customHeight="1">
      <c r="L151"/>
      <c r="M151"/>
      <c r="O151"/>
      <c r="P151"/>
    </row>
    <row r="152" spans="12:16" ht="15" customHeight="1">
      <c r="L152"/>
      <c r="M152"/>
      <c r="O152"/>
      <c r="P152"/>
    </row>
    <row r="153" spans="12:16" ht="15" customHeight="1">
      <c r="L153"/>
      <c r="M153"/>
      <c r="O153"/>
      <c r="P153"/>
    </row>
    <row r="154" spans="12:16" ht="15" customHeight="1">
      <c r="L154"/>
      <c r="M154"/>
      <c r="O154"/>
      <c r="P154"/>
    </row>
    <row r="155" spans="12:16" ht="15" customHeight="1">
      <c r="L155"/>
      <c r="M155"/>
      <c r="O155"/>
      <c r="P155"/>
    </row>
    <row r="156" spans="12:16" ht="15" customHeight="1">
      <c r="L156"/>
      <c r="M156"/>
      <c r="O156"/>
      <c r="P156"/>
    </row>
    <row r="157" spans="12:16" ht="15" customHeight="1">
      <c r="L157"/>
      <c r="M157"/>
      <c r="O157"/>
      <c r="P157"/>
    </row>
    <row r="158" spans="12:16" ht="15" customHeight="1">
      <c r="L158"/>
      <c r="M158"/>
      <c r="O158"/>
      <c r="P158"/>
    </row>
    <row r="159" spans="12:16" ht="15" customHeight="1">
      <c r="L159"/>
      <c r="M159"/>
      <c r="O159"/>
      <c r="P159"/>
    </row>
    <row r="160" spans="12:16" ht="15" customHeight="1">
      <c r="L160"/>
      <c r="M160"/>
      <c r="O160"/>
      <c r="P160"/>
    </row>
    <row r="161" spans="12:16" ht="15" customHeight="1">
      <c r="L161"/>
      <c r="M161"/>
      <c r="O161"/>
      <c r="P161"/>
    </row>
    <row r="162" spans="12:16" ht="15" customHeight="1">
      <c r="L162"/>
      <c r="M162"/>
      <c r="O162"/>
      <c r="P162"/>
    </row>
    <row r="163" spans="12:16" ht="15" customHeight="1">
      <c r="L163"/>
      <c r="M163"/>
      <c r="O163"/>
      <c r="P163"/>
    </row>
    <row r="164" spans="12:16" ht="15" customHeight="1">
      <c r="L164"/>
      <c r="M164"/>
      <c r="O164"/>
      <c r="P164"/>
    </row>
    <row r="165" spans="12:16" ht="15" customHeight="1">
      <c r="L165"/>
      <c r="M165"/>
      <c r="O165"/>
      <c r="P165"/>
    </row>
    <row r="166" spans="12:16" ht="15" customHeight="1">
      <c r="L166"/>
      <c r="M166"/>
      <c r="O166"/>
      <c r="P166"/>
    </row>
    <row r="167" spans="12:16" ht="15" customHeight="1">
      <c r="L167"/>
      <c r="M167"/>
      <c r="O167"/>
      <c r="P167"/>
    </row>
    <row r="168" spans="12:16" ht="15" customHeight="1">
      <c r="L168"/>
      <c r="M168"/>
      <c r="O168"/>
      <c r="P168"/>
    </row>
    <row r="169" spans="12:16" ht="15" customHeight="1">
      <c r="L169"/>
      <c r="M169"/>
      <c r="O169"/>
      <c r="P169"/>
    </row>
    <row r="170" spans="12:16" ht="15" customHeight="1">
      <c r="L170"/>
      <c r="M170"/>
      <c r="O170"/>
      <c r="P170"/>
    </row>
    <row r="171" spans="12:16" ht="15" customHeight="1">
      <c r="L171"/>
      <c r="M171"/>
      <c r="O171"/>
      <c r="P171"/>
    </row>
    <row r="172" spans="12:16" ht="15" customHeight="1">
      <c r="L172"/>
      <c r="M172"/>
      <c r="O172"/>
      <c r="P172"/>
    </row>
    <row r="173" spans="12:16" ht="15" customHeight="1">
      <c r="L173"/>
      <c r="M173"/>
      <c r="O173"/>
      <c r="P173"/>
    </row>
    <row r="174" spans="12:16" ht="15" customHeight="1">
      <c r="L174"/>
      <c r="M174"/>
      <c r="O174"/>
      <c r="P174"/>
    </row>
    <row r="175" spans="12:16" ht="15" customHeight="1">
      <c r="L175"/>
      <c r="M175"/>
      <c r="O175"/>
      <c r="P175"/>
    </row>
    <row r="176" spans="12:16" ht="15" customHeight="1">
      <c r="L176"/>
      <c r="M176"/>
      <c r="O176"/>
      <c r="P176"/>
    </row>
    <row r="177" spans="12:16" ht="15" customHeight="1">
      <c r="L177"/>
      <c r="M177"/>
      <c r="O177"/>
      <c r="P177"/>
    </row>
    <row r="178" spans="12:16" ht="15" customHeight="1">
      <c r="L178"/>
      <c r="M178"/>
      <c r="O178"/>
      <c r="P178"/>
    </row>
    <row r="179" spans="12:16" ht="15" customHeight="1">
      <c r="L179"/>
      <c r="M179"/>
      <c r="O179"/>
      <c r="P179"/>
    </row>
    <row r="180" spans="12:16" ht="15" customHeight="1">
      <c r="L180"/>
      <c r="M180"/>
      <c r="O180"/>
      <c r="P180"/>
    </row>
    <row r="181" spans="12:16" ht="15" customHeight="1">
      <c r="L181"/>
      <c r="M181"/>
      <c r="O181"/>
      <c r="P181"/>
    </row>
    <row r="182" spans="12:16" ht="15" customHeight="1">
      <c r="L182"/>
      <c r="M182"/>
      <c r="O182"/>
      <c r="P182"/>
    </row>
    <row r="183" spans="12:16" ht="15" customHeight="1">
      <c r="L183"/>
      <c r="M183"/>
      <c r="O183"/>
      <c r="P183"/>
    </row>
    <row r="184" spans="12:16" ht="15" customHeight="1">
      <c r="L184"/>
      <c r="M184"/>
      <c r="O184"/>
      <c r="P184"/>
    </row>
    <row r="185" spans="12:16" ht="15" customHeight="1">
      <c r="L185"/>
      <c r="M185"/>
      <c r="O185"/>
      <c r="P185"/>
    </row>
    <row r="186" spans="12:16" ht="15" customHeight="1">
      <c r="L186"/>
      <c r="M186"/>
      <c r="O186"/>
      <c r="P186"/>
    </row>
    <row r="187" spans="12:16" ht="15" customHeight="1">
      <c r="L187"/>
      <c r="M187"/>
      <c r="O187"/>
      <c r="P187"/>
    </row>
    <row r="188" spans="12:16" ht="15" customHeight="1">
      <c r="L188"/>
      <c r="M188"/>
      <c r="O188"/>
      <c r="P188"/>
    </row>
    <row r="189" spans="12:16" ht="15" customHeight="1">
      <c r="L189"/>
      <c r="M189"/>
      <c r="O189"/>
      <c r="P189"/>
    </row>
    <row r="190" spans="12:16" ht="15" customHeight="1">
      <c r="L190"/>
      <c r="M190"/>
      <c r="O190"/>
      <c r="P190"/>
    </row>
    <row r="191" spans="12:16" ht="15" customHeight="1">
      <c r="L191"/>
      <c r="M191"/>
      <c r="O191"/>
      <c r="P191"/>
    </row>
    <row r="192" spans="12:16" ht="15" customHeight="1">
      <c r="L192"/>
      <c r="M192"/>
      <c r="O192"/>
      <c r="P192"/>
    </row>
    <row r="193" spans="12:16" ht="15" customHeight="1">
      <c r="L193"/>
      <c r="M193"/>
      <c r="O193"/>
      <c r="P193"/>
    </row>
    <row r="194" spans="12:16" ht="15" customHeight="1">
      <c r="L194"/>
      <c r="M194"/>
      <c r="O194"/>
      <c r="P194"/>
    </row>
    <row r="195" spans="12:16" ht="15" customHeight="1">
      <c r="L195"/>
      <c r="M195"/>
      <c r="O195"/>
      <c r="P195"/>
    </row>
    <row r="196" spans="12:16" ht="15" customHeight="1">
      <c r="L196"/>
      <c r="M196"/>
      <c r="O196"/>
      <c r="P196"/>
    </row>
    <row r="197" spans="12:16" ht="15" customHeight="1">
      <c r="L197"/>
      <c r="M197"/>
      <c r="O197"/>
      <c r="P197"/>
    </row>
    <row r="198" spans="12:16" ht="15" customHeight="1">
      <c r="L198"/>
      <c r="M198"/>
      <c r="O198"/>
      <c r="P198"/>
    </row>
    <row r="199" spans="12:16" ht="15" customHeight="1">
      <c r="L199"/>
      <c r="M199"/>
      <c r="O199"/>
      <c r="P199"/>
    </row>
    <row r="200" spans="12:16" ht="15" customHeight="1">
      <c r="L200"/>
      <c r="M200"/>
      <c r="O200"/>
      <c r="P200"/>
    </row>
    <row r="201" spans="12:16" ht="15" customHeight="1">
      <c r="L201"/>
      <c r="M201"/>
      <c r="O201"/>
      <c r="P201"/>
    </row>
    <row r="202" spans="12:16" ht="15" customHeight="1">
      <c r="L202"/>
      <c r="M202"/>
      <c r="O202"/>
      <c r="P202"/>
    </row>
    <row r="203" spans="12:16" ht="15" customHeight="1">
      <c r="L203"/>
      <c r="M203"/>
      <c r="O203"/>
      <c r="P203"/>
    </row>
    <row r="204" spans="12:16" ht="15" customHeight="1">
      <c r="L204"/>
      <c r="M204"/>
      <c r="O204"/>
      <c r="P204"/>
    </row>
    <row r="205" spans="12:16" ht="15" customHeight="1">
      <c r="L205"/>
      <c r="M205"/>
      <c r="O205"/>
      <c r="P205"/>
    </row>
    <row r="206" spans="12:16" ht="15" customHeight="1">
      <c r="L206"/>
      <c r="M206"/>
      <c r="O206"/>
      <c r="P206"/>
    </row>
    <row r="207" spans="12:16" ht="15" customHeight="1">
      <c r="L207"/>
      <c r="M207"/>
      <c r="O207"/>
      <c r="P207"/>
    </row>
    <row r="208" spans="12:16" ht="15" customHeight="1">
      <c r="L208"/>
      <c r="M208"/>
      <c r="O208"/>
      <c r="P208"/>
    </row>
    <row r="209" spans="12:16" ht="15" customHeight="1">
      <c r="L209"/>
      <c r="M209"/>
      <c r="O209"/>
      <c r="P209"/>
    </row>
    <row r="210" spans="12:16" ht="15" customHeight="1">
      <c r="L210"/>
      <c r="M210"/>
      <c r="O210"/>
      <c r="P210"/>
    </row>
    <row r="211" spans="12:16" ht="15" customHeight="1">
      <c r="L211"/>
      <c r="M211"/>
      <c r="O211"/>
      <c r="P211"/>
    </row>
    <row r="212" spans="12:16" ht="15" customHeight="1">
      <c r="L212"/>
      <c r="M212"/>
      <c r="O212"/>
      <c r="P212"/>
    </row>
    <row r="213" spans="12:16" ht="15" customHeight="1">
      <c r="L213"/>
      <c r="M213"/>
      <c r="O213"/>
      <c r="P213"/>
    </row>
    <row r="214" spans="12:16" ht="15" customHeight="1">
      <c r="L214"/>
      <c r="M214"/>
      <c r="O214"/>
      <c r="P214"/>
    </row>
    <row r="215" spans="12:16" ht="15" customHeight="1">
      <c r="L215"/>
      <c r="M215"/>
      <c r="O215"/>
      <c r="P215"/>
    </row>
    <row r="216" spans="12:16" ht="15" customHeight="1">
      <c r="L216"/>
      <c r="M216"/>
      <c r="O216"/>
      <c r="P216"/>
    </row>
    <row r="217" spans="12:16" ht="15" customHeight="1">
      <c r="L217"/>
      <c r="M217"/>
      <c r="O217"/>
      <c r="P217"/>
    </row>
    <row r="218" spans="12:16" ht="15" customHeight="1">
      <c r="L218"/>
      <c r="M218"/>
      <c r="O218"/>
      <c r="P218"/>
    </row>
    <row r="219" spans="12:16" ht="15" customHeight="1">
      <c r="L219"/>
      <c r="M219"/>
      <c r="O219"/>
      <c r="P219"/>
    </row>
    <row r="220" spans="12:16" ht="15" customHeight="1">
      <c r="L220"/>
      <c r="M220"/>
      <c r="O220"/>
      <c r="P220"/>
    </row>
    <row r="221" spans="12:16" ht="15" customHeight="1">
      <c r="L221"/>
      <c r="M221"/>
      <c r="O221"/>
      <c r="P221"/>
    </row>
    <row r="222" spans="12:16" ht="15" customHeight="1">
      <c r="L222"/>
      <c r="M222"/>
      <c r="O222"/>
      <c r="P222"/>
    </row>
    <row r="223" spans="12:16" ht="15" customHeight="1">
      <c r="L223"/>
      <c r="M223"/>
      <c r="O223"/>
      <c r="P223"/>
    </row>
    <row r="224" spans="12:16" ht="15" customHeight="1">
      <c r="L224"/>
      <c r="M224"/>
      <c r="O224"/>
      <c r="P224"/>
    </row>
    <row r="225" spans="12:16" ht="15" customHeight="1">
      <c r="L225"/>
      <c r="M225"/>
      <c r="O225"/>
      <c r="P225"/>
    </row>
    <row r="226" spans="12:16" ht="15" customHeight="1">
      <c r="L226"/>
      <c r="M226"/>
      <c r="O226"/>
      <c r="P226"/>
    </row>
    <row r="227" spans="12:16" ht="15" customHeight="1">
      <c r="L227"/>
      <c r="M227"/>
      <c r="O227"/>
      <c r="P227"/>
    </row>
    <row r="228" spans="12:16" ht="15" customHeight="1">
      <c r="L228"/>
      <c r="M228"/>
      <c r="O228"/>
      <c r="P228"/>
    </row>
    <row r="229" spans="12:16" ht="15" customHeight="1">
      <c r="L229"/>
      <c r="M229"/>
      <c r="O229"/>
      <c r="P229"/>
    </row>
    <row r="230" spans="12:16" ht="15" customHeight="1">
      <c r="L230"/>
      <c r="M230"/>
      <c r="O230"/>
      <c r="P230"/>
    </row>
    <row r="231" spans="12:16" ht="15" customHeight="1">
      <c r="L231"/>
      <c r="M231"/>
      <c r="O231"/>
      <c r="P231"/>
    </row>
    <row r="232" spans="12:16" ht="15" customHeight="1">
      <c r="L232"/>
      <c r="M232"/>
      <c r="O232"/>
      <c r="P232"/>
    </row>
    <row r="233" spans="12:16" ht="15" customHeight="1">
      <c r="L233"/>
      <c r="M233"/>
      <c r="O233"/>
      <c r="P233"/>
    </row>
    <row r="234" spans="12:16" ht="15" customHeight="1">
      <c r="L234"/>
      <c r="M234"/>
      <c r="O234"/>
      <c r="P234"/>
    </row>
    <row r="235" spans="12:16" ht="15" customHeight="1">
      <c r="L235"/>
      <c r="M235"/>
      <c r="O235"/>
      <c r="P235"/>
    </row>
    <row r="236" spans="12:16" ht="15" customHeight="1">
      <c r="L236"/>
      <c r="M236"/>
      <c r="O236"/>
      <c r="P236"/>
    </row>
    <row r="237" spans="12:16" ht="15" customHeight="1">
      <c r="L237"/>
      <c r="M237"/>
      <c r="O237"/>
      <c r="P237"/>
    </row>
    <row r="238" spans="12:16" ht="15" customHeight="1">
      <c r="L238"/>
      <c r="M238"/>
      <c r="O238"/>
      <c r="P238"/>
    </row>
    <row r="239" spans="12:16" ht="15" customHeight="1">
      <c r="L239"/>
      <c r="M239"/>
      <c r="O239"/>
      <c r="P239"/>
    </row>
    <row r="240" spans="12:16" ht="15" customHeight="1">
      <c r="L240"/>
      <c r="M240"/>
      <c r="O240"/>
      <c r="P240"/>
    </row>
    <row r="241" spans="12:16" ht="15" customHeight="1">
      <c r="L241"/>
      <c r="M241"/>
      <c r="O241"/>
      <c r="P241"/>
    </row>
    <row r="242" spans="12:16" ht="15" customHeight="1">
      <c r="L242"/>
      <c r="M242"/>
      <c r="O242"/>
      <c r="P242"/>
    </row>
    <row r="243" spans="12:16" ht="15" customHeight="1">
      <c r="L243"/>
      <c r="M243"/>
      <c r="O243"/>
      <c r="P243"/>
    </row>
    <row r="244" spans="12:16" ht="15" customHeight="1">
      <c r="L244"/>
      <c r="M244"/>
      <c r="O244"/>
      <c r="P244"/>
    </row>
    <row r="245" spans="12:16" ht="15" customHeight="1">
      <c r="L245"/>
      <c r="M245"/>
      <c r="O245"/>
      <c r="P245"/>
    </row>
    <row r="246" spans="12:16" ht="15" customHeight="1">
      <c r="L246"/>
      <c r="M246"/>
      <c r="O246"/>
      <c r="P246"/>
    </row>
    <row r="247" spans="12:16" ht="15" customHeight="1">
      <c r="L247"/>
      <c r="M247"/>
      <c r="O247"/>
      <c r="P247"/>
    </row>
    <row r="248" spans="12:16" ht="15" customHeight="1">
      <c r="L248"/>
      <c r="M248"/>
      <c r="O248"/>
      <c r="P248"/>
    </row>
    <row r="249" spans="12:16" ht="15" customHeight="1">
      <c r="L249"/>
      <c r="M249"/>
      <c r="O249"/>
      <c r="P249"/>
    </row>
    <row r="250" spans="12:16" ht="15" customHeight="1">
      <c r="L250"/>
      <c r="M250"/>
      <c r="O250"/>
      <c r="P250"/>
    </row>
    <row r="251" spans="12:16" ht="15" customHeight="1">
      <c r="L251"/>
      <c r="M251"/>
      <c r="O251"/>
      <c r="P251"/>
    </row>
    <row r="252" spans="12:16" ht="15" customHeight="1">
      <c r="L252"/>
      <c r="M252"/>
      <c r="O252"/>
      <c r="P252"/>
    </row>
    <row r="253" spans="12:16" ht="15" customHeight="1">
      <c r="L253"/>
      <c r="M253"/>
      <c r="O253"/>
      <c r="P253"/>
    </row>
    <row r="254" spans="12:16" ht="15" customHeight="1">
      <c r="L254"/>
      <c r="M254"/>
      <c r="O254"/>
      <c r="P254"/>
    </row>
    <row r="255" spans="12:16" ht="15" customHeight="1">
      <c r="L255"/>
      <c r="M255"/>
      <c r="O255"/>
      <c r="P255"/>
    </row>
    <row r="256" spans="12:16" ht="15" customHeight="1">
      <c r="L256"/>
      <c r="M256"/>
      <c r="O256"/>
      <c r="P256"/>
    </row>
    <row r="257" spans="12:16" ht="15" customHeight="1">
      <c r="L257"/>
      <c r="M257"/>
      <c r="O257"/>
      <c r="P257"/>
    </row>
    <row r="258" spans="12:16" ht="15" customHeight="1">
      <c r="L258"/>
      <c r="M258"/>
      <c r="O258"/>
      <c r="P258"/>
    </row>
    <row r="259" spans="12:16" ht="15" customHeight="1">
      <c r="L259"/>
      <c r="M259"/>
      <c r="O259"/>
      <c r="P259"/>
    </row>
    <row r="260" spans="12:16" ht="15" customHeight="1">
      <c r="L260"/>
      <c r="M260"/>
      <c r="O260"/>
      <c r="P260"/>
    </row>
    <row r="261" spans="12:16" ht="15" customHeight="1">
      <c r="L261"/>
      <c r="M261"/>
      <c r="O261"/>
      <c r="P261"/>
    </row>
    <row r="262" spans="12:16" ht="15" customHeight="1">
      <c r="L262"/>
      <c r="M262"/>
      <c r="O262"/>
      <c r="P262"/>
    </row>
    <row r="263" spans="12:16" ht="15" customHeight="1">
      <c r="L263"/>
      <c r="M263"/>
      <c r="O263"/>
      <c r="P263"/>
    </row>
    <row r="264" spans="12:16" ht="15" customHeight="1">
      <c r="L264"/>
      <c r="M264"/>
      <c r="O264"/>
      <c r="P264"/>
    </row>
    <row r="265" spans="12:16" ht="15" customHeight="1">
      <c r="L265"/>
      <c r="M265"/>
      <c r="O265"/>
      <c r="P265"/>
    </row>
    <row r="266" spans="12:16" ht="15" customHeight="1">
      <c r="L266"/>
      <c r="M266"/>
      <c r="O266"/>
      <c r="P266"/>
    </row>
    <row r="267" spans="12:16" ht="15" customHeight="1">
      <c r="L267"/>
      <c r="M267"/>
      <c r="O267"/>
      <c r="P267"/>
    </row>
    <row r="268" spans="12:16" ht="15" customHeight="1">
      <c r="L268"/>
      <c r="M268"/>
      <c r="O268"/>
      <c r="P268"/>
    </row>
    <row r="269" spans="12:16" ht="15" customHeight="1">
      <c r="L269"/>
      <c r="M269"/>
      <c r="O269"/>
      <c r="P269"/>
    </row>
    <row r="270" spans="12:16" ht="15" customHeight="1">
      <c r="L270"/>
      <c r="M270"/>
      <c r="O270"/>
      <c r="P270"/>
    </row>
    <row r="271" spans="12:16" ht="15" customHeight="1">
      <c r="L271"/>
      <c r="M271"/>
      <c r="O271"/>
      <c r="P271"/>
    </row>
    <row r="272" spans="12:16" ht="15" customHeight="1">
      <c r="L272"/>
      <c r="M272"/>
      <c r="O272"/>
      <c r="P272"/>
    </row>
    <row r="273" spans="12:16" ht="15" customHeight="1">
      <c r="L273"/>
      <c r="M273"/>
      <c r="O273"/>
      <c r="P273"/>
    </row>
    <row r="274" spans="12:16" ht="15" customHeight="1">
      <c r="L274"/>
      <c r="M274"/>
      <c r="O274"/>
      <c r="P274"/>
    </row>
    <row r="275" spans="12:16" ht="15" customHeight="1">
      <c r="L275"/>
      <c r="M275"/>
      <c r="O275"/>
      <c r="P275"/>
    </row>
    <row r="276" spans="12:16" ht="15" customHeight="1">
      <c r="L276"/>
      <c r="M276"/>
      <c r="O276"/>
      <c r="P276"/>
    </row>
    <row r="277" spans="12:16" ht="15" customHeight="1">
      <c r="L277"/>
      <c r="M277"/>
      <c r="O277"/>
      <c r="P277"/>
    </row>
    <row r="278" spans="12:16" ht="15" customHeight="1">
      <c r="L278"/>
      <c r="M278"/>
      <c r="O278"/>
      <c r="P278"/>
    </row>
    <row r="279" spans="12:16" ht="15" customHeight="1">
      <c r="L279"/>
      <c r="M279"/>
      <c r="O279"/>
      <c r="P279"/>
    </row>
    <row r="280" spans="12:16" ht="15" customHeight="1">
      <c r="L280"/>
      <c r="M280"/>
      <c r="O280"/>
      <c r="P280"/>
    </row>
    <row r="281" spans="12:16" ht="15" customHeight="1">
      <c r="L281"/>
      <c r="M281"/>
      <c r="O281"/>
      <c r="P281"/>
    </row>
    <row r="282" spans="12:16" ht="15" customHeight="1">
      <c r="L282"/>
      <c r="M282"/>
      <c r="O282"/>
      <c r="P282"/>
    </row>
    <row r="283" spans="12:16" ht="15" customHeight="1">
      <c r="L283"/>
      <c r="M283"/>
      <c r="O283"/>
      <c r="P283"/>
    </row>
    <row r="284" spans="12:16" ht="15" customHeight="1">
      <c r="L284"/>
      <c r="M284"/>
      <c r="O284"/>
      <c r="P284"/>
    </row>
    <row r="285" spans="12:16" ht="15" customHeight="1">
      <c r="L285"/>
      <c r="M285"/>
      <c r="O285"/>
      <c r="P285"/>
    </row>
    <row r="286" spans="12:16" ht="15" customHeight="1">
      <c r="L286"/>
      <c r="M286"/>
      <c r="O286"/>
      <c r="P286"/>
    </row>
    <row r="287" spans="12:16" ht="15" customHeight="1">
      <c r="L287"/>
      <c r="M287"/>
      <c r="O287"/>
      <c r="P287"/>
    </row>
    <row r="288" spans="12:16" ht="15" customHeight="1">
      <c r="L288"/>
      <c r="M288"/>
      <c r="O288"/>
      <c r="P288"/>
    </row>
    <row r="289" spans="12:16" ht="15" customHeight="1">
      <c r="L289"/>
      <c r="M289"/>
      <c r="O289"/>
      <c r="P289"/>
    </row>
    <row r="290" spans="12:16" ht="15" customHeight="1">
      <c r="L290"/>
      <c r="M290"/>
      <c r="O290"/>
      <c r="P290"/>
    </row>
    <row r="291" spans="12:16" ht="15" customHeight="1">
      <c r="L291"/>
      <c r="M291"/>
      <c r="O291"/>
      <c r="P291"/>
    </row>
    <row r="292" spans="12:16" ht="15" customHeight="1">
      <c r="L292"/>
      <c r="M292"/>
      <c r="O292"/>
      <c r="P292"/>
    </row>
    <row r="293" spans="12:16" ht="15" customHeight="1">
      <c r="L293"/>
      <c r="M293"/>
      <c r="O293"/>
      <c r="P293"/>
    </row>
    <row r="294" spans="12:16" ht="15" customHeight="1">
      <c r="L294"/>
      <c r="M294"/>
      <c r="O294"/>
      <c r="P294"/>
    </row>
    <row r="295" spans="12:16" ht="15" customHeight="1">
      <c r="L295"/>
      <c r="M295"/>
      <c r="O295"/>
      <c r="P295"/>
    </row>
    <row r="296" spans="12:16" ht="15" customHeight="1">
      <c r="L296"/>
      <c r="M296"/>
      <c r="O296"/>
      <c r="P296"/>
    </row>
    <row r="297" spans="12:16" ht="15" customHeight="1">
      <c r="L297"/>
      <c r="M297"/>
      <c r="O297"/>
      <c r="P297"/>
    </row>
    <row r="298" spans="12:16" ht="15" customHeight="1">
      <c r="L298"/>
      <c r="M298"/>
      <c r="O298"/>
      <c r="P298"/>
    </row>
    <row r="299" spans="12:16" ht="15" customHeight="1">
      <c r="L299"/>
      <c r="M299"/>
      <c r="O299"/>
      <c r="P299"/>
    </row>
    <row r="300" spans="12:16" ht="15" customHeight="1">
      <c r="L300"/>
      <c r="M300"/>
      <c r="O300"/>
      <c r="P300"/>
    </row>
    <row r="301" spans="12:16" ht="15" customHeight="1">
      <c r="L301"/>
      <c r="M301"/>
      <c r="O301"/>
      <c r="P301"/>
    </row>
    <row r="302" spans="12:16" ht="15" customHeight="1">
      <c r="L302"/>
      <c r="M302"/>
      <c r="O302"/>
      <c r="P302"/>
    </row>
    <row r="303" spans="12:16" ht="15" customHeight="1">
      <c r="L303"/>
      <c r="M303"/>
      <c r="O303"/>
      <c r="P303"/>
    </row>
    <row r="304" spans="12:16" ht="15" customHeight="1">
      <c r="L304"/>
      <c r="M304"/>
      <c r="O304"/>
      <c r="P304"/>
    </row>
    <row r="305" spans="12:16" ht="15" customHeight="1">
      <c r="L305"/>
      <c r="M305"/>
      <c r="O305"/>
      <c r="P305"/>
    </row>
    <row r="306" spans="12:16" ht="15" customHeight="1">
      <c r="L306"/>
      <c r="M306"/>
      <c r="O306"/>
      <c r="P306"/>
    </row>
    <row r="307" spans="12:16" ht="15" customHeight="1">
      <c r="L307"/>
      <c r="M307"/>
      <c r="O307"/>
      <c r="P307"/>
    </row>
    <row r="308" spans="12:16" ht="15" customHeight="1">
      <c r="L308"/>
      <c r="M308"/>
      <c r="O308"/>
      <c r="P308"/>
    </row>
    <row r="309" spans="12:16" ht="15" customHeight="1">
      <c r="L309"/>
      <c r="M309"/>
      <c r="O309"/>
      <c r="P309"/>
    </row>
    <row r="310" spans="12:16" ht="15" customHeight="1">
      <c r="L310"/>
      <c r="M310"/>
      <c r="O310"/>
      <c r="P310"/>
    </row>
    <row r="311" spans="12:16" ht="15" customHeight="1">
      <c r="L311"/>
      <c r="M311"/>
      <c r="O311"/>
      <c r="P311"/>
    </row>
    <row r="312" spans="12:16" ht="15" customHeight="1">
      <c r="L312"/>
      <c r="M312"/>
      <c r="O312"/>
      <c r="P312"/>
    </row>
    <row r="313" spans="12:16" ht="15" customHeight="1">
      <c r="L313"/>
      <c r="M313"/>
      <c r="O313"/>
      <c r="P313"/>
    </row>
    <row r="314" spans="12:16" ht="15" customHeight="1">
      <c r="L314"/>
      <c r="M314"/>
      <c r="O314"/>
      <c r="P314"/>
    </row>
    <row r="315" spans="12:16" ht="15" customHeight="1">
      <c r="L315"/>
      <c r="M315"/>
      <c r="O315"/>
      <c r="P315"/>
    </row>
    <row r="316" spans="12:16" ht="15" customHeight="1">
      <c r="L316"/>
      <c r="M316"/>
      <c r="O316"/>
      <c r="P316"/>
    </row>
    <row r="317" spans="12:16" ht="15" customHeight="1">
      <c r="L317"/>
      <c r="M317"/>
      <c r="O317"/>
      <c r="P317"/>
    </row>
    <row r="318" spans="12:16" ht="15" customHeight="1">
      <c r="L318"/>
      <c r="M318"/>
      <c r="O318"/>
      <c r="P318"/>
    </row>
    <row r="319" spans="12:16" ht="15" customHeight="1">
      <c r="L319"/>
      <c r="M319"/>
      <c r="O319"/>
      <c r="P319"/>
    </row>
    <row r="320" spans="12:16" ht="15" customHeight="1">
      <c r="L320"/>
      <c r="M320"/>
      <c r="O320"/>
      <c r="P320"/>
    </row>
    <row r="321" spans="12:16" ht="15" customHeight="1">
      <c r="L321"/>
      <c r="M321"/>
      <c r="O321"/>
      <c r="P321"/>
    </row>
    <row r="322" spans="12:16" ht="15" customHeight="1">
      <c r="L322"/>
      <c r="M322"/>
      <c r="O322"/>
      <c r="P322"/>
    </row>
    <row r="323" spans="12:16" ht="15" customHeight="1">
      <c r="L323"/>
      <c r="M323"/>
      <c r="O323"/>
      <c r="P323"/>
    </row>
    <row r="324" spans="12:16" ht="15" customHeight="1">
      <c r="L324"/>
      <c r="M324"/>
      <c r="O324"/>
      <c r="P324"/>
    </row>
    <row r="325" spans="12:16" ht="15" customHeight="1">
      <c r="L325"/>
      <c r="M325"/>
      <c r="O325"/>
      <c r="P325"/>
    </row>
    <row r="326" spans="12:16" ht="15" customHeight="1">
      <c r="L326"/>
      <c r="M326"/>
      <c r="O326"/>
      <c r="P326"/>
    </row>
    <row r="327" spans="12:16" ht="15" customHeight="1">
      <c r="L327"/>
      <c r="M327"/>
      <c r="O327"/>
      <c r="P327"/>
    </row>
    <row r="328" spans="12:16" ht="15" customHeight="1">
      <c r="L328"/>
      <c r="M328"/>
      <c r="O328"/>
      <c r="P328"/>
    </row>
    <row r="329" spans="12:16" ht="15" customHeight="1">
      <c r="L329"/>
      <c r="M329"/>
      <c r="O329"/>
      <c r="P329"/>
    </row>
    <row r="330" spans="12:16" ht="15" customHeight="1">
      <c r="L330"/>
      <c r="M330"/>
      <c r="O330"/>
      <c r="P330"/>
    </row>
    <row r="331" spans="12:16" ht="15" customHeight="1">
      <c r="L331"/>
      <c r="M331"/>
      <c r="O331"/>
      <c r="P331"/>
    </row>
    <row r="332" spans="12:16" ht="15" customHeight="1">
      <c r="L332"/>
      <c r="M332"/>
      <c r="O332"/>
      <c r="P332"/>
    </row>
    <row r="333" spans="12:16" ht="15" customHeight="1">
      <c r="L333"/>
      <c r="M333"/>
      <c r="O333"/>
      <c r="P333"/>
    </row>
    <row r="334" spans="12:16" ht="15" customHeight="1">
      <c r="L334"/>
      <c r="M334"/>
      <c r="O334"/>
      <c r="P334"/>
    </row>
    <row r="335" spans="12:16" ht="15" customHeight="1">
      <c r="L335"/>
      <c r="M335"/>
      <c r="O335"/>
      <c r="P335"/>
    </row>
    <row r="336" spans="12:16" ht="15" customHeight="1">
      <c r="L336"/>
      <c r="M336"/>
      <c r="O336"/>
      <c r="P336"/>
    </row>
    <row r="337" spans="12:16" ht="15" customHeight="1">
      <c r="L337"/>
      <c r="M337"/>
      <c r="O337"/>
      <c r="P337"/>
    </row>
    <row r="338" spans="12:16" ht="15" customHeight="1">
      <c r="L338"/>
      <c r="M338"/>
      <c r="O338"/>
      <c r="P338"/>
    </row>
    <row r="339" spans="12:16" ht="15" customHeight="1">
      <c r="L339"/>
      <c r="M339"/>
      <c r="O339"/>
      <c r="P339"/>
    </row>
    <row r="340" spans="12:16" ht="15" customHeight="1">
      <c r="L340"/>
      <c r="M340"/>
      <c r="O340"/>
      <c r="P340"/>
    </row>
    <row r="341" spans="12:16" ht="15" customHeight="1">
      <c r="L341"/>
      <c r="M341"/>
      <c r="O341"/>
      <c r="P341"/>
    </row>
    <row r="342" spans="12:16" ht="15" customHeight="1">
      <c r="L342"/>
      <c r="M342"/>
      <c r="O342"/>
      <c r="P342"/>
    </row>
    <row r="343" spans="12:16" ht="15" customHeight="1">
      <c r="L343"/>
      <c r="M343"/>
      <c r="O343"/>
      <c r="P343"/>
    </row>
    <row r="344" spans="12:16" ht="15" customHeight="1">
      <c r="L344"/>
      <c r="M344"/>
      <c r="O344"/>
      <c r="P344"/>
    </row>
    <row r="345" spans="12:16" ht="15" customHeight="1">
      <c r="L345"/>
      <c r="M345"/>
      <c r="O345"/>
      <c r="P345"/>
    </row>
    <row r="346" spans="12:16" ht="15" customHeight="1">
      <c r="L346"/>
      <c r="M346"/>
      <c r="O346"/>
      <c r="P346"/>
    </row>
    <row r="347" spans="12:16" ht="15" customHeight="1">
      <c r="L347"/>
      <c r="M347"/>
      <c r="O347"/>
      <c r="P347"/>
    </row>
    <row r="348" spans="12:16" ht="15" customHeight="1">
      <c r="L348"/>
      <c r="M348"/>
      <c r="O348"/>
      <c r="P348"/>
    </row>
    <row r="349" spans="12:16" ht="15" customHeight="1">
      <c r="L349"/>
      <c r="M349"/>
      <c r="O349"/>
      <c r="P349"/>
    </row>
    <row r="350" spans="12:16" ht="15" customHeight="1">
      <c r="L350"/>
      <c r="M350"/>
      <c r="O350"/>
      <c r="P350"/>
    </row>
    <row r="351" spans="12:16" ht="15" customHeight="1">
      <c r="L351"/>
      <c r="M351"/>
      <c r="O351"/>
      <c r="P351"/>
    </row>
    <row r="352" spans="12:16" ht="15" customHeight="1">
      <c r="L352"/>
      <c r="M352"/>
      <c r="O352"/>
      <c r="P352"/>
    </row>
    <row r="353" spans="12:16" ht="15" customHeight="1">
      <c r="L353"/>
      <c r="M353"/>
      <c r="O353"/>
      <c r="P353"/>
    </row>
    <row r="354" spans="12:16" ht="15" customHeight="1">
      <c r="L354"/>
      <c r="M354"/>
      <c r="O354"/>
      <c r="P354"/>
    </row>
    <row r="355" spans="12:16" ht="15" customHeight="1">
      <c r="L355"/>
      <c r="M355"/>
      <c r="O355"/>
      <c r="P355"/>
    </row>
    <row r="356" spans="12:16" ht="15" customHeight="1">
      <c r="L356"/>
      <c r="M356"/>
      <c r="O356"/>
      <c r="P356"/>
    </row>
    <row r="357" spans="12:16" ht="15" customHeight="1">
      <c r="L357"/>
      <c r="M357"/>
      <c r="O357"/>
      <c r="P357"/>
    </row>
    <row r="358" spans="12:16" ht="15" customHeight="1">
      <c r="L358"/>
      <c r="M358"/>
      <c r="O358"/>
      <c r="P358"/>
    </row>
    <row r="359" spans="12:16" ht="15" customHeight="1">
      <c r="L359"/>
      <c r="M359"/>
      <c r="O359"/>
      <c r="P359"/>
    </row>
    <row r="360" spans="12:16" ht="15" customHeight="1">
      <c r="L360"/>
      <c r="M360"/>
      <c r="O360"/>
      <c r="P360"/>
    </row>
    <row r="361" spans="12:16" ht="15" customHeight="1">
      <c r="L361"/>
      <c r="M361"/>
      <c r="O361"/>
      <c r="P361"/>
    </row>
    <row r="362" spans="12:16" ht="15" customHeight="1">
      <c r="L362"/>
      <c r="M362"/>
      <c r="O362"/>
      <c r="P362"/>
    </row>
    <row r="363" spans="12:16" ht="15" customHeight="1">
      <c r="L363"/>
      <c r="M363"/>
      <c r="O363"/>
      <c r="P363"/>
    </row>
    <row r="364" spans="12:16" ht="15" customHeight="1">
      <c r="L364"/>
      <c r="M364"/>
      <c r="O364"/>
      <c r="P364"/>
    </row>
    <row r="365" spans="12:16" ht="15" customHeight="1">
      <c r="L365"/>
      <c r="M365"/>
      <c r="O365"/>
      <c r="P365"/>
    </row>
    <row r="366" spans="12:16" ht="15" customHeight="1">
      <c r="L366"/>
      <c r="M366"/>
      <c r="O366"/>
      <c r="P366"/>
    </row>
    <row r="367" spans="12:16" ht="15" customHeight="1">
      <c r="L367"/>
      <c r="M367"/>
      <c r="O367"/>
      <c r="P367"/>
    </row>
    <row r="368" spans="12:16" ht="15" customHeight="1">
      <c r="L368"/>
      <c r="M368"/>
      <c r="O368"/>
      <c r="P368"/>
    </row>
    <row r="369" spans="12:16" ht="15" customHeight="1">
      <c r="L369"/>
      <c r="M369"/>
      <c r="O369"/>
      <c r="P369"/>
    </row>
    <row r="370" spans="12:16" ht="15" customHeight="1">
      <c r="L370"/>
      <c r="M370"/>
      <c r="O370"/>
      <c r="P370"/>
    </row>
    <row r="371" spans="12:16" ht="15" customHeight="1">
      <c r="L371"/>
      <c r="M371"/>
      <c r="O371"/>
      <c r="P371"/>
    </row>
    <row r="372" spans="12:16" ht="15" customHeight="1">
      <c r="L372"/>
      <c r="M372"/>
      <c r="O372"/>
      <c r="P372"/>
    </row>
    <row r="373" spans="12:16" ht="15" customHeight="1">
      <c r="L373"/>
      <c r="M373"/>
      <c r="O373"/>
      <c r="P373"/>
    </row>
    <row r="374" spans="12:16" ht="15" customHeight="1">
      <c r="L374"/>
      <c r="M374"/>
      <c r="O374"/>
      <c r="P374"/>
    </row>
    <row r="375" spans="12:16" ht="15" customHeight="1">
      <c r="L375"/>
      <c r="M375"/>
      <c r="O375"/>
      <c r="P375"/>
    </row>
    <row r="376" spans="12:16" ht="15" customHeight="1">
      <c r="L376"/>
      <c r="M376"/>
      <c r="O376"/>
      <c r="P376"/>
    </row>
    <row r="377" spans="12:16" ht="15" customHeight="1">
      <c r="L377"/>
      <c r="M377"/>
      <c r="O377"/>
      <c r="P377"/>
    </row>
    <row r="378" spans="12:16" ht="15" customHeight="1">
      <c r="L378"/>
      <c r="M378"/>
      <c r="O378"/>
      <c r="P378"/>
    </row>
    <row r="379" spans="12:16" ht="15" customHeight="1">
      <c r="L379"/>
      <c r="M379"/>
      <c r="O379"/>
      <c r="P379"/>
    </row>
    <row r="380" spans="12:16" ht="15" customHeight="1">
      <c r="L380"/>
      <c r="M380"/>
      <c r="O380"/>
      <c r="P380"/>
    </row>
    <row r="381" spans="12:16" ht="15" customHeight="1">
      <c r="L381"/>
      <c r="M381"/>
      <c r="O381"/>
      <c r="P381"/>
    </row>
    <row r="382" spans="12:16" ht="15" customHeight="1">
      <c r="L382"/>
      <c r="M382"/>
      <c r="O382"/>
      <c r="P382"/>
    </row>
    <row r="383" spans="12:16" ht="15" customHeight="1">
      <c r="L383"/>
      <c r="M383"/>
      <c r="O383"/>
      <c r="P383"/>
    </row>
    <row r="384" spans="12:16" ht="15" customHeight="1">
      <c r="L384"/>
      <c r="M384"/>
      <c r="O384"/>
      <c r="P384"/>
    </row>
    <row r="385" spans="12:16" ht="15" customHeight="1">
      <c r="L385"/>
      <c r="M385"/>
      <c r="O385"/>
      <c r="P385"/>
    </row>
    <row r="386" spans="12:16" ht="15" customHeight="1">
      <c r="L386"/>
      <c r="M386"/>
      <c r="O386"/>
      <c r="P386"/>
    </row>
    <row r="387" spans="12:16" ht="15" customHeight="1">
      <c r="L387"/>
      <c r="M387"/>
      <c r="O387"/>
      <c r="P387"/>
    </row>
    <row r="388" spans="12:16" ht="15" customHeight="1">
      <c r="L388"/>
      <c r="M388"/>
      <c r="O388"/>
      <c r="P388"/>
    </row>
    <row r="389" spans="12:16" ht="15" customHeight="1">
      <c r="L389"/>
      <c r="M389"/>
      <c r="O389"/>
      <c r="P389"/>
    </row>
    <row r="390" spans="12:16" ht="15" customHeight="1">
      <c r="L390"/>
      <c r="M390"/>
      <c r="O390"/>
      <c r="P390"/>
    </row>
    <row r="391" spans="12:16" ht="15" customHeight="1">
      <c r="L391"/>
      <c r="M391"/>
      <c r="O391"/>
      <c r="P391"/>
    </row>
    <row r="392" spans="12:16" ht="15" customHeight="1">
      <c r="L392"/>
      <c r="M392"/>
      <c r="O392"/>
      <c r="P392"/>
    </row>
    <row r="393" spans="12:16" ht="15" customHeight="1">
      <c r="L393"/>
      <c r="M393"/>
      <c r="O393"/>
      <c r="P393"/>
    </row>
    <row r="394" spans="12:16" ht="15" customHeight="1">
      <c r="L394"/>
      <c r="M394"/>
      <c r="O394"/>
      <c r="P394"/>
    </row>
    <row r="395" spans="12:16" ht="15" customHeight="1">
      <c r="L395"/>
      <c r="M395"/>
      <c r="O395"/>
      <c r="P395"/>
    </row>
    <row r="396" spans="12:16" ht="15" customHeight="1">
      <c r="L396"/>
      <c r="M396"/>
      <c r="O396"/>
      <c r="P396"/>
    </row>
    <row r="397" spans="12:16" ht="15" customHeight="1">
      <c r="L397"/>
      <c r="M397"/>
      <c r="O397"/>
      <c r="P397"/>
    </row>
    <row r="398" spans="12:16" ht="15" customHeight="1">
      <c r="L398"/>
      <c r="M398"/>
      <c r="O398"/>
      <c r="P398"/>
    </row>
    <row r="399" spans="12:16" ht="15" customHeight="1">
      <c r="L399"/>
      <c r="M399"/>
      <c r="O399"/>
      <c r="P399"/>
    </row>
    <row r="400" spans="12:16" ht="15" customHeight="1">
      <c r="L400"/>
      <c r="M400"/>
      <c r="O400"/>
      <c r="P400"/>
    </row>
    <row r="401" spans="12:16" ht="15" customHeight="1">
      <c r="L401"/>
      <c r="M401"/>
      <c r="O401"/>
      <c r="P401"/>
    </row>
    <row r="402" spans="12:16" ht="15" customHeight="1">
      <c r="L402"/>
      <c r="M402"/>
      <c r="O402"/>
      <c r="P402"/>
    </row>
    <row r="403" spans="12:16" ht="15" customHeight="1">
      <c r="L403"/>
      <c r="M403"/>
      <c r="O403"/>
      <c r="P403"/>
    </row>
    <row r="404" spans="12:16" ht="15" customHeight="1">
      <c r="L404"/>
      <c r="M404"/>
      <c r="O404"/>
      <c r="P404"/>
    </row>
    <row r="405" spans="12:16" ht="15" customHeight="1">
      <c r="L405"/>
      <c r="M405"/>
      <c r="O405"/>
      <c r="P405"/>
    </row>
    <row r="406" spans="12:16" ht="15" customHeight="1">
      <c r="L406"/>
      <c r="M406"/>
      <c r="O406"/>
      <c r="P406"/>
    </row>
    <row r="407" spans="12:16" ht="15" customHeight="1">
      <c r="L407"/>
      <c r="M407"/>
      <c r="O407"/>
      <c r="P407"/>
    </row>
    <row r="408" spans="12:16" ht="15" customHeight="1">
      <c r="L408"/>
      <c r="M408"/>
      <c r="O408"/>
      <c r="P408"/>
    </row>
    <row r="409" spans="12:16" ht="15" customHeight="1">
      <c r="L409"/>
      <c r="M409"/>
      <c r="O409"/>
      <c r="P409"/>
    </row>
    <row r="410" spans="12:16" ht="15" customHeight="1">
      <c r="L410"/>
      <c r="M410"/>
      <c r="O410"/>
      <c r="P410"/>
    </row>
    <row r="411" spans="12:16" ht="15" customHeight="1">
      <c r="L411"/>
      <c r="M411"/>
      <c r="O411"/>
      <c r="P411"/>
    </row>
    <row r="412" spans="12:16" ht="15" customHeight="1">
      <c r="L412"/>
      <c r="M412"/>
      <c r="O412"/>
      <c r="P412"/>
    </row>
    <row r="413" spans="12:16" ht="15" customHeight="1">
      <c r="L413"/>
      <c r="M413"/>
      <c r="O413"/>
      <c r="P413"/>
    </row>
    <row r="414" spans="12:16" ht="15" customHeight="1">
      <c r="L414"/>
      <c r="M414"/>
      <c r="O414"/>
      <c r="P414"/>
    </row>
    <row r="415" spans="12:16" ht="15" customHeight="1">
      <c r="L415"/>
      <c r="M415"/>
      <c r="O415"/>
      <c r="P415"/>
    </row>
    <row r="416" spans="12:16" ht="15" customHeight="1">
      <c r="L416"/>
      <c r="M416"/>
      <c r="O416"/>
      <c r="P416"/>
    </row>
    <row r="417" spans="12:16" ht="15" customHeight="1">
      <c r="L417"/>
      <c r="M417"/>
      <c r="O417"/>
      <c r="P417"/>
    </row>
    <row r="418" spans="12:16" ht="15" customHeight="1">
      <c r="L418"/>
      <c r="M418"/>
      <c r="O418"/>
      <c r="P418"/>
    </row>
    <row r="419" spans="12:16" ht="15" customHeight="1">
      <c r="L419"/>
      <c r="M419"/>
      <c r="O419"/>
      <c r="P419"/>
    </row>
    <row r="420" spans="12:16" ht="15" customHeight="1">
      <c r="L420"/>
      <c r="M420"/>
      <c r="O420"/>
      <c r="P420"/>
    </row>
    <row r="421" spans="12:16" ht="15" customHeight="1">
      <c r="L421"/>
      <c r="M421"/>
      <c r="O421"/>
      <c r="P421"/>
    </row>
    <row r="422" spans="12:16" ht="15" customHeight="1">
      <c r="L422"/>
      <c r="M422"/>
      <c r="O422"/>
      <c r="P422"/>
    </row>
    <row r="423" spans="12:16" ht="15" customHeight="1">
      <c r="L423"/>
      <c r="M423"/>
      <c r="O423"/>
      <c r="P423"/>
    </row>
    <row r="424" spans="12:16" ht="15" customHeight="1">
      <c r="L424"/>
      <c r="M424"/>
      <c r="O424"/>
      <c r="P424"/>
    </row>
    <row r="425" spans="12:16" ht="15" customHeight="1">
      <c r="L425"/>
      <c r="M425"/>
      <c r="O425"/>
      <c r="P425"/>
    </row>
    <row r="426" spans="12:16" ht="15" customHeight="1">
      <c r="L426"/>
      <c r="M426"/>
      <c r="O426"/>
      <c r="P426"/>
    </row>
    <row r="427" spans="12:16" ht="15" customHeight="1">
      <c r="L427"/>
      <c r="M427"/>
      <c r="O427"/>
      <c r="P427"/>
    </row>
    <row r="428" spans="12:16" ht="15" customHeight="1">
      <c r="L428"/>
      <c r="M428"/>
      <c r="O428"/>
      <c r="P428"/>
    </row>
    <row r="429" spans="12:16" ht="15" customHeight="1">
      <c r="L429"/>
      <c r="M429"/>
      <c r="O429"/>
      <c r="P429"/>
    </row>
    <row r="430" spans="12:16" ht="15" customHeight="1">
      <c r="L430"/>
      <c r="M430"/>
      <c r="O430"/>
      <c r="P430"/>
    </row>
    <row r="431" spans="12:16" ht="15" customHeight="1">
      <c r="L431"/>
      <c r="M431"/>
      <c r="O431"/>
      <c r="P431"/>
    </row>
    <row r="432" spans="12:16" ht="15" customHeight="1">
      <c r="L432"/>
      <c r="M432"/>
      <c r="O432"/>
      <c r="P432"/>
    </row>
    <row r="433" spans="12:16" ht="15" customHeight="1">
      <c r="L433"/>
      <c r="M433"/>
      <c r="O433"/>
      <c r="P433"/>
    </row>
    <row r="434" spans="12:16" ht="15" customHeight="1">
      <c r="L434"/>
      <c r="M434"/>
      <c r="O434"/>
      <c r="P434"/>
    </row>
    <row r="435" spans="12:16" ht="15" customHeight="1">
      <c r="L435"/>
      <c r="M435"/>
      <c r="O435"/>
      <c r="P435"/>
    </row>
    <row r="436" spans="12:16" ht="15" customHeight="1">
      <c r="L436"/>
      <c r="M436"/>
      <c r="O436"/>
      <c r="P436"/>
    </row>
    <row r="437" spans="12:16" ht="15" customHeight="1">
      <c r="L437"/>
      <c r="M437"/>
      <c r="O437"/>
      <c r="P437"/>
    </row>
    <row r="438" spans="12:16" ht="15" customHeight="1">
      <c r="L438"/>
      <c r="M438"/>
      <c r="O438"/>
      <c r="P438"/>
    </row>
    <row r="439" spans="12:16" ht="15" customHeight="1">
      <c r="L439"/>
      <c r="M439"/>
      <c r="O439"/>
      <c r="P439"/>
    </row>
    <row r="440" spans="12:16" ht="15" customHeight="1">
      <c r="L440"/>
      <c r="M440"/>
      <c r="O440"/>
      <c r="P440"/>
    </row>
    <row r="441" spans="12:16" ht="15" customHeight="1">
      <c r="L441"/>
      <c r="M441"/>
      <c r="O441"/>
      <c r="P441"/>
    </row>
    <row r="442" spans="12:16" ht="15" customHeight="1">
      <c r="L442"/>
      <c r="M442"/>
      <c r="O442"/>
      <c r="P442"/>
    </row>
    <row r="443" spans="12:16" ht="15" customHeight="1">
      <c r="L443"/>
      <c r="M443"/>
      <c r="O443"/>
      <c r="P443"/>
    </row>
    <row r="444" spans="12:16" ht="15" customHeight="1">
      <c r="L444"/>
      <c r="M444"/>
      <c r="O444"/>
      <c r="P444"/>
    </row>
    <row r="445" spans="12:16" ht="15" customHeight="1">
      <c r="L445"/>
      <c r="M445"/>
      <c r="O445"/>
      <c r="P445"/>
    </row>
    <row r="446" spans="12:16" ht="15" customHeight="1">
      <c r="L446"/>
      <c r="M446"/>
      <c r="O446"/>
      <c r="P446"/>
    </row>
    <row r="447" spans="12:16" ht="15" customHeight="1">
      <c r="L447"/>
      <c r="M447"/>
      <c r="O447"/>
      <c r="P447"/>
    </row>
    <row r="448" spans="12:16" ht="15" customHeight="1">
      <c r="L448"/>
      <c r="M448"/>
      <c r="O448"/>
      <c r="P448"/>
    </row>
    <row r="449" spans="12:16" ht="15" customHeight="1">
      <c r="L449"/>
      <c r="M449"/>
      <c r="O449"/>
      <c r="P449"/>
    </row>
    <row r="450" spans="12:16" ht="15" customHeight="1">
      <c r="L450"/>
      <c r="M450"/>
      <c r="O450"/>
      <c r="P450"/>
    </row>
    <row r="451" spans="12:16" ht="15" customHeight="1">
      <c r="L451"/>
      <c r="M451"/>
      <c r="O451"/>
      <c r="P451"/>
    </row>
    <row r="452" spans="12:16" ht="15" customHeight="1">
      <c r="L452"/>
      <c r="M452"/>
      <c r="O452"/>
      <c r="P452"/>
    </row>
    <row r="453" spans="12:16" ht="15" customHeight="1">
      <c r="L453"/>
      <c r="M453"/>
      <c r="O453"/>
      <c r="P453"/>
    </row>
    <row r="454" spans="12:16" ht="15" customHeight="1">
      <c r="L454"/>
      <c r="M454"/>
      <c r="O454"/>
      <c r="P454"/>
    </row>
    <row r="455" spans="12:16" ht="15" customHeight="1">
      <c r="L455"/>
      <c r="M455"/>
      <c r="O455"/>
      <c r="P455"/>
    </row>
    <row r="456" spans="12:16" ht="15" customHeight="1">
      <c r="L456"/>
      <c r="M456"/>
      <c r="O456"/>
      <c r="P456"/>
    </row>
    <row r="457" spans="12:16" ht="15" customHeight="1">
      <c r="L457"/>
      <c r="M457"/>
      <c r="O457"/>
      <c r="P457"/>
    </row>
    <row r="458" spans="12:16" ht="15" customHeight="1">
      <c r="L458"/>
      <c r="M458"/>
      <c r="O458"/>
      <c r="P458"/>
    </row>
    <row r="459" spans="12:16" ht="15" customHeight="1">
      <c r="L459"/>
      <c r="M459"/>
      <c r="O459"/>
      <c r="P459"/>
    </row>
    <row r="460" spans="12:16" ht="15" customHeight="1">
      <c r="L460"/>
      <c r="M460"/>
      <c r="O460"/>
      <c r="P460"/>
    </row>
    <row r="461" spans="12:16" ht="15" customHeight="1">
      <c r="L461"/>
      <c r="M461"/>
      <c r="O461"/>
      <c r="P461"/>
    </row>
    <row r="462" spans="12:16" ht="15" customHeight="1">
      <c r="L462"/>
      <c r="M462"/>
      <c r="O462"/>
      <c r="P462"/>
    </row>
    <row r="463" spans="12:16" ht="15" customHeight="1">
      <c r="L463"/>
      <c r="M463"/>
      <c r="O463"/>
      <c r="P463"/>
    </row>
    <row r="464" spans="12:16" ht="15" customHeight="1">
      <c r="L464"/>
      <c r="M464"/>
      <c r="O464"/>
      <c r="P464"/>
    </row>
    <row r="465" spans="12:16" ht="15" customHeight="1">
      <c r="L465"/>
      <c r="M465"/>
      <c r="O465"/>
      <c r="P465"/>
    </row>
    <row r="466" spans="12:16" ht="15" customHeight="1">
      <c r="L466"/>
      <c r="M466"/>
      <c r="O466"/>
      <c r="P466"/>
    </row>
    <row r="467" spans="12:16" ht="15" customHeight="1">
      <c r="L467"/>
      <c r="M467"/>
      <c r="O467"/>
      <c r="P467"/>
    </row>
    <row r="468" spans="12:16" ht="15" customHeight="1">
      <c r="L468"/>
      <c r="M468"/>
      <c r="O468"/>
      <c r="P468"/>
    </row>
    <row r="469" spans="12:16" ht="15" customHeight="1">
      <c r="L469"/>
      <c r="M469"/>
      <c r="O469"/>
      <c r="P469"/>
    </row>
    <row r="470" spans="12:16" ht="15" customHeight="1">
      <c r="L470"/>
      <c r="M470"/>
      <c r="O470"/>
      <c r="P470"/>
    </row>
    <row r="471" spans="12:16" ht="15" customHeight="1">
      <c r="L471"/>
      <c r="M471"/>
      <c r="O471"/>
      <c r="P471"/>
    </row>
    <row r="472" spans="12:16" ht="15" customHeight="1">
      <c r="L472"/>
      <c r="M472"/>
      <c r="O472"/>
      <c r="P472"/>
    </row>
    <row r="473" spans="12:16" ht="15" customHeight="1">
      <c r="L473"/>
      <c r="M473"/>
      <c r="O473"/>
      <c r="P473"/>
    </row>
    <row r="474" spans="12:16" ht="15" customHeight="1">
      <c r="L474"/>
      <c r="M474"/>
      <c r="O474"/>
      <c r="P474"/>
    </row>
    <row r="475" spans="12:16" ht="15" customHeight="1">
      <c r="L475"/>
      <c r="M475"/>
      <c r="O475"/>
      <c r="P475"/>
    </row>
    <row r="476" spans="12:16" ht="15" customHeight="1">
      <c r="L476"/>
      <c r="M476"/>
      <c r="O476"/>
      <c r="P476"/>
    </row>
    <row r="477" spans="12:16" ht="15" customHeight="1">
      <c r="L477"/>
      <c r="M477"/>
      <c r="O477"/>
      <c r="P477"/>
    </row>
    <row r="478" spans="12:16" ht="15" customHeight="1">
      <c r="L478"/>
      <c r="M478"/>
      <c r="O478"/>
      <c r="P478"/>
    </row>
    <row r="479" spans="12:16" ht="15" customHeight="1">
      <c r="L479"/>
      <c r="M479"/>
      <c r="O479"/>
      <c r="P479"/>
    </row>
    <row r="480" spans="12:16" ht="15" customHeight="1">
      <c r="L480"/>
      <c r="M480"/>
      <c r="O480"/>
      <c r="P480"/>
    </row>
    <row r="481" spans="12:16" ht="15" customHeight="1">
      <c r="L481"/>
      <c r="M481"/>
      <c r="O481"/>
      <c r="P481"/>
    </row>
    <row r="482" spans="12:16" ht="15" customHeight="1">
      <c r="L482"/>
      <c r="M482"/>
      <c r="O482"/>
      <c r="P482"/>
    </row>
    <row r="483" spans="12:16" ht="15" customHeight="1">
      <c r="L483"/>
      <c r="M483"/>
      <c r="O483"/>
      <c r="P483"/>
    </row>
    <row r="484" spans="12:16" ht="15" customHeight="1">
      <c r="L484"/>
      <c r="M484"/>
      <c r="O484"/>
      <c r="P484"/>
    </row>
    <row r="485" spans="12:16" ht="15" customHeight="1">
      <c r="L485"/>
      <c r="M485"/>
      <c r="O485"/>
      <c r="P485"/>
    </row>
    <row r="486" spans="12:16" ht="15" customHeight="1">
      <c r="L486"/>
      <c r="M486"/>
      <c r="O486"/>
      <c r="P486"/>
    </row>
    <row r="487" spans="12:16" ht="15" customHeight="1">
      <c r="L487"/>
      <c r="M487"/>
      <c r="O487"/>
      <c r="P487"/>
    </row>
    <row r="488" spans="12:16" ht="15" customHeight="1">
      <c r="L488"/>
      <c r="M488"/>
      <c r="O488"/>
      <c r="P488"/>
    </row>
    <row r="489" spans="12:16" ht="15" customHeight="1">
      <c r="L489"/>
      <c r="M489"/>
      <c r="O489"/>
      <c r="P489"/>
    </row>
    <row r="490" spans="12:16" ht="15" customHeight="1">
      <c r="L490"/>
      <c r="M490"/>
      <c r="O490"/>
      <c r="P490"/>
    </row>
    <row r="491" spans="12:16" ht="15" customHeight="1">
      <c r="L491"/>
      <c r="M491"/>
      <c r="O491"/>
      <c r="P491"/>
    </row>
    <row r="492" spans="12:16" ht="15" customHeight="1">
      <c r="L492"/>
      <c r="M492"/>
      <c r="O492"/>
      <c r="P492"/>
    </row>
    <row r="493" spans="12:16" ht="15" customHeight="1">
      <c r="L493"/>
      <c r="M493"/>
      <c r="O493"/>
      <c r="P493"/>
    </row>
    <row r="494" spans="12:16" ht="15" customHeight="1">
      <c r="L494"/>
      <c r="M494"/>
      <c r="O494"/>
      <c r="P494"/>
    </row>
    <row r="495" spans="12:16" ht="15" customHeight="1">
      <c r="L495"/>
      <c r="M495"/>
      <c r="O495"/>
      <c r="P495"/>
    </row>
    <row r="496" spans="12:16" ht="15" customHeight="1">
      <c r="L496"/>
      <c r="M496"/>
      <c r="O496"/>
      <c r="P496"/>
    </row>
    <row r="497" spans="12:16" ht="15" customHeight="1">
      <c r="L497"/>
      <c r="M497"/>
      <c r="O497"/>
      <c r="P497"/>
    </row>
    <row r="498" spans="12:16" ht="15" customHeight="1">
      <c r="L498"/>
      <c r="M498"/>
      <c r="O498"/>
      <c r="P498"/>
    </row>
    <row r="499" spans="12:16" ht="15" customHeight="1">
      <c r="L499"/>
      <c r="M499"/>
      <c r="O499"/>
      <c r="P499"/>
    </row>
    <row r="500" spans="12:16" ht="15" customHeight="1">
      <c r="L500"/>
      <c r="M500"/>
      <c r="O500"/>
      <c r="P500"/>
    </row>
    <row r="501" spans="12:16" ht="15" customHeight="1">
      <c r="L501"/>
      <c r="M501"/>
      <c r="O501"/>
      <c r="P501"/>
    </row>
    <row r="502" spans="12:16" ht="15" customHeight="1">
      <c r="L502"/>
      <c r="M502"/>
      <c r="O502"/>
      <c r="P502"/>
    </row>
    <row r="503" spans="12:16" ht="15" customHeight="1">
      <c r="L503"/>
      <c r="M503"/>
      <c r="O503"/>
      <c r="P503"/>
    </row>
    <row r="504" spans="12:16" ht="15" customHeight="1">
      <c r="L504"/>
      <c r="M504"/>
      <c r="O504"/>
      <c r="P504"/>
    </row>
    <row r="505" spans="12:16" ht="15" customHeight="1">
      <c r="L505"/>
      <c r="M505"/>
      <c r="O505"/>
      <c r="P505"/>
    </row>
    <row r="506" spans="12:16" ht="15" customHeight="1">
      <c r="L506"/>
      <c r="M506"/>
      <c r="O506"/>
      <c r="P506"/>
    </row>
    <row r="507" spans="12:16" ht="15" customHeight="1">
      <c r="L507"/>
      <c r="M507"/>
      <c r="O507"/>
      <c r="P507"/>
    </row>
    <row r="508" spans="12:16" ht="15" customHeight="1">
      <c r="L508"/>
      <c r="M508"/>
      <c r="O508"/>
      <c r="P508"/>
    </row>
    <row r="509" spans="12:16" ht="15" customHeight="1">
      <c r="L509"/>
      <c r="M509"/>
      <c r="O509"/>
      <c r="P509"/>
    </row>
    <row r="510" spans="12:16" ht="15" customHeight="1">
      <c r="L510"/>
      <c r="M510"/>
      <c r="O510"/>
      <c r="P510"/>
    </row>
    <row r="511" spans="12:16" ht="15" customHeight="1">
      <c r="L511"/>
      <c r="M511"/>
      <c r="O511"/>
      <c r="P511"/>
    </row>
    <row r="512" spans="12:16" ht="15" customHeight="1">
      <c r="L512"/>
      <c r="M512"/>
      <c r="O512"/>
      <c r="P512"/>
    </row>
    <row r="513" spans="12:16" ht="15" customHeight="1">
      <c r="L513"/>
      <c r="M513"/>
      <c r="O513"/>
      <c r="P513"/>
    </row>
    <row r="514" spans="12:16" ht="15" customHeight="1">
      <c r="L514"/>
      <c r="M514"/>
      <c r="O514"/>
      <c r="P514"/>
    </row>
    <row r="515" spans="12:16" ht="15" customHeight="1">
      <c r="L515"/>
      <c r="M515"/>
      <c r="O515"/>
      <c r="P515"/>
    </row>
    <row r="516" spans="12:16" ht="15" customHeight="1">
      <c r="L516"/>
      <c r="M516"/>
      <c r="O516"/>
      <c r="P516"/>
    </row>
    <row r="517" spans="12:16" ht="15" customHeight="1">
      <c r="L517"/>
      <c r="M517"/>
      <c r="O517"/>
      <c r="P517"/>
    </row>
    <row r="518" spans="12:16" ht="15" customHeight="1">
      <c r="L518"/>
      <c r="M518"/>
      <c r="O518"/>
      <c r="P518"/>
    </row>
    <row r="519" spans="12:16" ht="15" customHeight="1">
      <c r="L519"/>
      <c r="M519"/>
      <c r="O519"/>
      <c r="P519"/>
    </row>
    <row r="520" spans="12:16" ht="15" customHeight="1">
      <c r="L520"/>
      <c r="M520"/>
      <c r="O520"/>
      <c r="P520"/>
    </row>
    <row r="521" spans="12:16" ht="15" customHeight="1">
      <c r="L521"/>
      <c r="M521"/>
      <c r="O521"/>
      <c r="P521"/>
    </row>
    <row r="522" spans="12:16" ht="15" customHeight="1">
      <c r="L522"/>
      <c r="M522"/>
      <c r="O522"/>
      <c r="P522"/>
    </row>
    <row r="523" spans="12:16" ht="15" customHeight="1">
      <c r="L523"/>
      <c r="M523"/>
      <c r="O523"/>
      <c r="P523"/>
    </row>
    <row r="524" spans="12:16" ht="15" customHeight="1">
      <c r="L524"/>
      <c r="M524"/>
      <c r="O524"/>
      <c r="P524"/>
    </row>
    <row r="525" spans="12:16" ht="15" customHeight="1">
      <c r="L525"/>
      <c r="M525"/>
      <c r="O525"/>
      <c r="P525"/>
    </row>
    <row r="526" spans="12:16" ht="15" customHeight="1">
      <c r="L526"/>
      <c r="M526"/>
      <c r="O526"/>
      <c r="P526"/>
    </row>
    <row r="527" spans="12:16" ht="15" customHeight="1">
      <c r="L527"/>
      <c r="M527"/>
      <c r="O527"/>
      <c r="P527"/>
    </row>
    <row r="528" spans="12:16" ht="15" customHeight="1">
      <c r="L528"/>
      <c r="M528"/>
      <c r="O528"/>
      <c r="P528"/>
    </row>
    <row r="529" spans="12:16" ht="15" customHeight="1">
      <c r="L529"/>
      <c r="M529"/>
      <c r="O529"/>
      <c r="P529"/>
    </row>
    <row r="530" spans="12:16" ht="15" customHeight="1">
      <c r="L530"/>
      <c r="M530"/>
      <c r="O530"/>
      <c r="P530"/>
    </row>
    <row r="531" spans="12:16" ht="15" customHeight="1">
      <c r="L531"/>
      <c r="M531"/>
      <c r="O531"/>
      <c r="P531"/>
    </row>
    <row r="532" spans="12:16" ht="15" customHeight="1">
      <c r="L532"/>
      <c r="M532"/>
      <c r="O532"/>
      <c r="P532"/>
    </row>
    <row r="533" spans="12:16" ht="15" customHeight="1">
      <c r="L533"/>
      <c r="M533"/>
      <c r="O533"/>
      <c r="P533"/>
    </row>
    <row r="534" spans="12:16" ht="15" customHeight="1">
      <c r="L534"/>
      <c r="M534"/>
      <c r="O534"/>
      <c r="P534"/>
    </row>
    <row r="535" spans="12:16" ht="15" customHeight="1">
      <c r="L535"/>
      <c r="M535"/>
      <c r="O535"/>
      <c r="P535"/>
    </row>
    <row r="536" spans="12:16" ht="15" customHeight="1">
      <c r="L536"/>
      <c r="M536"/>
      <c r="O536"/>
      <c r="P536"/>
    </row>
    <row r="537" spans="12:16" ht="15" customHeight="1">
      <c r="L537"/>
      <c r="M537"/>
      <c r="O537"/>
      <c r="P537"/>
    </row>
    <row r="538" spans="12:16" ht="15" customHeight="1">
      <c r="L538"/>
      <c r="M538"/>
      <c r="O538"/>
      <c r="P538"/>
    </row>
    <row r="539" spans="12:16" ht="15" customHeight="1">
      <c r="L539"/>
      <c r="M539"/>
      <c r="O539"/>
      <c r="P539"/>
    </row>
    <row r="540" spans="12:16" ht="15" customHeight="1">
      <c r="L540"/>
      <c r="M540"/>
      <c r="O540"/>
      <c r="P540"/>
    </row>
    <row r="541" spans="12:16" ht="15" customHeight="1">
      <c r="L541"/>
      <c r="M541"/>
      <c r="O541"/>
      <c r="P541"/>
    </row>
    <row r="542" spans="12:16" ht="15" customHeight="1">
      <c r="L542"/>
      <c r="M542"/>
      <c r="O542"/>
      <c r="P542"/>
    </row>
    <row r="543" spans="12:16" ht="15" customHeight="1">
      <c r="L543"/>
      <c r="M543"/>
      <c r="O543"/>
      <c r="P543"/>
    </row>
    <row r="544" spans="12:16" ht="15" customHeight="1">
      <c r="L544"/>
      <c r="M544"/>
      <c r="O544"/>
      <c r="P544"/>
    </row>
    <row r="545" spans="12:16" ht="15" customHeight="1">
      <c r="L545"/>
      <c r="M545"/>
      <c r="O545"/>
      <c r="P545"/>
    </row>
    <row r="546" spans="12:16" ht="15" customHeight="1">
      <c r="L546"/>
      <c r="M546"/>
      <c r="O546"/>
      <c r="P546"/>
    </row>
    <row r="547" spans="12:16" ht="15" customHeight="1">
      <c r="L547"/>
      <c r="M547"/>
      <c r="O547"/>
      <c r="P547"/>
    </row>
    <row r="548" spans="12:16" ht="15" customHeight="1">
      <c r="L548"/>
      <c r="M548"/>
      <c r="O548"/>
      <c r="P548"/>
    </row>
    <row r="549" spans="12:16" ht="15" customHeight="1">
      <c r="L549"/>
      <c r="M549"/>
      <c r="O549"/>
      <c r="P549"/>
    </row>
    <row r="550" spans="12:16" ht="15" customHeight="1">
      <c r="L550"/>
      <c r="M550"/>
      <c r="O550"/>
      <c r="P550"/>
    </row>
    <row r="551" spans="12:16" ht="15" customHeight="1">
      <c r="L551"/>
      <c r="M551"/>
      <c r="O551"/>
      <c r="P551"/>
    </row>
    <row r="552" spans="12:16" ht="15" customHeight="1">
      <c r="L552"/>
      <c r="M552"/>
      <c r="O552"/>
      <c r="P552"/>
    </row>
    <row r="553" spans="12:16" ht="15" customHeight="1">
      <c r="L553"/>
      <c r="M553"/>
      <c r="O553"/>
      <c r="P553"/>
    </row>
    <row r="554" spans="12:16" ht="15" customHeight="1">
      <c r="L554"/>
      <c r="M554"/>
      <c r="O554"/>
      <c r="P554"/>
    </row>
    <row r="555" spans="12:16" ht="15" customHeight="1">
      <c r="L555"/>
      <c r="M555"/>
      <c r="O555"/>
      <c r="P555"/>
    </row>
    <row r="556" spans="12:16" ht="15" customHeight="1">
      <c r="L556"/>
      <c r="M556"/>
      <c r="O556"/>
      <c r="P556"/>
    </row>
    <row r="557" spans="12:16" ht="15" customHeight="1">
      <c r="L557"/>
      <c r="M557"/>
      <c r="O557"/>
      <c r="P557"/>
    </row>
    <row r="558" spans="12:16" ht="15" customHeight="1">
      <c r="L558"/>
      <c r="M558"/>
      <c r="O558"/>
      <c r="P558"/>
    </row>
    <row r="559" spans="12:16" ht="15" customHeight="1">
      <c r="L559"/>
      <c r="M559"/>
      <c r="O559"/>
      <c r="P559"/>
    </row>
    <row r="560" spans="12:16" ht="15" customHeight="1">
      <c r="L560"/>
      <c r="M560"/>
      <c r="O560"/>
      <c r="P560"/>
    </row>
    <row r="561" spans="12:16" ht="15" customHeight="1">
      <c r="L561"/>
      <c r="M561"/>
      <c r="O561"/>
      <c r="P561"/>
    </row>
    <row r="562" spans="12:16" ht="15" customHeight="1">
      <c r="L562"/>
      <c r="M562"/>
      <c r="O562"/>
      <c r="P562"/>
    </row>
    <row r="563" spans="12:16" ht="15" customHeight="1">
      <c r="L563"/>
      <c r="M563"/>
      <c r="O563"/>
      <c r="P563"/>
    </row>
    <row r="564" spans="12:16" ht="15" customHeight="1">
      <c r="L564"/>
      <c r="M564"/>
      <c r="O564"/>
      <c r="P564"/>
    </row>
    <row r="565" spans="12:16" ht="15" customHeight="1">
      <c r="L565"/>
      <c r="M565"/>
      <c r="O565"/>
      <c r="P565"/>
    </row>
    <row r="566" spans="12:16" ht="15" customHeight="1">
      <c r="L566"/>
      <c r="M566"/>
      <c r="O566"/>
      <c r="P566"/>
    </row>
    <row r="567" spans="12:16" ht="15" customHeight="1">
      <c r="L567"/>
      <c r="M567"/>
      <c r="O567"/>
      <c r="P567"/>
    </row>
    <row r="568" spans="12:16" ht="15" customHeight="1">
      <c r="L568"/>
      <c r="M568"/>
      <c r="O568"/>
      <c r="P568"/>
    </row>
    <row r="569" spans="12:16" ht="15" customHeight="1">
      <c r="L569"/>
      <c r="M569"/>
      <c r="O569"/>
      <c r="P569"/>
    </row>
    <row r="570" spans="12:16" ht="15" customHeight="1">
      <c r="L570"/>
      <c r="M570"/>
      <c r="O570"/>
      <c r="P570"/>
    </row>
    <row r="571" spans="12:16" ht="15" customHeight="1">
      <c r="L571"/>
      <c r="M571"/>
      <c r="O571"/>
      <c r="P571"/>
    </row>
    <row r="572" spans="12:16" ht="15" customHeight="1">
      <c r="L572"/>
      <c r="M572"/>
      <c r="O572"/>
      <c r="P572"/>
    </row>
    <row r="573" spans="12:16" ht="15" customHeight="1">
      <c r="L573"/>
      <c r="M573"/>
      <c r="O573"/>
      <c r="P573"/>
    </row>
    <row r="574" spans="12:16" ht="15" customHeight="1">
      <c r="L574"/>
      <c r="M574"/>
      <c r="O574"/>
      <c r="P574"/>
    </row>
    <row r="575" spans="12:16" ht="15" customHeight="1">
      <c r="L575"/>
      <c r="M575"/>
      <c r="O575"/>
      <c r="P575"/>
    </row>
    <row r="576" spans="12:16" ht="15" customHeight="1">
      <c r="L576"/>
      <c r="M576"/>
      <c r="O576"/>
      <c r="P576"/>
    </row>
    <row r="577" spans="12:16" ht="15" customHeight="1">
      <c r="L577"/>
      <c r="M577"/>
      <c r="O577"/>
      <c r="P577"/>
    </row>
    <row r="578" spans="12:16" ht="15" customHeight="1">
      <c r="L578"/>
      <c r="M578"/>
      <c r="O578"/>
      <c r="P578"/>
    </row>
    <row r="579" spans="12:16" ht="15" customHeight="1">
      <c r="L579"/>
      <c r="M579"/>
      <c r="O579"/>
      <c r="P579"/>
    </row>
    <row r="580" spans="12:16" ht="15" customHeight="1">
      <c r="L580"/>
      <c r="M580"/>
      <c r="O580"/>
      <c r="P580"/>
    </row>
    <row r="581" spans="12:16" ht="15" customHeight="1">
      <c r="L581"/>
      <c r="M581"/>
      <c r="O581"/>
      <c r="P581"/>
    </row>
    <row r="582" spans="12:16" ht="15" customHeight="1">
      <c r="L582"/>
      <c r="M582"/>
      <c r="O582"/>
      <c r="P582"/>
    </row>
    <row r="583" spans="12:16" ht="15" customHeight="1">
      <c r="L583"/>
      <c r="M583"/>
      <c r="O583"/>
      <c r="P583"/>
    </row>
    <row r="584" spans="12:16" ht="15" customHeight="1">
      <c r="L584"/>
      <c r="M584"/>
      <c r="O584"/>
      <c r="P584"/>
    </row>
    <row r="585" spans="12:16" ht="15" customHeight="1">
      <c r="L585"/>
      <c r="M585"/>
      <c r="O585"/>
      <c r="P585"/>
    </row>
    <row r="586" spans="12:16" ht="15" customHeight="1">
      <c r="L586"/>
      <c r="M586"/>
      <c r="O586"/>
      <c r="P586"/>
    </row>
    <row r="587" spans="12:16" ht="15" customHeight="1">
      <c r="L587"/>
      <c r="M587"/>
      <c r="O587"/>
      <c r="P587"/>
    </row>
    <row r="588" spans="12:16" ht="15" customHeight="1">
      <c r="L588"/>
      <c r="M588"/>
      <c r="O588"/>
      <c r="P588"/>
    </row>
    <row r="589" spans="12:16" ht="15" customHeight="1">
      <c r="L589"/>
      <c r="M589"/>
      <c r="O589"/>
      <c r="P589"/>
    </row>
    <row r="590" spans="12:16" ht="15" customHeight="1">
      <c r="L590"/>
      <c r="M590"/>
      <c r="O590"/>
      <c r="P590"/>
    </row>
    <row r="591" spans="12:16" ht="15" customHeight="1">
      <c r="L591"/>
      <c r="M591"/>
      <c r="O591"/>
      <c r="P591"/>
    </row>
    <row r="592" spans="12:16" ht="15" customHeight="1">
      <c r="L592"/>
      <c r="M592"/>
      <c r="O592"/>
      <c r="P592"/>
    </row>
    <row r="593" spans="12:16" ht="15" customHeight="1">
      <c r="L593"/>
      <c r="M593"/>
      <c r="O593"/>
      <c r="P593"/>
    </row>
    <row r="594" spans="12:16" ht="15" customHeight="1">
      <c r="L594"/>
      <c r="M594"/>
      <c r="O594"/>
      <c r="P594"/>
    </row>
    <row r="595" spans="12:16" ht="15" customHeight="1">
      <c r="L595"/>
      <c r="M595"/>
      <c r="O595"/>
      <c r="P595"/>
    </row>
    <row r="596" spans="12:16" ht="15" customHeight="1">
      <c r="L596"/>
      <c r="M596"/>
      <c r="O596"/>
      <c r="P596"/>
    </row>
    <row r="597" spans="12:16" ht="15" customHeight="1">
      <c r="L597"/>
      <c r="M597"/>
      <c r="O597"/>
      <c r="P597"/>
    </row>
    <row r="598" spans="12:16" ht="15" customHeight="1">
      <c r="L598"/>
      <c r="M598"/>
      <c r="O598"/>
      <c r="P598"/>
    </row>
    <row r="599" spans="12:16" ht="15" customHeight="1">
      <c r="L599"/>
      <c r="M599"/>
      <c r="O599"/>
      <c r="P599"/>
    </row>
    <row r="600" spans="12:16" ht="15" customHeight="1">
      <c r="L600"/>
      <c r="M600"/>
      <c r="O600"/>
      <c r="P600"/>
    </row>
    <row r="601" spans="12:16" ht="15" customHeight="1">
      <c r="L601"/>
      <c r="M601"/>
      <c r="O601"/>
      <c r="P601"/>
    </row>
    <row r="602" spans="12:16" ht="15" customHeight="1">
      <c r="L602"/>
      <c r="M602"/>
      <c r="O602"/>
      <c r="P602"/>
    </row>
    <row r="603" spans="12:16" ht="15" customHeight="1">
      <c r="L603"/>
      <c r="M603"/>
      <c r="O603"/>
      <c r="P603"/>
    </row>
    <row r="604" spans="12:16" ht="15" customHeight="1">
      <c r="L604"/>
      <c r="M604"/>
      <c r="O604"/>
      <c r="P604"/>
    </row>
    <row r="605" spans="12:16" ht="15" customHeight="1">
      <c r="L605"/>
      <c r="M605"/>
      <c r="O605"/>
      <c r="P605"/>
    </row>
    <row r="606" spans="12:16" ht="15" customHeight="1">
      <c r="L606"/>
      <c r="M606"/>
      <c r="O606"/>
      <c r="P606"/>
    </row>
    <row r="607" spans="12:16" ht="15" customHeight="1">
      <c r="L607"/>
      <c r="M607"/>
      <c r="O607"/>
      <c r="P607"/>
    </row>
    <row r="608" spans="12:16" ht="15" customHeight="1">
      <c r="L608"/>
      <c r="M608"/>
      <c r="O608"/>
      <c r="P608"/>
    </row>
    <row r="609" spans="12:16" ht="15" customHeight="1">
      <c r="L609"/>
      <c r="M609"/>
      <c r="O609"/>
      <c r="P609"/>
    </row>
    <row r="610" spans="12:16" ht="15" customHeight="1">
      <c r="L610"/>
      <c r="M610"/>
      <c r="O610"/>
      <c r="P610"/>
    </row>
    <row r="611" spans="12:16" ht="15" customHeight="1">
      <c r="L611"/>
      <c r="M611"/>
      <c r="O611"/>
      <c r="P611"/>
    </row>
    <row r="612" spans="12:16" ht="15" customHeight="1">
      <c r="L612"/>
      <c r="M612"/>
      <c r="O612"/>
      <c r="P612"/>
    </row>
    <row r="613" spans="12:16" ht="15" customHeight="1">
      <c r="L613"/>
      <c r="M613"/>
      <c r="O613"/>
      <c r="P613"/>
    </row>
    <row r="614" spans="12:16" ht="15" customHeight="1">
      <c r="L614"/>
      <c r="M614"/>
      <c r="O614"/>
      <c r="P614"/>
    </row>
    <row r="615" spans="12:16" ht="15" customHeight="1">
      <c r="L615"/>
      <c r="M615"/>
      <c r="O615"/>
      <c r="P615"/>
    </row>
    <row r="616" spans="12:16" ht="15" customHeight="1">
      <c r="L616"/>
      <c r="M616"/>
      <c r="O616"/>
      <c r="P616"/>
    </row>
    <row r="617" spans="12:16" ht="15" customHeight="1">
      <c r="L617"/>
      <c r="M617"/>
      <c r="O617"/>
      <c r="P617"/>
    </row>
    <row r="618" spans="12:16" ht="15" customHeight="1">
      <c r="L618"/>
      <c r="M618"/>
      <c r="O618"/>
      <c r="P618"/>
    </row>
    <row r="619" spans="12:16" ht="15" customHeight="1">
      <c r="L619"/>
      <c r="M619"/>
      <c r="O619"/>
      <c r="P619"/>
    </row>
    <row r="620" spans="12:16" ht="15" customHeight="1">
      <c r="L620"/>
      <c r="M620"/>
      <c r="O620"/>
      <c r="P620"/>
    </row>
    <row r="621" spans="12:16" ht="15" customHeight="1">
      <c r="L621"/>
      <c r="M621"/>
      <c r="O621"/>
      <c r="P621"/>
    </row>
    <row r="622" spans="12:16" ht="15" customHeight="1">
      <c r="L622"/>
      <c r="M622"/>
      <c r="O622"/>
      <c r="P622"/>
    </row>
    <row r="623" spans="12:16" ht="15" customHeight="1">
      <c r="L623"/>
      <c r="M623"/>
      <c r="O623"/>
      <c r="P623"/>
    </row>
    <row r="624" spans="12:16" ht="15" customHeight="1">
      <c r="L624"/>
      <c r="M624"/>
      <c r="O624"/>
      <c r="P624"/>
    </row>
    <row r="625" spans="12:16" ht="15" customHeight="1">
      <c r="L625"/>
      <c r="M625"/>
      <c r="O625"/>
      <c r="P625"/>
    </row>
    <row r="626" spans="12:16" ht="15" customHeight="1">
      <c r="L626"/>
      <c r="M626"/>
      <c r="O626"/>
      <c r="P626"/>
    </row>
    <row r="627" spans="12:16" ht="15" customHeight="1">
      <c r="L627"/>
      <c r="M627"/>
      <c r="O627"/>
      <c r="P627"/>
    </row>
    <row r="628" spans="12:16" ht="15" customHeight="1">
      <c r="L628"/>
      <c r="M628"/>
      <c r="O628"/>
      <c r="P628"/>
    </row>
    <row r="629" spans="12:16" ht="15" customHeight="1">
      <c r="L629"/>
      <c r="M629"/>
      <c r="O629"/>
      <c r="P629"/>
    </row>
    <row r="630" spans="12:16" ht="15" customHeight="1">
      <c r="L630"/>
      <c r="M630"/>
      <c r="O630"/>
      <c r="P630"/>
    </row>
    <row r="631" spans="12:16" ht="15" customHeight="1">
      <c r="L631"/>
      <c r="M631"/>
      <c r="O631"/>
      <c r="P631"/>
    </row>
    <row r="632" spans="12:16" ht="15" customHeight="1">
      <c r="L632"/>
      <c r="M632"/>
      <c r="O632"/>
      <c r="P632"/>
    </row>
    <row r="633" spans="12:16" ht="15" customHeight="1">
      <c r="L633"/>
      <c r="M633"/>
      <c r="O633"/>
      <c r="P633"/>
    </row>
    <row r="634" spans="12:16" ht="15" customHeight="1">
      <c r="L634"/>
      <c r="M634"/>
      <c r="O634"/>
      <c r="P634"/>
    </row>
    <row r="635" spans="12:16" ht="15" customHeight="1">
      <c r="L635"/>
      <c r="M635"/>
      <c r="O635"/>
      <c r="P635"/>
    </row>
    <row r="636" spans="12:16" ht="15" customHeight="1">
      <c r="L636"/>
      <c r="M636"/>
      <c r="O636"/>
      <c r="P636"/>
    </row>
    <row r="637" spans="12:16" ht="15" customHeight="1">
      <c r="L637"/>
      <c r="M637"/>
      <c r="O637"/>
      <c r="P637"/>
    </row>
    <row r="638" spans="12:16" ht="15" customHeight="1">
      <c r="L638"/>
      <c r="M638"/>
      <c r="O638"/>
      <c r="P638"/>
    </row>
    <row r="639" spans="12:16" ht="15" customHeight="1">
      <c r="L639"/>
      <c r="M639"/>
      <c r="O639"/>
      <c r="P639"/>
    </row>
    <row r="640" spans="12:16" ht="15" customHeight="1">
      <c r="L640"/>
      <c r="M640"/>
      <c r="O640"/>
      <c r="P640"/>
    </row>
    <row r="641" spans="12:16" ht="15" customHeight="1">
      <c r="L641"/>
      <c r="M641"/>
      <c r="O641"/>
      <c r="P641"/>
    </row>
    <row r="642" spans="12:16" ht="15" customHeight="1">
      <c r="L642"/>
      <c r="M642"/>
      <c r="O642"/>
      <c r="P642"/>
    </row>
    <row r="643" spans="12:16" ht="15" customHeight="1">
      <c r="L643"/>
      <c r="M643"/>
      <c r="O643"/>
      <c r="P643"/>
    </row>
    <row r="644" spans="12:16" ht="15" customHeight="1">
      <c r="L644"/>
      <c r="M644"/>
      <c r="O644"/>
      <c r="P644"/>
    </row>
    <row r="645" spans="12:16" ht="15" customHeight="1">
      <c r="L645"/>
      <c r="M645"/>
      <c r="O645"/>
      <c r="P645"/>
    </row>
    <row r="646" spans="12:16" ht="15" customHeight="1">
      <c r="L646"/>
      <c r="M646"/>
      <c r="O646"/>
      <c r="P646"/>
    </row>
    <row r="647" spans="12:16" ht="15" customHeight="1">
      <c r="L647"/>
      <c r="M647"/>
      <c r="O647"/>
      <c r="P647"/>
    </row>
    <row r="648" spans="12:16" ht="15" customHeight="1">
      <c r="L648"/>
      <c r="M648"/>
      <c r="O648"/>
      <c r="P648"/>
    </row>
    <row r="649" spans="12:16" ht="15" customHeight="1">
      <c r="L649"/>
      <c r="M649"/>
      <c r="O649"/>
      <c r="P649"/>
    </row>
    <row r="650" spans="12:16" ht="15" customHeight="1">
      <c r="L650"/>
      <c r="M650"/>
      <c r="O650"/>
      <c r="P650"/>
    </row>
    <row r="651" spans="12:16" ht="15" customHeight="1">
      <c r="L651"/>
      <c r="M651"/>
      <c r="O651"/>
      <c r="P651"/>
    </row>
    <row r="652" spans="12:16" ht="15" customHeight="1">
      <c r="L652"/>
      <c r="M652"/>
      <c r="O652"/>
      <c r="P652"/>
    </row>
    <row r="653" spans="12:16" ht="15" customHeight="1">
      <c r="L653"/>
      <c r="M653"/>
      <c r="O653"/>
      <c r="P653"/>
    </row>
    <row r="654" spans="12:16" ht="15" customHeight="1">
      <c r="L654"/>
      <c r="M654"/>
      <c r="O654"/>
      <c r="P654"/>
    </row>
    <row r="655" spans="12:16" ht="15" customHeight="1">
      <c r="L655"/>
      <c r="M655"/>
      <c r="O655"/>
      <c r="P655"/>
    </row>
    <row r="656" spans="12:16" ht="15" customHeight="1">
      <c r="L656"/>
      <c r="M656"/>
      <c r="O656"/>
      <c r="P656"/>
    </row>
    <row r="657" spans="12:16" ht="15" customHeight="1">
      <c r="L657"/>
      <c r="M657"/>
      <c r="O657"/>
      <c r="P657"/>
    </row>
    <row r="658" spans="12:16" ht="15" customHeight="1">
      <c r="L658"/>
      <c r="M658"/>
      <c r="O658"/>
      <c r="P658"/>
    </row>
    <row r="659" spans="12:16" ht="15" customHeight="1">
      <c r="L659"/>
      <c r="M659"/>
      <c r="O659"/>
      <c r="P659"/>
    </row>
    <row r="660" spans="12:16" ht="15" customHeight="1">
      <c r="L660"/>
      <c r="M660"/>
      <c r="O660"/>
      <c r="P660"/>
    </row>
    <row r="661" spans="12:16" ht="15" customHeight="1">
      <c r="L661"/>
      <c r="M661"/>
      <c r="O661"/>
      <c r="P661"/>
    </row>
    <row r="662" spans="12:16" ht="15" customHeight="1">
      <c r="L662"/>
      <c r="M662"/>
      <c r="O662"/>
      <c r="P662"/>
    </row>
    <row r="663" spans="12:16" ht="15" customHeight="1">
      <c r="L663"/>
      <c r="M663"/>
      <c r="O663"/>
      <c r="P663"/>
    </row>
    <row r="664" spans="12:16" ht="15" customHeight="1">
      <c r="L664"/>
      <c r="M664"/>
      <c r="O664"/>
      <c r="P664"/>
    </row>
    <row r="665" spans="12:16" ht="15" customHeight="1">
      <c r="L665"/>
      <c r="M665"/>
      <c r="O665"/>
      <c r="P665"/>
    </row>
    <row r="666" spans="12:16" ht="15" customHeight="1">
      <c r="L666"/>
      <c r="M666"/>
      <c r="O666"/>
      <c r="P666"/>
    </row>
    <row r="667" spans="12:16" ht="15" customHeight="1">
      <c r="L667"/>
      <c r="M667"/>
      <c r="O667"/>
      <c r="P667"/>
    </row>
    <row r="668" spans="12:16" ht="15" customHeight="1">
      <c r="L668"/>
      <c r="M668"/>
      <c r="O668"/>
      <c r="P668"/>
    </row>
    <row r="669" spans="12:16" ht="15" customHeight="1">
      <c r="L669"/>
      <c r="M669"/>
      <c r="O669"/>
      <c r="P669"/>
    </row>
    <row r="670" spans="12:16" ht="15" customHeight="1">
      <c r="L670"/>
      <c r="M670"/>
      <c r="O670"/>
      <c r="P670"/>
    </row>
    <row r="671" spans="12:16" ht="15" customHeight="1">
      <c r="L671"/>
      <c r="M671"/>
      <c r="O671"/>
      <c r="P671"/>
    </row>
    <row r="672" spans="12:16" ht="15" customHeight="1">
      <c r="L672"/>
      <c r="M672"/>
      <c r="O672"/>
      <c r="P672"/>
    </row>
    <row r="673" spans="12:16" ht="15" customHeight="1">
      <c r="L673"/>
      <c r="M673"/>
      <c r="O673"/>
      <c r="P673"/>
    </row>
    <row r="674" spans="12:16" ht="15" customHeight="1">
      <c r="L674"/>
      <c r="M674"/>
      <c r="O674"/>
      <c r="P674"/>
    </row>
    <row r="675" spans="12:16" ht="15" customHeight="1">
      <c r="L675"/>
      <c r="M675"/>
      <c r="O675"/>
      <c r="P675"/>
    </row>
    <row r="676" spans="12:16" ht="15" customHeight="1">
      <c r="L676"/>
      <c r="M676"/>
      <c r="O676"/>
      <c r="P676"/>
    </row>
    <row r="677" spans="12:16" ht="15" customHeight="1">
      <c r="L677"/>
      <c r="M677"/>
      <c r="O677"/>
      <c r="P677"/>
    </row>
    <row r="678" spans="12:16" ht="15" customHeight="1">
      <c r="L678"/>
      <c r="M678"/>
      <c r="O678"/>
      <c r="P678"/>
    </row>
    <row r="679" spans="12:16" ht="15" customHeight="1">
      <c r="L679"/>
      <c r="M679"/>
      <c r="O679"/>
      <c r="P679"/>
    </row>
    <row r="680" spans="12:16" ht="15" customHeight="1">
      <c r="L680"/>
      <c r="M680"/>
      <c r="O680"/>
      <c r="P680"/>
    </row>
    <row r="681" spans="12:16" ht="15" customHeight="1">
      <c r="L681"/>
      <c r="M681"/>
      <c r="O681"/>
      <c r="P681"/>
    </row>
    <row r="682" spans="12:16" ht="15" customHeight="1">
      <c r="L682"/>
      <c r="M682"/>
      <c r="O682"/>
      <c r="P682"/>
    </row>
    <row r="683" spans="12:16" ht="15" customHeight="1">
      <c r="L683"/>
      <c r="M683"/>
      <c r="O683"/>
      <c r="P683"/>
    </row>
    <row r="684" spans="12:16" ht="15" customHeight="1">
      <c r="L684"/>
      <c r="M684"/>
      <c r="O684"/>
      <c r="P684"/>
    </row>
    <row r="685" spans="12:16" ht="15" customHeight="1">
      <c r="L685"/>
      <c r="M685"/>
      <c r="O685"/>
      <c r="P685"/>
    </row>
    <row r="686" spans="12:16" ht="15" customHeight="1">
      <c r="L686"/>
      <c r="M686"/>
      <c r="O686"/>
      <c r="P686"/>
    </row>
    <row r="687" spans="12:16" ht="15" customHeight="1">
      <c r="L687"/>
      <c r="M687"/>
      <c r="O687"/>
      <c r="P687"/>
    </row>
    <row r="688" spans="12:16" ht="15" customHeight="1">
      <c r="L688"/>
      <c r="M688"/>
      <c r="O688"/>
      <c r="P688"/>
    </row>
    <row r="689" spans="12:16" ht="15" customHeight="1">
      <c r="L689"/>
      <c r="M689"/>
      <c r="O689"/>
      <c r="P689"/>
    </row>
    <row r="690" spans="12:16" ht="15" customHeight="1">
      <c r="L690"/>
      <c r="M690"/>
      <c r="O690"/>
      <c r="P690"/>
    </row>
    <row r="691" spans="12:16" ht="15" customHeight="1">
      <c r="L691"/>
      <c r="M691"/>
      <c r="O691"/>
      <c r="P691"/>
    </row>
    <row r="692" spans="12:16" ht="15" customHeight="1">
      <c r="L692"/>
      <c r="M692"/>
      <c r="O692"/>
      <c r="P692"/>
    </row>
    <row r="693" spans="12:16" ht="15" customHeight="1">
      <c r="L693"/>
      <c r="M693"/>
      <c r="O693"/>
      <c r="P693"/>
    </row>
    <row r="694" spans="12:16" ht="15" customHeight="1">
      <c r="L694"/>
      <c r="M694"/>
      <c r="O694"/>
      <c r="P694"/>
    </row>
    <row r="695" spans="12:16" ht="15" customHeight="1">
      <c r="L695"/>
      <c r="M695"/>
      <c r="O695"/>
      <c r="P695"/>
    </row>
    <row r="696" spans="12:16" ht="15" customHeight="1">
      <c r="L696"/>
      <c r="M696"/>
      <c r="O696"/>
      <c r="P696"/>
    </row>
    <row r="697" spans="12:16" ht="15" customHeight="1">
      <c r="L697"/>
      <c r="M697"/>
      <c r="O697"/>
      <c r="P697"/>
    </row>
    <row r="698" spans="12:16" ht="15" customHeight="1">
      <c r="L698"/>
      <c r="M698"/>
      <c r="O698"/>
      <c r="P698"/>
    </row>
    <row r="699" spans="12:16" ht="15" customHeight="1">
      <c r="L699"/>
      <c r="M699"/>
      <c r="O699"/>
      <c r="P699"/>
    </row>
    <row r="700" spans="12:16" ht="15" customHeight="1">
      <c r="L700"/>
      <c r="M700"/>
      <c r="O700"/>
      <c r="P700"/>
    </row>
    <row r="701" spans="12:16" ht="15" customHeight="1">
      <c r="L701"/>
      <c r="M701"/>
      <c r="O701"/>
      <c r="P701"/>
    </row>
    <row r="702" spans="12:16" ht="15" customHeight="1">
      <c r="L702"/>
      <c r="M702"/>
      <c r="O702"/>
      <c r="P702"/>
    </row>
    <row r="703" spans="12:16" ht="15" customHeight="1">
      <c r="L703"/>
      <c r="M703"/>
      <c r="O703"/>
      <c r="P703"/>
    </row>
    <row r="704" spans="12:16" ht="15" customHeight="1">
      <c r="L704"/>
      <c r="M704"/>
      <c r="O704"/>
      <c r="P704"/>
    </row>
    <row r="705" spans="12:16" ht="15" customHeight="1">
      <c r="L705"/>
      <c r="M705"/>
      <c r="O705"/>
      <c r="P705"/>
    </row>
    <row r="706" spans="12:16" ht="15" customHeight="1">
      <c r="L706"/>
      <c r="M706"/>
      <c r="O706"/>
      <c r="P706"/>
    </row>
    <row r="707" spans="12:16" ht="15" customHeight="1">
      <c r="L707"/>
      <c r="M707"/>
      <c r="O707"/>
      <c r="P707"/>
    </row>
    <row r="708" spans="12:16" ht="15" customHeight="1">
      <c r="L708"/>
      <c r="M708"/>
      <c r="O708"/>
      <c r="P708"/>
    </row>
    <row r="709" spans="12:16" ht="15" customHeight="1">
      <c r="L709"/>
      <c r="M709"/>
      <c r="O709"/>
      <c r="P709"/>
    </row>
    <row r="710" spans="12:16" ht="15" customHeight="1">
      <c r="L710"/>
      <c r="M710"/>
      <c r="O710"/>
      <c r="P710"/>
    </row>
    <row r="711" spans="12:16" ht="15" customHeight="1">
      <c r="L711"/>
      <c r="M711"/>
      <c r="O711"/>
      <c r="P711"/>
    </row>
    <row r="712" spans="12:16" ht="15" customHeight="1">
      <c r="L712"/>
      <c r="M712"/>
      <c r="O712"/>
      <c r="P712"/>
    </row>
    <row r="713" spans="12:16" ht="15" customHeight="1">
      <c r="L713"/>
      <c r="M713"/>
      <c r="O713"/>
      <c r="P713"/>
    </row>
    <row r="714" spans="12:16" ht="15" customHeight="1">
      <c r="L714"/>
      <c r="M714"/>
      <c r="O714"/>
      <c r="P714"/>
    </row>
    <row r="715" spans="12:16" ht="15" customHeight="1">
      <c r="L715"/>
      <c r="M715"/>
      <c r="O715"/>
      <c r="P715"/>
    </row>
    <row r="716" spans="12:16" ht="15" customHeight="1">
      <c r="L716"/>
      <c r="M716"/>
      <c r="O716"/>
      <c r="P716"/>
    </row>
    <row r="717" spans="12:16" ht="15" customHeight="1">
      <c r="L717"/>
      <c r="M717"/>
      <c r="O717"/>
      <c r="P717"/>
    </row>
    <row r="718" spans="12:16" ht="15" customHeight="1">
      <c r="L718"/>
      <c r="M718"/>
      <c r="O718"/>
      <c r="P718"/>
    </row>
    <row r="719" spans="12:16" ht="15" customHeight="1">
      <c r="L719"/>
      <c r="M719"/>
      <c r="O719"/>
      <c r="P719"/>
    </row>
    <row r="720" spans="12:16" ht="15" customHeight="1">
      <c r="L720"/>
      <c r="M720"/>
      <c r="O720"/>
      <c r="P720"/>
    </row>
    <row r="721" spans="12:16" ht="15" customHeight="1">
      <c r="L721"/>
      <c r="M721"/>
      <c r="O721"/>
      <c r="P721"/>
    </row>
    <row r="722" spans="12:16" ht="15" customHeight="1">
      <c r="L722"/>
      <c r="M722"/>
      <c r="O722"/>
      <c r="P722"/>
    </row>
    <row r="723" spans="12:16" ht="15" customHeight="1">
      <c r="L723"/>
      <c r="M723"/>
      <c r="O723"/>
      <c r="P723"/>
    </row>
    <row r="724" spans="12:16" ht="15" customHeight="1">
      <c r="L724"/>
      <c r="M724"/>
      <c r="O724"/>
      <c r="P724"/>
    </row>
    <row r="725" spans="12:16" ht="15" customHeight="1">
      <c r="L725"/>
      <c r="M725"/>
      <c r="O725"/>
      <c r="P725"/>
    </row>
    <row r="726" spans="12:16" ht="15" customHeight="1">
      <c r="L726"/>
      <c r="M726"/>
      <c r="O726"/>
      <c r="P726"/>
    </row>
    <row r="727" spans="12:16" ht="15" customHeight="1">
      <c r="L727"/>
      <c r="M727"/>
      <c r="O727"/>
      <c r="P727"/>
    </row>
    <row r="728" spans="12:16" ht="15" customHeight="1">
      <c r="L728"/>
      <c r="M728"/>
      <c r="O728"/>
      <c r="P728"/>
    </row>
    <row r="729" spans="12:16" ht="15" customHeight="1">
      <c r="L729"/>
      <c r="M729"/>
      <c r="O729"/>
      <c r="P729"/>
    </row>
    <row r="730" spans="12:16" ht="15" customHeight="1">
      <c r="L730"/>
      <c r="M730"/>
      <c r="O730"/>
      <c r="P730"/>
    </row>
    <row r="731" spans="12:16" ht="15" customHeight="1">
      <c r="L731"/>
      <c r="M731"/>
      <c r="O731"/>
      <c r="P731"/>
    </row>
    <row r="732" spans="12:16" ht="15" customHeight="1">
      <c r="L732"/>
      <c r="M732"/>
      <c r="O732"/>
      <c r="P732"/>
    </row>
    <row r="733" spans="12:16" ht="15" customHeight="1">
      <c r="L733"/>
      <c r="M733"/>
      <c r="O733"/>
      <c r="P733"/>
    </row>
    <row r="734" spans="12:16" ht="15" customHeight="1">
      <c r="L734"/>
      <c r="M734"/>
      <c r="O734"/>
      <c r="P734"/>
    </row>
    <row r="735" spans="12:16" ht="15" customHeight="1">
      <c r="L735"/>
      <c r="M735"/>
      <c r="O735"/>
      <c r="P735"/>
    </row>
    <row r="736" spans="12:16" ht="15" customHeight="1">
      <c r="L736"/>
      <c r="M736"/>
      <c r="O736"/>
      <c r="P736"/>
    </row>
    <row r="737" spans="12:16" ht="15" customHeight="1">
      <c r="L737"/>
      <c r="M737"/>
      <c r="O737"/>
      <c r="P737"/>
    </row>
    <row r="738" spans="12:16" ht="15" customHeight="1">
      <c r="L738"/>
      <c r="M738"/>
      <c r="O738"/>
      <c r="P738"/>
    </row>
    <row r="739" spans="12:16" ht="15" customHeight="1">
      <c r="L739"/>
      <c r="M739"/>
      <c r="O739"/>
      <c r="P739"/>
    </row>
    <row r="740" spans="12:16" ht="15" customHeight="1">
      <c r="L740"/>
      <c r="M740"/>
      <c r="O740"/>
      <c r="P740"/>
    </row>
    <row r="741" spans="12:16" ht="15" customHeight="1">
      <c r="L741"/>
      <c r="M741"/>
      <c r="O741"/>
      <c r="P741"/>
    </row>
    <row r="742" spans="12:16" ht="15" customHeight="1">
      <c r="L742"/>
      <c r="M742"/>
      <c r="O742"/>
      <c r="P742"/>
    </row>
    <row r="743" spans="12:16" ht="15" customHeight="1">
      <c r="L743"/>
      <c r="M743"/>
      <c r="O743"/>
      <c r="P743"/>
    </row>
    <row r="744" spans="12:16" ht="15" customHeight="1">
      <c r="L744"/>
      <c r="M744"/>
      <c r="O744"/>
      <c r="P744"/>
    </row>
    <row r="745" spans="12:16" ht="15" customHeight="1">
      <c r="L745"/>
      <c r="M745"/>
      <c r="O745"/>
      <c r="P745"/>
    </row>
    <row r="746" spans="12:16" ht="15" customHeight="1">
      <c r="L746"/>
      <c r="M746"/>
      <c r="O746"/>
      <c r="P746"/>
    </row>
    <row r="747" spans="12:16" ht="15" customHeight="1">
      <c r="L747"/>
      <c r="M747"/>
      <c r="O747"/>
      <c r="P747"/>
    </row>
    <row r="748" spans="12:16" ht="15" customHeight="1">
      <c r="L748"/>
      <c r="M748"/>
      <c r="O748"/>
      <c r="P748"/>
    </row>
    <row r="749" spans="12:16" ht="15" customHeight="1">
      <c r="L749"/>
      <c r="M749"/>
      <c r="O749"/>
      <c r="P749"/>
    </row>
    <row r="750" spans="12:16" ht="15" customHeight="1">
      <c r="L750"/>
      <c r="M750"/>
      <c r="O750"/>
      <c r="P750"/>
    </row>
    <row r="751" spans="12:16" ht="15" customHeight="1">
      <c r="L751"/>
      <c r="M751"/>
      <c r="O751"/>
      <c r="P751"/>
    </row>
    <row r="752" spans="12:16" ht="15" customHeight="1">
      <c r="L752"/>
      <c r="M752"/>
      <c r="O752"/>
      <c r="P752"/>
    </row>
    <row r="753" spans="12:16" ht="15" customHeight="1">
      <c r="L753"/>
      <c r="M753"/>
      <c r="O753"/>
      <c r="P753"/>
    </row>
    <row r="754" spans="12:16" ht="15" customHeight="1">
      <c r="L754"/>
      <c r="M754"/>
      <c r="O754"/>
      <c r="P754"/>
    </row>
    <row r="755" spans="12:16" ht="15" customHeight="1">
      <c r="L755"/>
      <c r="M755"/>
      <c r="O755"/>
      <c r="P755"/>
    </row>
    <row r="756" spans="12:16" ht="15" customHeight="1">
      <c r="L756"/>
      <c r="M756"/>
      <c r="O756"/>
      <c r="P756"/>
    </row>
    <row r="757" spans="12:16" ht="15" customHeight="1">
      <c r="L757"/>
      <c r="M757"/>
      <c r="O757"/>
      <c r="P757"/>
    </row>
    <row r="758" spans="12:16" ht="15" customHeight="1">
      <c r="L758"/>
      <c r="M758"/>
      <c r="O758"/>
      <c r="P758"/>
    </row>
    <row r="759" spans="12:16" ht="15" customHeight="1">
      <c r="L759"/>
      <c r="M759"/>
      <c r="O759"/>
      <c r="P759"/>
    </row>
    <row r="760" spans="12:16" ht="15" customHeight="1">
      <c r="L760"/>
      <c r="M760"/>
      <c r="O760"/>
      <c r="P760"/>
    </row>
    <row r="761" spans="12:16" ht="15" customHeight="1">
      <c r="L761"/>
      <c r="M761"/>
      <c r="O761"/>
      <c r="P761"/>
    </row>
    <row r="762" spans="12:16" ht="15" customHeight="1">
      <c r="L762"/>
      <c r="M762"/>
      <c r="O762"/>
      <c r="P762"/>
    </row>
    <row r="763" spans="12:16" ht="15" customHeight="1">
      <c r="L763"/>
      <c r="M763"/>
      <c r="O763"/>
      <c r="P763"/>
    </row>
    <row r="764" spans="12:16" ht="15" customHeight="1">
      <c r="L764"/>
      <c r="M764"/>
      <c r="O764"/>
      <c r="P764"/>
    </row>
    <row r="765" spans="12:16" ht="15" customHeight="1">
      <c r="L765"/>
      <c r="M765"/>
      <c r="O765"/>
      <c r="P765"/>
    </row>
    <row r="766" spans="12:16" ht="15" customHeight="1">
      <c r="L766"/>
      <c r="M766"/>
      <c r="O766"/>
      <c r="P766"/>
    </row>
    <row r="767" spans="12:16" ht="15" customHeight="1">
      <c r="L767"/>
      <c r="M767"/>
      <c r="O767"/>
      <c r="P767"/>
    </row>
    <row r="768" spans="12:16" ht="15" customHeight="1">
      <c r="L768"/>
      <c r="M768"/>
      <c r="O768"/>
      <c r="P768"/>
    </row>
    <row r="769" spans="12:16" ht="15" customHeight="1">
      <c r="L769"/>
      <c r="M769"/>
      <c r="O769"/>
      <c r="P769"/>
    </row>
    <row r="770" spans="12:16" ht="15" customHeight="1">
      <c r="L770"/>
      <c r="M770"/>
      <c r="O770"/>
      <c r="P770"/>
    </row>
    <row r="771" spans="12:16" ht="15" customHeight="1">
      <c r="L771"/>
      <c r="M771"/>
      <c r="O771"/>
      <c r="P771"/>
    </row>
    <row r="772" spans="12:16" ht="15" customHeight="1">
      <c r="L772"/>
      <c r="M772"/>
      <c r="O772"/>
      <c r="P772"/>
    </row>
    <row r="773" spans="12:16" ht="15" customHeight="1">
      <c r="L773"/>
      <c r="M773"/>
      <c r="O773"/>
      <c r="P773"/>
    </row>
    <row r="774" spans="12:16" ht="15" customHeight="1">
      <c r="L774"/>
      <c r="M774"/>
      <c r="O774"/>
      <c r="P774"/>
    </row>
    <row r="775" spans="12:16" ht="15" customHeight="1">
      <c r="L775"/>
      <c r="M775"/>
      <c r="O775"/>
      <c r="P775"/>
    </row>
    <row r="776" spans="12:16" ht="15" customHeight="1">
      <c r="L776"/>
      <c r="M776"/>
      <c r="O776"/>
      <c r="P776"/>
    </row>
    <row r="777" spans="12:16" ht="15" customHeight="1">
      <c r="L777"/>
      <c r="M777"/>
      <c r="O777"/>
      <c r="P777"/>
    </row>
    <row r="778" spans="12:16" ht="15" customHeight="1">
      <c r="L778"/>
      <c r="M778"/>
      <c r="O778"/>
      <c r="P778"/>
    </row>
    <row r="779" spans="12:16" ht="15" customHeight="1">
      <c r="L779"/>
      <c r="M779"/>
      <c r="O779"/>
      <c r="P779"/>
    </row>
    <row r="780" spans="12:16" ht="15" customHeight="1">
      <c r="L780"/>
      <c r="M780"/>
      <c r="O780"/>
      <c r="P780"/>
    </row>
    <row r="781" spans="12:16" ht="15" customHeight="1">
      <c r="L781"/>
      <c r="M781"/>
      <c r="O781"/>
      <c r="P781"/>
    </row>
    <row r="782" spans="12:16" ht="15" customHeight="1">
      <c r="L782"/>
      <c r="M782"/>
      <c r="O782"/>
      <c r="P782"/>
    </row>
    <row r="783" spans="12:16" ht="15" customHeight="1">
      <c r="L783"/>
      <c r="M783"/>
      <c r="O783"/>
      <c r="P783"/>
    </row>
    <row r="784" spans="12:16" ht="15" customHeight="1">
      <c r="L784"/>
      <c r="M784"/>
      <c r="O784"/>
      <c r="P784"/>
    </row>
    <row r="785" spans="12:16" ht="15" customHeight="1">
      <c r="L785"/>
      <c r="M785"/>
      <c r="O785"/>
      <c r="P785"/>
    </row>
    <row r="786" spans="12:16" ht="15" customHeight="1">
      <c r="L786"/>
      <c r="M786"/>
      <c r="O786"/>
      <c r="P786"/>
    </row>
    <row r="787" spans="12:16" ht="15" customHeight="1">
      <c r="L787"/>
      <c r="M787"/>
      <c r="O787"/>
      <c r="P787"/>
    </row>
    <row r="788" spans="12:16" ht="15" customHeight="1">
      <c r="L788"/>
      <c r="M788"/>
      <c r="O788"/>
      <c r="P788"/>
    </row>
    <row r="789" spans="12:16" ht="15" customHeight="1">
      <c r="L789"/>
      <c r="M789"/>
      <c r="O789"/>
      <c r="P789"/>
    </row>
    <row r="790" spans="12:16" ht="15" customHeight="1">
      <c r="L790"/>
      <c r="M790"/>
      <c r="O790"/>
      <c r="P790"/>
    </row>
    <row r="791" spans="12:16" ht="15" customHeight="1">
      <c r="L791"/>
      <c r="M791"/>
      <c r="O791"/>
      <c r="P791"/>
    </row>
    <row r="792" spans="12:16" ht="15" customHeight="1">
      <c r="L792"/>
      <c r="M792"/>
      <c r="O792"/>
      <c r="P792"/>
    </row>
    <row r="793" spans="12:16" ht="15" customHeight="1">
      <c r="L793"/>
      <c r="M793"/>
      <c r="O793"/>
      <c r="P793"/>
    </row>
    <row r="794" spans="12:16" ht="15" customHeight="1">
      <c r="L794"/>
      <c r="M794"/>
      <c r="O794"/>
      <c r="P794"/>
    </row>
    <row r="795" spans="12:16" ht="15" customHeight="1">
      <c r="L795"/>
      <c r="M795"/>
      <c r="O795"/>
      <c r="P795"/>
    </row>
    <row r="796" spans="12:16" ht="15" customHeight="1">
      <c r="L796"/>
      <c r="M796"/>
      <c r="O796"/>
      <c r="P796"/>
    </row>
    <row r="797" spans="12:16" ht="15" customHeight="1">
      <c r="L797"/>
      <c r="M797"/>
      <c r="O797"/>
      <c r="P797"/>
    </row>
    <row r="798" spans="12:16" ht="15" customHeight="1">
      <c r="L798"/>
      <c r="M798"/>
      <c r="O798"/>
      <c r="P798"/>
    </row>
    <row r="799" spans="12:16" ht="15" customHeight="1">
      <c r="L799"/>
      <c r="M799"/>
      <c r="O799"/>
      <c r="P799"/>
    </row>
    <row r="800" spans="12:16" ht="15" customHeight="1">
      <c r="L800"/>
      <c r="M800"/>
      <c r="O800"/>
      <c r="P800"/>
    </row>
    <row r="801" spans="12:16" ht="15" customHeight="1">
      <c r="L801"/>
      <c r="M801"/>
      <c r="O801"/>
      <c r="P801"/>
    </row>
    <row r="802" spans="12:16" ht="15" customHeight="1">
      <c r="L802"/>
      <c r="M802"/>
      <c r="O802"/>
      <c r="P802"/>
    </row>
    <row r="803" spans="12:16" ht="15" customHeight="1">
      <c r="L803"/>
      <c r="M803"/>
      <c r="O803"/>
      <c r="P803"/>
    </row>
    <row r="804" spans="12:16" ht="15" customHeight="1">
      <c r="L804"/>
      <c r="M804"/>
      <c r="O804"/>
      <c r="P804"/>
    </row>
    <row r="805" spans="12:16" ht="15" customHeight="1">
      <c r="L805"/>
      <c r="M805"/>
      <c r="O805"/>
      <c r="P805"/>
    </row>
    <row r="806" spans="12:16" ht="15" customHeight="1">
      <c r="L806"/>
      <c r="M806"/>
      <c r="O806"/>
      <c r="P806"/>
    </row>
    <row r="807" spans="12:16" ht="15" customHeight="1">
      <c r="L807"/>
      <c r="M807"/>
      <c r="O807"/>
      <c r="P807"/>
    </row>
    <row r="808" spans="12:16" ht="15" customHeight="1">
      <c r="L808"/>
      <c r="M808"/>
      <c r="O808"/>
      <c r="P808"/>
    </row>
    <row r="809" spans="12:16" ht="15" customHeight="1">
      <c r="L809"/>
      <c r="M809"/>
      <c r="O809"/>
      <c r="P809"/>
    </row>
    <row r="810" spans="12:16" ht="15" customHeight="1">
      <c r="L810"/>
      <c r="M810"/>
      <c r="O810"/>
      <c r="P810"/>
    </row>
    <row r="811" spans="12:16" ht="15" customHeight="1">
      <c r="L811"/>
      <c r="M811"/>
      <c r="O811"/>
      <c r="P811"/>
    </row>
    <row r="812" spans="12:16" ht="15" customHeight="1">
      <c r="L812"/>
      <c r="M812"/>
      <c r="O812"/>
      <c r="P812"/>
    </row>
    <row r="813" spans="12:16" ht="15" customHeight="1">
      <c r="L813"/>
      <c r="M813"/>
      <c r="O813"/>
      <c r="P813"/>
    </row>
    <row r="814" spans="12:16" ht="15" customHeight="1">
      <c r="L814"/>
      <c r="M814"/>
      <c r="O814"/>
      <c r="P814"/>
    </row>
    <row r="815" spans="12:16" ht="15" customHeight="1">
      <c r="L815"/>
      <c r="M815"/>
      <c r="O815"/>
      <c r="P815"/>
    </row>
    <row r="816" spans="12:16" ht="15" customHeight="1">
      <c r="L816"/>
      <c r="M816"/>
      <c r="O816"/>
      <c r="P816"/>
    </row>
    <row r="817" spans="12:16" ht="15" customHeight="1">
      <c r="L817"/>
      <c r="M817"/>
      <c r="O817"/>
      <c r="P817"/>
    </row>
    <row r="818" spans="12:16" ht="15" customHeight="1">
      <c r="L818"/>
      <c r="M818"/>
      <c r="O818"/>
      <c r="P818"/>
    </row>
    <row r="819" spans="12:16" ht="15" customHeight="1">
      <c r="L819"/>
      <c r="M819"/>
      <c r="O819"/>
      <c r="P819"/>
    </row>
    <row r="820" spans="12:16" ht="15" customHeight="1">
      <c r="L820"/>
      <c r="M820"/>
      <c r="O820"/>
      <c r="P820"/>
    </row>
    <row r="821" spans="12:16" ht="15" customHeight="1">
      <c r="L821"/>
      <c r="M821"/>
      <c r="O821"/>
      <c r="P821"/>
    </row>
    <row r="822" spans="12:16" ht="15" customHeight="1">
      <c r="L822"/>
      <c r="M822"/>
      <c r="O822"/>
      <c r="P822"/>
    </row>
    <row r="823" spans="12:16" ht="15" customHeight="1">
      <c r="L823"/>
      <c r="M823"/>
      <c r="O823"/>
      <c r="P823"/>
    </row>
    <row r="824" spans="12:16" ht="15" customHeight="1">
      <c r="L824"/>
      <c r="M824"/>
      <c r="O824"/>
      <c r="P824"/>
    </row>
    <row r="825" spans="12:16" ht="15" customHeight="1">
      <c r="L825"/>
      <c r="M825"/>
      <c r="O825"/>
      <c r="P825"/>
    </row>
    <row r="826" spans="12:16" ht="15" customHeight="1">
      <c r="L826"/>
      <c r="M826"/>
      <c r="O826"/>
      <c r="P826"/>
    </row>
    <row r="827" spans="12:16" ht="15" customHeight="1">
      <c r="L827"/>
      <c r="M827"/>
      <c r="O827"/>
      <c r="P827"/>
    </row>
    <row r="828" spans="12:16" ht="15" customHeight="1">
      <c r="L828"/>
      <c r="M828"/>
      <c r="O828"/>
      <c r="P828"/>
    </row>
    <row r="829" spans="12:16" ht="15" customHeight="1">
      <c r="L829"/>
      <c r="M829"/>
      <c r="O829"/>
      <c r="P829"/>
    </row>
    <row r="830" spans="12:16" ht="15" customHeight="1">
      <c r="L830"/>
      <c r="M830"/>
      <c r="O830"/>
      <c r="P830"/>
    </row>
    <row r="831" spans="12:16" ht="15" customHeight="1">
      <c r="L831"/>
      <c r="M831"/>
      <c r="O831"/>
      <c r="P831"/>
    </row>
    <row r="832" spans="12:16" ht="15" customHeight="1">
      <c r="L832"/>
      <c r="M832"/>
      <c r="O832"/>
      <c r="P832"/>
    </row>
    <row r="833" spans="12:16" ht="15" customHeight="1">
      <c r="L833"/>
      <c r="M833"/>
      <c r="O833"/>
      <c r="P833"/>
    </row>
    <row r="834" spans="12:16" ht="15" customHeight="1">
      <c r="L834"/>
      <c r="M834"/>
      <c r="O834"/>
      <c r="P834"/>
    </row>
    <row r="835" spans="12:16" ht="15" customHeight="1">
      <c r="L835"/>
      <c r="M835"/>
      <c r="O835"/>
      <c r="P835"/>
    </row>
    <row r="836" spans="12:16" ht="15" customHeight="1">
      <c r="L836"/>
      <c r="M836"/>
      <c r="O836"/>
      <c r="P836"/>
    </row>
    <row r="837" spans="12:16" ht="15" customHeight="1">
      <c r="L837"/>
      <c r="M837"/>
      <c r="O837"/>
      <c r="P837"/>
    </row>
    <row r="838" spans="12:16" ht="15" customHeight="1">
      <c r="L838"/>
      <c r="M838"/>
      <c r="O838"/>
      <c r="P838"/>
    </row>
    <row r="839" spans="12:16" ht="15" customHeight="1">
      <c r="L839"/>
      <c r="M839"/>
      <c r="O839"/>
      <c r="P839"/>
    </row>
    <row r="840" spans="12:16" ht="15" customHeight="1">
      <c r="L840"/>
      <c r="M840"/>
      <c r="O840"/>
      <c r="P840"/>
    </row>
    <row r="841" spans="12:16" ht="15" customHeight="1">
      <c r="L841"/>
      <c r="M841"/>
      <c r="O841"/>
      <c r="P841"/>
    </row>
    <row r="842" spans="12:16" ht="15" customHeight="1">
      <c r="L842"/>
      <c r="M842"/>
      <c r="O842"/>
      <c r="P842"/>
    </row>
    <row r="843" spans="12:16" ht="15" customHeight="1">
      <c r="L843"/>
      <c r="M843"/>
      <c r="O843"/>
      <c r="P843"/>
    </row>
    <row r="844" spans="12:16" ht="15" customHeight="1">
      <c r="L844"/>
      <c r="M844"/>
      <c r="O844"/>
      <c r="P844"/>
    </row>
    <row r="845" spans="12:16" ht="15" customHeight="1">
      <c r="L845"/>
      <c r="M845"/>
      <c r="O845"/>
      <c r="P845"/>
    </row>
    <row r="846" spans="12:16" ht="15" customHeight="1">
      <c r="L846"/>
      <c r="M846"/>
      <c r="O846"/>
      <c r="P846"/>
    </row>
    <row r="847" spans="12:16" ht="15" customHeight="1">
      <c r="L847"/>
      <c r="M847"/>
      <c r="O847"/>
      <c r="P847"/>
    </row>
    <row r="848" spans="12:16" ht="15" customHeight="1">
      <c r="L848"/>
      <c r="M848"/>
      <c r="O848"/>
      <c r="P848"/>
    </row>
    <row r="849" spans="12:16" ht="15" customHeight="1">
      <c r="L849"/>
      <c r="M849"/>
      <c r="O849"/>
      <c r="P849"/>
    </row>
    <row r="850" spans="12:16" ht="15" customHeight="1">
      <c r="L850"/>
      <c r="M850"/>
      <c r="O850"/>
      <c r="P850"/>
    </row>
    <row r="851" spans="12:16" ht="15" customHeight="1">
      <c r="L851"/>
      <c r="M851"/>
      <c r="O851"/>
      <c r="P851"/>
    </row>
    <row r="852" spans="12:16" ht="15" customHeight="1">
      <c r="L852"/>
      <c r="M852"/>
      <c r="O852"/>
      <c r="P852"/>
    </row>
    <row r="853" spans="12:16" ht="15" customHeight="1">
      <c r="L853"/>
      <c r="M853"/>
      <c r="O853"/>
      <c r="P853"/>
    </row>
    <row r="854" spans="12:16" ht="15" customHeight="1">
      <c r="L854"/>
      <c r="M854"/>
      <c r="O854"/>
      <c r="P854"/>
    </row>
    <row r="855" spans="12:16" ht="15" customHeight="1">
      <c r="L855"/>
      <c r="M855"/>
      <c r="O855"/>
      <c r="P855"/>
    </row>
    <row r="856" spans="12:16" ht="15" customHeight="1">
      <c r="L856"/>
      <c r="M856"/>
      <c r="O856"/>
      <c r="P856"/>
    </row>
    <row r="857" spans="12:16" ht="15" customHeight="1">
      <c r="L857"/>
      <c r="M857"/>
      <c r="O857"/>
      <c r="P857"/>
    </row>
    <row r="858" spans="12:16" ht="15" customHeight="1">
      <c r="L858"/>
      <c r="M858"/>
      <c r="O858"/>
      <c r="P858"/>
    </row>
    <row r="859" spans="12:16" ht="15" customHeight="1">
      <c r="L859"/>
      <c r="M859"/>
      <c r="O859"/>
      <c r="P859"/>
    </row>
    <row r="860" spans="12:16" ht="15" customHeight="1">
      <c r="L860"/>
      <c r="M860"/>
      <c r="O860"/>
      <c r="P860"/>
    </row>
    <row r="861" spans="12:16" ht="15" customHeight="1">
      <c r="L861"/>
      <c r="M861"/>
      <c r="O861"/>
      <c r="P861"/>
    </row>
    <row r="862" spans="12:16" ht="15" customHeight="1">
      <c r="L862"/>
      <c r="M862"/>
      <c r="O862"/>
      <c r="P862"/>
    </row>
    <row r="863" spans="12:16" ht="15" customHeight="1">
      <c r="L863"/>
      <c r="M863"/>
      <c r="O863"/>
      <c r="P863"/>
    </row>
    <row r="864" spans="12:16" ht="15" customHeight="1">
      <c r="L864"/>
      <c r="M864"/>
      <c r="O864"/>
      <c r="P864"/>
    </row>
    <row r="865" spans="12:16" ht="15" customHeight="1">
      <c r="L865"/>
      <c r="M865"/>
      <c r="O865"/>
      <c r="P865"/>
    </row>
    <row r="866" spans="12:16" ht="15" customHeight="1">
      <c r="L866"/>
      <c r="M866"/>
      <c r="O866"/>
      <c r="P866"/>
    </row>
    <row r="867" spans="12:16" ht="15" customHeight="1">
      <c r="L867"/>
      <c r="M867"/>
      <c r="O867"/>
      <c r="P867"/>
    </row>
    <row r="868" spans="12:16" ht="15" customHeight="1">
      <c r="L868"/>
      <c r="M868"/>
      <c r="O868"/>
      <c r="P868"/>
    </row>
    <row r="869" spans="12:16" ht="15" customHeight="1">
      <c r="L869"/>
      <c r="M869"/>
      <c r="O869"/>
      <c r="P869"/>
    </row>
    <row r="870" spans="12:16" ht="15" customHeight="1">
      <c r="L870"/>
      <c r="M870"/>
      <c r="O870"/>
      <c r="P870"/>
    </row>
    <row r="871" spans="12:16" ht="15" customHeight="1">
      <c r="L871"/>
      <c r="M871"/>
      <c r="O871"/>
      <c r="P871"/>
    </row>
    <row r="872" spans="12:16" ht="15" customHeight="1">
      <c r="L872"/>
      <c r="M872"/>
      <c r="O872"/>
      <c r="P872"/>
    </row>
    <row r="873" spans="12:16" ht="15" customHeight="1">
      <c r="L873"/>
      <c r="M873"/>
      <c r="O873"/>
      <c r="P873"/>
    </row>
    <row r="874" spans="12:16" ht="15" customHeight="1">
      <c r="L874"/>
      <c r="M874"/>
      <c r="O874"/>
      <c r="P874"/>
    </row>
    <row r="875" spans="12:16" ht="15" customHeight="1">
      <c r="L875"/>
      <c r="M875"/>
      <c r="O875"/>
      <c r="P875"/>
    </row>
    <row r="876" spans="12:16" ht="15" customHeight="1">
      <c r="L876"/>
      <c r="M876"/>
      <c r="O876"/>
      <c r="P876"/>
    </row>
    <row r="877" spans="12:16" ht="15" customHeight="1">
      <c r="L877"/>
      <c r="M877"/>
      <c r="O877"/>
      <c r="P877"/>
    </row>
    <row r="878" spans="12:16" ht="15" customHeight="1">
      <c r="L878"/>
      <c r="M878"/>
      <c r="O878"/>
      <c r="P878"/>
    </row>
    <row r="879" spans="12:16" ht="15" customHeight="1">
      <c r="L879"/>
      <c r="M879"/>
      <c r="O879"/>
      <c r="P879"/>
    </row>
    <row r="880" spans="12:16" ht="15" customHeight="1">
      <c r="L880"/>
      <c r="M880"/>
      <c r="O880"/>
      <c r="P880"/>
    </row>
    <row r="881" spans="12:16" ht="15" customHeight="1">
      <c r="L881"/>
      <c r="M881"/>
      <c r="O881"/>
      <c r="P881"/>
    </row>
    <row r="882" spans="12:16" ht="15" customHeight="1">
      <c r="L882"/>
      <c r="M882"/>
      <c r="O882"/>
      <c r="P882"/>
    </row>
    <row r="883" spans="12:16" ht="15" customHeight="1">
      <c r="L883"/>
      <c r="M883"/>
      <c r="O883"/>
      <c r="P883"/>
    </row>
    <row r="884" spans="12:16" ht="15" customHeight="1">
      <c r="L884"/>
      <c r="M884"/>
      <c r="O884"/>
      <c r="P884"/>
    </row>
    <row r="885" spans="12:16" ht="15" customHeight="1">
      <c r="L885"/>
      <c r="M885"/>
      <c r="O885"/>
      <c r="P885"/>
    </row>
    <row r="886" spans="12:16" ht="15" customHeight="1">
      <c r="L886"/>
      <c r="M886"/>
      <c r="O886"/>
      <c r="P886"/>
    </row>
    <row r="887" spans="12:16" ht="15" customHeight="1">
      <c r="L887"/>
      <c r="M887"/>
      <c r="O887"/>
      <c r="P887"/>
    </row>
    <row r="888" spans="12:16" ht="15" customHeight="1">
      <c r="L888"/>
      <c r="M888"/>
      <c r="O888"/>
      <c r="P888"/>
    </row>
    <row r="889" spans="12:16" ht="15" customHeight="1">
      <c r="L889"/>
      <c r="M889"/>
      <c r="O889"/>
      <c r="P889"/>
    </row>
    <row r="890" spans="12:16" ht="15" customHeight="1">
      <c r="L890"/>
      <c r="M890"/>
      <c r="O890"/>
      <c r="P890"/>
    </row>
    <row r="891" spans="12:16" ht="15" customHeight="1">
      <c r="L891"/>
      <c r="M891"/>
      <c r="O891"/>
      <c r="P891"/>
    </row>
    <row r="892" spans="12:16" ht="15" customHeight="1">
      <c r="L892"/>
      <c r="M892"/>
      <c r="O892"/>
      <c r="P892"/>
    </row>
    <row r="893" spans="12:16" ht="15" customHeight="1">
      <c r="L893"/>
      <c r="M893"/>
      <c r="O893"/>
      <c r="P893"/>
    </row>
    <row r="894" spans="12:16" ht="15" customHeight="1">
      <c r="L894"/>
      <c r="M894"/>
      <c r="O894"/>
      <c r="P894"/>
    </row>
    <row r="895" spans="12:16" ht="15" customHeight="1">
      <c r="L895"/>
      <c r="M895"/>
      <c r="O895"/>
      <c r="P895"/>
    </row>
    <row r="896" spans="12:16" ht="15" customHeight="1">
      <c r="L896"/>
      <c r="M896"/>
      <c r="O896"/>
      <c r="P896"/>
    </row>
    <row r="897" spans="12:16" ht="15" customHeight="1">
      <c r="L897"/>
      <c r="M897"/>
      <c r="O897"/>
      <c r="P897"/>
    </row>
    <row r="898" spans="12:16" ht="15" customHeight="1">
      <c r="L898"/>
      <c r="M898"/>
      <c r="O898"/>
      <c r="P898"/>
    </row>
    <row r="899" spans="12:16" ht="15" customHeight="1">
      <c r="L899"/>
      <c r="M899"/>
      <c r="O899"/>
      <c r="P899"/>
    </row>
    <row r="900" spans="12:16" ht="15" customHeight="1">
      <c r="L900"/>
      <c r="M900"/>
      <c r="O900"/>
      <c r="P900"/>
    </row>
    <row r="901" spans="12:16" ht="15" customHeight="1">
      <c r="L901"/>
      <c r="M901"/>
      <c r="O901"/>
      <c r="P901"/>
    </row>
    <row r="902" spans="12:16" ht="15" customHeight="1">
      <c r="L902"/>
      <c r="M902"/>
      <c r="O902"/>
      <c r="P902"/>
    </row>
    <row r="903" spans="12:16" ht="15" customHeight="1">
      <c r="L903"/>
      <c r="M903"/>
      <c r="O903"/>
      <c r="P903"/>
    </row>
    <row r="904" spans="12:16" ht="15" customHeight="1">
      <c r="L904"/>
      <c r="M904"/>
      <c r="O904"/>
      <c r="P904"/>
    </row>
    <row r="905" spans="12:16" ht="15" customHeight="1">
      <c r="L905"/>
      <c r="M905"/>
      <c r="O905"/>
      <c r="P905"/>
    </row>
    <row r="906" spans="12:16" ht="15" customHeight="1">
      <c r="L906"/>
      <c r="M906"/>
      <c r="O906"/>
      <c r="P906"/>
    </row>
    <row r="907" spans="12:16" ht="15" customHeight="1">
      <c r="L907"/>
      <c r="M907"/>
      <c r="O907"/>
      <c r="P907"/>
    </row>
    <row r="908" spans="12:16" ht="15" customHeight="1">
      <c r="L908"/>
      <c r="M908"/>
      <c r="O908"/>
      <c r="P908"/>
    </row>
    <row r="909" spans="12:16" ht="15" customHeight="1">
      <c r="L909"/>
      <c r="M909"/>
      <c r="O909"/>
      <c r="P909"/>
    </row>
    <row r="910" spans="12:16" ht="15" customHeight="1">
      <c r="L910"/>
      <c r="M910"/>
      <c r="O910"/>
      <c r="P910"/>
    </row>
    <row r="911" spans="12:16" ht="15" customHeight="1">
      <c r="L911"/>
      <c r="M911"/>
      <c r="O911"/>
      <c r="P911"/>
    </row>
    <row r="912" spans="12:16" ht="15" customHeight="1">
      <c r="L912"/>
      <c r="M912"/>
      <c r="O912"/>
      <c r="P912"/>
    </row>
    <row r="913" spans="12:16" ht="15" customHeight="1">
      <c r="L913"/>
      <c r="M913"/>
      <c r="O913"/>
      <c r="P913"/>
    </row>
    <row r="914" spans="12:16" ht="15" customHeight="1">
      <c r="L914"/>
      <c r="M914"/>
      <c r="O914"/>
      <c r="P914"/>
    </row>
    <row r="915" spans="12:16" ht="15" customHeight="1">
      <c r="L915"/>
      <c r="M915"/>
      <c r="O915"/>
      <c r="P915"/>
    </row>
    <row r="916" spans="12:16" ht="15" customHeight="1">
      <c r="L916"/>
      <c r="M916"/>
      <c r="O916"/>
      <c r="P916"/>
    </row>
    <row r="917" spans="12:16" ht="15" customHeight="1">
      <c r="L917"/>
      <c r="M917"/>
      <c r="O917"/>
      <c r="P917"/>
    </row>
    <row r="918" spans="12:16" ht="15" customHeight="1">
      <c r="L918"/>
      <c r="M918"/>
      <c r="O918"/>
      <c r="P918"/>
    </row>
    <row r="919" spans="12:16" ht="15" customHeight="1">
      <c r="L919"/>
      <c r="M919"/>
      <c r="O919"/>
      <c r="P919"/>
    </row>
    <row r="920" spans="12:16" ht="15" customHeight="1">
      <c r="L920"/>
      <c r="M920"/>
      <c r="O920"/>
      <c r="P920"/>
    </row>
    <row r="921" spans="12:16" ht="15" customHeight="1">
      <c r="L921"/>
      <c r="M921"/>
      <c r="O921"/>
      <c r="P921"/>
    </row>
    <row r="922" spans="12:16" ht="15" customHeight="1">
      <c r="L922"/>
      <c r="M922"/>
      <c r="O922"/>
      <c r="P922"/>
    </row>
    <row r="923" spans="12:16" ht="15" customHeight="1">
      <c r="L923"/>
      <c r="M923"/>
      <c r="O923"/>
      <c r="P923"/>
    </row>
    <row r="924" spans="12:16" ht="15" customHeight="1">
      <c r="L924"/>
      <c r="M924"/>
      <c r="O924"/>
      <c r="P924"/>
    </row>
    <row r="925" spans="12:16" ht="15" customHeight="1">
      <c r="L925"/>
      <c r="M925"/>
      <c r="O925"/>
      <c r="P925"/>
    </row>
    <row r="926" spans="12:16" ht="15" customHeight="1">
      <c r="L926"/>
      <c r="M926"/>
      <c r="O926"/>
      <c r="P926"/>
    </row>
    <row r="927" spans="12:16" ht="15" customHeight="1">
      <c r="L927"/>
      <c r="M927"/>
      <c r="O927"/>
      <c r="P927"/>
    </row>
    <row r="928" spans="12:16" ht="15" customHeight="1">
      <c r="L928"/>
      <c r="M928"/>
      <c r="O928"/>
      <c r="P928"/>
    </row>
    <row r="929" spans="12:16" ht="15" customHeight="1">
      <c r="L929"/>
      <c r="M929"/>
      <c r="O929"/>
      <c r="P929"/>
    </row>
    <row r="930" spans="12:16" ht="15" customHeight="1">
      <c r="L930"/>
      <c r="M930"/>
      <c r="O930"/>
      <c r="P930"/>
    </row>
    <row r="931" spans="12:16" ht="15" customHeight="1">
      <c r="L931"/>
      <c r="M931"/>
      <c r="O931"/>
      <c r="P931"/>
    </row>
    <row r="932" spans="12:16" ht="15" customHeight="1">
      <c r="L932"/>
      <c r="M932"/>
      <c r="O932"/>
      <c r="P932"/>
    </row>
    <row r="933" spans="12:16" ht="15" customHeight="1">
      <c r="L933"/>
      <c r="M933"/>
      <c r="O933"/>
      <c r="P933"/>
    </row>
    <row r="934" spans="12:16" ht="15" customHeight="1">
      <c r="L934"/>
      <c r="M934"/>
      <c r="O934"/>
      <c r="P934"/>
    </row>
    <row r="935" spans="12:16" ht="15" customHeight="1">
      <c r="L935"/>
      <c r="M935"/>
      <c r="O935"/>
      <c r="P935"/>
    </row>
    <row r="936" spans="12:16" ht="15" customHeight="1">
      <c r="L936"/>
      <c r="M936"/>
      <c r="O936"/>
      <c r="P936"/>
    </row>
    <row r="937" spans="12:16" ht="15" customHeight="1">
      <c r="L937"/>
      <c r="M937"/>
      <c r="O937"/>
      <c r="P937"/>
    </row>
    <row r="938" spans="12:16" ht="15" customHeight="1">
      <c r="L938"/>
      <c r="M938"/>
      <c r="O938"/>
      <c r="P938"/>
    </row>
    <row r="939" spans="12:16" ht="15" customHeight="1">
      <c r="L939"/>
      <c r="M939"/>
      <c r="O939"/>
      <c r="P939"/>
    </row>
    <row r="940" spans="12:16" ht="15" customHeight="1">
      <c r="L940"/>
      <c r="M940"/>
      <c r="O940"/>
      <c r="P940"/>
    </row>
    <row r="941" spans="12:16" ht="15" customHeight="1">
      <c r="L941"/>
      <c r="M941"/>
      <c r="O941"/>
      <c r="P941"/>
    </row>
    <row r="942" spans="12:16" ht="15" customHeight="1">
      <c r="L942"/>
      <c r="M942"/>
      <c r="O942"/>
      <c r="P942"/>
    </row>
    <row r="943" spans="12:16" ht="15" customHeight="1">
      <c r="L943"/>
      <c r="M943"/>
      <c r="O943"/>
      <c r="P943"/>
    </row>
    <row r="944" spans="12:16" ht="15" customHeight="1">
      <c r="L944"/>
      <c r="M944"/>
      <c r="O944"/>
      <c r="P944"/>
    </row>
    <row r="945" spans="12:16" ht="15" customHeight="1">
      <c r="L945"/>
      <c r="M945"/>
      <c r="O945"/>
      <c r="P945"/>
    </row>
    <row r="946" spans="12:16" ht="15" customHeight="1">
      <c r="L946"/>
      <c r="M946"/>
      <c r="O946"/>
      <c r="P946"/>
    </row>
    <row r="947" spans="12:16" ht="15" customHeight="1">
      <c r="L947"/>
      <c r="M947"/>
      <c r="O947"/>
      <c r="P947"/>
    </row>
    <row r="948" spans="12:16" ht="15" customHeight="1">
      <c r="L948"/>
      <c r="M948"/>
      <c r="O948"/>
      <c r="P948"/>
    </row>
    <row r="949" spans="12:16" ht="15" customHeight="1">
      <c r="L949"/>
      <c r="M949"/>
      <c r="O949"/>
      <c r="P949"/>
    </row>
    <row r="950" spans="12:16" ht="15" customHeight="1">
      <c r="L950"/>
      <c r="M950"/>
      <c r="O950"/>
      <c r="P950"/>
    </row>
    <row r="951" spans="12:16" ht="15" customHeight="1">
      <c r="L951"/>
      <c r="M951"/>
      <c r="O951"/>
      <c r="P951"/>
    </row>
    <row r="952" spans="12:16" ht="15" customHeight="1">
      <c r="L952"/>
      <c r="M952"/>
      <c r="O952"/>
      <c r="P952"/>
    </row>
    <row r="953" spans="12:16" ht="15" customHeight="1">
      <c r="L953"/>
      <c r="M953"/>
      <c r="O953"/>
      <c r="P953"/>
    </row>
    <row r="954" spans="12:16" ht="15" customHeight="1">
      <c r="L954"/>
      <c r="M954"/>
      <c r="O954"/>
      <c r="P954"/>
    </row>
    <row r="955" spans="12:16" ht="15" customHeight="1">
      <c r="L955"/>
      <c r="M955"/>
      <c r="O955"/>
      <c r="P955"/>
    </row>
    <row r="956" spans="12:16" ht="15" customHeight="1">
      <c r="L956"/>
      <c r="M956"/>
      <c r="O956"/>
      <c r="P956"/>
    </row>
    <row r="957" spans="12:16" ht="15" customHeight="1">
      <c r="L957"/>
      <c r="M957"/>
      <c r="O957"/>
      <c r="P957"/>
    </row>
    <row r="958" spans="12:16" ht="15" customHeight="1">
      <c r="L958"/>
      <c r="M958"/>
      <c r="O958"/>
      <c r="P958"/>
    </row>
    <row r="959" spans="12:16" ht="15" customHeight="1">
      <c r="L959"/>
      <c r="M959"/>
      <c r="O959"/>
      <c r="P959"/>
    </row>
    <row r="960" spans="12:16" ht="15" customHeight="1">
      <c r="L960"/>
      <c r="M960"/>
      <c r="O960"/>
      <c r="P960"/>
    </row>
    <row r="961" spans="12:16" ht="15" customHeight="1">
      <c r="L961"/>
      <c r="M961"/>
      <c r="O961"/>
      <c r="P961"/>
    </row>
    <row r="962" spans="12:16" ht="15" customHeight="1">
      <c r="L962"/>
      <c r="M962"/>
      <c r="O962"/>
      <c r="P962"/>
    </row>
    <row r="963" spans="12:16" ht="15" customHeight="1">
      <c r="L963"/>
      <c r="M963"/>
      <c r="O963"/>
      <c r="P963"/>
    </row>
    <row r="964" spans="12:16" ht="15" customHeight="1">
      <c r="L964"/>
      <c r="M964"/>
      <c r="O964"/>
      <c r="P964"/>
    </row>
    <row r="965" spans="12:16" ht="15" customHeight="1">
      <c r="L965"/>
      <c r="M965"/>
      <c r="O965"/>
      <c r="P965"/>
    </row>
    <row r="966" spans="12:16" ht="15" customHeight="1">
      <c r="L966"/>
      <c r="M966"/>
      <c r="O966"/>
      <c r="P966"/>
    </row>
    <row r="967" spans="12:16" ht="15" customHeight="1">
      <c r="L967"/>
      <c r="M967"/>
      <c r="O967"/>
      <c r="P967"/>
    </row>
    <row r="968" spans="12:16" ht="15" customHeight="1">
      <c r="L968"/>
      <c r="M968"/>
      <c r="O968"/>
      <c r="P968"/>
    </row>
    <row r="969" spans="12:16" ht="15" customHeight="1">
      <c r="L969"/>
      <c r="M969"/>
      <c r="O969"/>
      <c r="P969"/>
    </row>
    <row r="970" spans="12:16" ht="15" customHeight="1">
      <c r="L970"/>
      <c r="M970"/>
      <c r="O970"/>
      <c r="P970"/>
    </row>
    <row r="971" spans="12:16" ht="15" customHeight="1">
      <c r="L971"/>
      <c r="M971"/>
      <c r="O971"/>
      <c r="P971"/>
    </row>
    <row r="972" spans="12:16" ht="15" customHeight="1">
      <c r="L972"/>
      <c r="M972"/>
      <c r="O972"/>
      <c r="P972"/>
    </row>
    <row r="973" spans="12:16" ht="15" customHeight="1">
      <c r="L973"/>
      <c r="M973"/>
      <c r="O973"/>
      <c r="P973"/>
    </row>
    <row r="974" spans="12:16" ht="15" customHeight="1">
      <c r="L974"/>
      <c r="M974"/>
      <c r="O974"/>
      <c r="P974"/>
    </row>
    <row r="975" spans="12:16" ht="15" customHeight="1">
      <c r="L975"/>
      <c r="M975"/>
      <c r="O975"/>
      <c r="P975"/>
    </row>
    <row r="976" spans="12:16" ht="15" customHeight="1">
      <c r="L976"/>
      <c r="M976"/>
      <c r="O976"/>
      <c r="P976"/>
    </row>
    <row r="977" spans="12:16" ht="15" customHeight="1">
      <c r="L977"/>
      <c r="M977"/>
      <c r="O977"/>
      <c r="P977"/>
    </row>
    <row r="978" spans="12:16" ht="15" customHeight="1">
      <c r="L978"/>
      <c r="M978"/>
      <c r="O978"/>
      <c r="P978"/>
    </row>
    <row r="979" spans="12:16" ht="15" customHeight="1">
      <c r="L979"/>
      <c r="M979"/>
      <c r="O979"/>
      <c r="P979"/>
    </row>
    <row r="980" spans="12:16" ht="15" customHeight="1">
      <c r="L980"/>
      <c r="M980"/>
      <c r="O980"/>
      <c r="P980"/>
    </row>
    <row r="981" spans="12:16" ht="15" customHeight="1">
      <c r="L981"/>
      <c r="M981"/>
      <c r="O981"/>
      <c r="P981"/>
    </row>
    <row r="982" spans="12:16" ht="15" customHeight="1">
      <c r="L982"/>
      <c r="M982"/>
      <c r="O982"/>
      <c r="P982"/>
    </row>
    <row r="983" spans="12:16" ht="15" customHeight="1">
      <c r="L983"/>
      <c r="M983"/>
      <c r="O983"/>
      <c r="P983"/>
    </row>
    <row r="984" spans="12:16" ht="15" customHeight="1">
      <c r="L984"/>
      <c r="M984"/>
      <c r="O984"/>
      <c r="P984"/>
    </row>
    <row r="985" spans="12:16" ht="15" customHeight="1">
      <c r="L985"/>
      <c r="M985"/>
      <c r="O985"/>
      <c r="P985"/>
    </row>
    <row r="986" spans="12:16" ht="15" customHeight="1">
      <c r="L986"/>
      <c r="M986"/>
      <c r="O986"/>
      <c r="P986"/>
    </row>
    <row r="987" spans="12:16" ht="15" customHeight="1">
      <c r="L987"/>
      <c r="M987"/>
      <c r="O987"/>
      <c r="P987"/>
    </row>
    <row r="988" spans="12:16" ht="15" customHeight="1">
      <c r="L988"/>
      <c r="M988"/>
      <c r="O988"/>
      <c r="P988"/>
    </row>
    <row r="989" spans="12:16" ht="15" customHeight="1">
      <c r="L989"/>
      <c r="M989"/>
      <c r="O989"/>
      <c r="P989"/>
    </row>
    <row r="990" spans="12:16" ht="15" customHeight="1">
      <c r="L990"/>
      <c r="M990"/>
      <c r="O990"/>
      <c r="P990"/>
    </row>
    <row r="991" spans="12:16" ht="15" customHeight="1">
      <c r="L991"/>
      <c r="M991"/>
      <c r="O991"/>
      <c r="P991"/>
    </row>
    <row r="992" spans="12:16" ht="15" customHeight="1">
      <c r="L992"/>
      <c r="M992"/>
      <c r="O992"/>
      <c r="P992"/>
    </row>
    <row r="993" spans="12:16" ht="15" customHeight="1">
      <c r="L993"/>
      <c r="M993"/>
      <c r="O993"/>
      <c r="P993"/>
    </row>
    <row r="994" spans="12:16" ht="15" customHeight="1">
      <c r="L994"/>
      <c r="M994"/>
      <c r="O994"/>
      <c r="P994"/>
    </row>
    <row r="995" spans="12:16" ht="15" customHeight="1">
      <c r="L995"/>
      <c r="M995"/>
      <c r="O995"/>
      <c r="P995"/>
    </row>
    <row r="996" spans="12:16" ht="15" customHeight="1">
      <c r="L996"/>
      <c r="M996"/>
      <c r="O996"/>
      <c r="P996"/>
    </row>
    <row r="997" spans="12:16" ht="15" customHeight="1">
      <c r="L997"/>
      <c r="M997"/>
      <c r="O997"/>
      <c r="P997"/>
    </row>
    <row r="998" spans="12:16" ht="15" customHeight="1">
      <c r="L998"/>
      <c r="M998"/>
      <c r="O998"/>
      <c r="P998"/>
    </row>
    <row r="999" spans="12:16" ht="15" customHeight="1">
      <c r="L999"/>
      <c r="M999"/>
      <c r="O999"/>
      <c r="P999"/>
    </row>
    <row r="1000" spans="12:16" ht="15" customHeight="1">
      <c r="L1000"/>
      <c r="M1000"/>
      <c r="O1000"/>
      <c r="P1000"/>
    </row>
    <row r="1001" spans="12:16">
      <c r="L1001"/>
      <c r="M1001"/>
      <c r="O1001"/>
      <c r="P1001"/>
    </row>
    <row r="1002" spans="12:16">
      <c r="L1002"/>
      <c r="M1002"/>
      <c r="O1002"/>
      <c r="P1002"/>
    </row>
    <row r="1003" spans="12:16">
      <c r="L1003"/>
      <c r="M1003"/>
      <c r="O1003"/>
      <c r="P1003"/>
    </row>
    <row r="1004" spans="12:16">
      <c r="L1004"/>
      <c r="M1004"/>
      <c r="O1004"/>
      <c r="P1004"/>
    </row>
    <row r="1005" spans="12:16">
      <c r="L1005"/>
      <c r="M1005"/>
      <c r="O1005"/>
      <c r="P1005"/>
    </row>
    <row r="1006" spans="12:16">
      <c r="L1006"/>
      <c r="M1006"/>
      <c r="O1006"/>
      <c r="P1006"/>
    </row>
    <row r="1007" spans="12:16">
      <c r="L1007"/>
      <c r="M1007"/>
      <c r="O1007"/>
      <c r="P1007"/>
    </row>
    <row r="1008" spans="12:16">
      <c r="L1008"/>
      <c r="M1008"/>
      <c r="O1008"/>
      <c r="P1008"/>
    </row>
    <row r="1009" spans="12:16">
      <c r="L1009"/>
      <c r="M1009"/>
      <c r="O1009"/>
      <c r="P1009"/>
    </row>
    <row r="1010" spans="12:16">
      <c r="L1010"/>
      <c r="M1010"/>
      <c r="O1010"/>
      <c r="P1010"/>
    </row>
    <row r="1011" spans="12:16">
      <c r="L1011"/>
      <c r="M1011"/>
      <c r="O1011"/>
      <c r="P1011"/>
    </row>
    <row r="1012" spans="12:16">
      <c r="L1012"/>
      <c r="M1012"/>
      <c r="O1012"/>
      <c r="P1012"/>
    </row>
    <row r="1013" spans="12:16">
      <c r="L1013"/>
      <c r="M1013"/>
      <c r="O1013"/>
      <c r="P1013"/>
    </row>
    <row r="1014" spans="12:16">
      <c r="L1014"/>
      <c r="M1014"/>
      <c r="O1014"/>
      <c r="P1014"/>
    </row>
    <row r="1015" spans="12:16">
      <c r="L1015"/>
      <c r="M1015"/>
      <c r="O1015"/>
      <c r="P1015"/>
    </row>
    <row r="1016" spans="12:16">
      <c r="L1016"/>
      <c r="M1016"/>
      <c r="O1016"/>
      <c r="P1016"/>
    </row>
    <row r="1017" spans="12:16">
      <c r="L1017"/>
      <c r="M1017"/>
      <c r="O1017"/>
      <c r="P1017"/>
    </row>
    <row r="1018" spans="12:16">
      <c r="L1018"/>
      <c r="M1018"/>
      <c r="O1018"/>
      <c r="P1018"/>
    </row>
    <row r="1019" spans="12:16">
      <c r="L1019"/>
      <c r="M1019"/>
      <c r="O1019"/>
      <c r="P1019"/>
    </row>
    <row r="1020" spans="12:16">
      <c r="L1020"/>
      <c r="M1020"/>
      <c r="O1020"/>
      <c r="P1020"/>
    </row>
    <row r="1021" spans="12:16">
      <c r="L1021"/>
      <c r="M1021"/>
      <c r="O1021"/>
      <c r="P1021"/>
    </row>
    <row r="1022" spans="12:16">
      <c r="L1022"/>
      <c r="M1022"/>
      <c r="O1022"/>
      <c r="P1022"/>
    </row>
    <row r="1023" spans="12:16">
      <c r="L1023"/>
      <c r="M1023"/>
      <c r="O1023"/>
      <c r="P1023"/>
    </row>
    <row r="1024" spans="12:16">
      <c r="L1024"/>
      <c r="M1024"/>
      <c r="O1024"/>
      <c r="P1024"/>
    </row>
    <row r="1025" spans="12:16">
      <c r="L1025"/>
      <c r="M1025"/>
      <c r="O1025"/>
      <c r="P1025"/>
    </row>
    <row r="1026" spans="12:16">
      <c r="L1026"/>
      <c r="M1026"/>
      <c r="O1026"/>
      <c r="P1026"/>
    </row>
    <row r="1027" spans="12:16">
      <c r="L1027"/>
      <c r="M1027"/>
      <c r="O1027"/>
      <c r="P1027"/>
    </row>
    <row r="1028" spans="12:16">
      <c r="L1028"/>
      <c r="M1028"/>
      <c r="O1028"/>
      <c r="P1028"/>
    </row>
    <row r="1029" spans="12:16">
      <c r="L1029"/>
      <c r="M1029"/>
      <c r="O1029"/>
      <c r="P1029"/>
    </row>
    <row r="1030" spans="12:16">
      <c r="L1030"/>
      <c r="M1030"/>
      <c r="O1030"/>
      <c r="P1030"/>
    </row>
    <row r="1031" spans="12:16">
      <c r="L1031"/>
      <c r="M1031"/>
      <c r="O1031"/>
      <c r="P1031"/>
    </row>
    <row r="1032" spans="12:16">
      <c r="L1032"/>
      <c r="M1032"/>
      <c r="O1032"/>
      <c r="P1032"/>
    </row>
    <row r="1033" spans="12:16">
      <c r="L1033"/>
      <c r="M1033"/>
      <c r="O1033"/>
      <c r="P1033"/>
    </row>
    <row r="1034" spans="12:16">
      <c r="L1034"/>
      <c r="M1034"/>
      <c r="O1034"/>
      <c r="P1034"/>
    </row>
    <row r="1035" spans="12:16">
      <c r="L1035"/>
      <c r="M1035"/>
      <c r="O1035"/>
      <c r="P1035"/>
    </row>
    <row r="1036" spans="12:16">
      <c r="L1036"/>
      <c r="M1036"/>
      <c r="O1036"/>
      <c r="P1036"/>
    </row>
    <row r="1037" spans="12:16">
      <c r="L1037"/>
      <c r="M1037"/>
      <c r="O1037"/>
      <c r="P1037"/>
    </row>
    <row r="1038" spans="12:16">
      <c r="L1038"/>
      <c r="M1038"/>
      <c r="O1038"/>
      <c r="P1038"/>
    </row>
    <row r="1039" spans="12:16">
      <c r="L1039"/>
      <c r="M1039"/>
      <c r="O1039"/>
      <c r="P1039"/>
    </row>
    <row r="1040" spans="12:16">
      <c r="L1040"/>
      <c r="M1040"/>
      <c r="O1040"/>
      <c r="P1040"/>
    </row>
    <row r="1041" spans="12:16">
      <c r="L1041"/>
      <c r="M1041"/>
      <c r="O1041"/>
      <c r="P1041"/>
    </row>
    <row r="1042" spans="12:16">
      <c r="L1042"/>
      <c r="M1042"/>
      <c r="O1042"/>
      <c r="P1042"/>
    </row>
    <row r="1043" spans="12:16">
      <c r="L1043"/>
      <c r="M1043"/>
      <c r="O1043"/>
      <c r="P1043"/>
    </row>
    <row r="1044" spans="12:16">
      <c r="L1044"/>
      <c r="M1044"/>
      <c r="O1044"/>
      <c r="P1044"/>
    </row>
    <row r="1045" spans="12:16">
      <c r="L1045"/>
      <c r="M1045"/>
      <c r="O1045"/>
      <c r="P1045"/>
    </row>
    <row r="1046" spans="12:16">
      <c r="L1046"/>
      <c r="M1046"/>
      <c r="O1046"/>
      <c r="P1046"/>
    </row>
    <row r="1047" spans="12:16">
      <c r="L1047"/>
      <c r="M1047"/>
      <c r="O1047"/>
      <c r="P1047"/>
    </row>
    <row r="1048" spans="12:16">
      <c r="L1048"/>
      <c r="M1048"/>
      <c r="O1048"/>
      <c r="P1048"/>
    </row>
    <row r="1049" spans="12:16">
      <c r="L1049"/>
      <c r="M1049"/>
      <c r="O1049"/>
      <c r="P1049"/>
    </row>
    <row r="1050" spans="12:16">
      <c r="L1050"/>
      <c r="M1050"/>
      <c r="O1050"/>
      <c r="P1050"/>
    </row>
    <row r="1051" spans="12:16">
      <c r="L1051"/>
      <c r="M1051"/>
      <c r="O1051"/>
      <c r="P1051"/>
    </row>
    <row r="1052" spans="12:16">
      <c r="L1052"/>
      <c r="M1052"/>
      <c r="O1052"/>
      <c r="P1052"/>
    </row>
    <row r="1053" spans="12:16">
      <c r="L1053"/>
      <c r="M1053"/>
      <c r="O1053"/>
      <c r="P1053"/>
    </row>
    <row r="1054" spans="12:16">
      <c r="L1054"/>
      <c r="M1054"/>
      <c r="O1054"/>
      <c r="P1054"/>
    </row>
    <row r="1055" spans="12:16">
      <c r="L1055"/>
      <c r="M1055"/>
      <c r="O1055"/>
      <c r="P1055"/>
    </row>
    <row r="1056" spans="12:16">
      <c r="L1056"/>
      <c r="M1056"/>
      <c r="O1056"/>
      <c r="P1056"/>
    </row>
    <row r="1057" spans="12:16">
      <c r="L1057"/>
      <c r="M1057"/>
      <c r="O1057"/>
      <c r="P1057"/>
    </row>
    <row r="1058" spans="12:16">
      <c r="L1058"/>
      <c r="M1058"/>
      <c r="O1058"/>
      <c r="P1058"/>
    </row>
    <row r="1059" spans="12:16">
      <c r="L1059"/>
      <c r="M1059"/>
      <c r="O1059"/>
      <c r="P1059"/>
    </row>
    <row r="1060" spans="12:16">
      <c r="L1060"/>
      <c r="M1060"/>
      <c r="O1060"/>
      <c r="P1060"/>
    </row>
    <row r="1061" spans="12:16">
      <c r="L1061"/>
      <c r="M1061"/>
      <c r="O1061"/>
      <c r="P1061"/>
    </row>
    <row r="1062" spans="12:16">
      <c r="L1062"/>
      <c r="M1062"/>
      <c r="O1062"/>
      <c r="P1062"/>
    </row>
    <row r="1063" spans="12:16">
      <c r="L1063"/>
      <c r="M1063"/>
      <c r="O1063"/>
      <c r="P1063"/>
    </row>
    <row r="1064" spans="12:16">
      <c r="L1064"/>
      <c r="M1064"/>
      <c r="O1064"/>
      <c r="P1064"/>
    </row>
    <row r="1065" spans="12:16">
      <c r="L1065"/>
      <c r="M1065"/>
      <c r="O1065"/>
      <c r="P1065"/>
    </row>
    <row r="1066" spans="12:16">
      <c r="L1066"/>
      <c r="M1066"/>
      <c r="O1066"/>
      <c r="P1066"/>
    </row>
    <row r="1067" spans="12:16">
      <c r="L1067"/>
      <c r="M1067"/>
      <c r="O1067"/>
      <c r="P1067"/>
    </row>
    <row r="1068" spans="12:16">
      <c r="L1068"/>
      <c r="M1068"/>
      <c r="O1068"/>
      <c r="P1068"/>
    </row>
    <row r="1069" spans="12:16">
      <c r="L1069"/>
      <c r="M1069"/>
      <c r="O1069"/>
      <c r="P1069"/>
    </row>
    <row r="1070" spans="12:16">
      <c r="L1070"/>
      <c r="M1070"/>
      <c r="O1070"/>
      <c r="P1070"/>
    </row>
    <row r="1071" spans="12:16">
      <c r="L1071"/>
      <c r="M1071"/>
      <c r="O1071"/>
      <c r="P1071"/>
    </row>
    <row r="1072" spans="12:16">
      <c r="L1072"/>
      <c r="M1072"/>
      <c r="O1072"/>
      <c r="P1072"/>
    </row>
    <row r="1073" spans="12:16">
      <c r="L1073"/>
      <c r="M1073"/>
      <c r="O1073"/>
      <c r="P1073"/>
    </row>
    <row r="1074" spans="12:16">
      <c r="L1074"/>
      <c r="M1074"/>
      <c r="O1074"/>
      <c r="P1074"/>
    </row>
    <row r="1075" spans="12:16">
      <c r="L1075"/>
      <c r="M1075"/>
      <c r="O1075"/>
      <c r="P1075"/>
    </row>
    <row r="1076" spans="12:16">
      <c r="L1076"/>
      <c r="M1076"/>
      <c r="O1076"/>
      <c r="P1076"/>
    </row>
    <row r="1077" spans="12:16">
      <c r="L1077"/>
      <c r="M1077"/>
      <c r="O1077"/>
      <c r="P1077"/>
    </row>
    <row r="1078" spans="12:16">
      <c r="L1078"/>
      <c r="M1078"/>
      <c r="O1078"/>
      <c r="P1078"/>
    </row>
    <row r="1079" spans="12:16">
      <c r="L1079"/>
      <c r="M1079"/>
      <c r="O1079"/>
      <c r="P1079"/>
    </row>
    <row r="1080" spans="12:16">
      <c r="L1080"/>
      <c r="M1080"/>
      <c r="O1080"/>
      <c r="P1080"/>
    </row>
    <row r="1081" spans="12:16">
      <c r="L1081"/>
      <c r="M1081"/>
      <c r="O1081"/>
      <c r="P1081"/>
    </row>
    <row r="1082" spans="12:16">
      <c r="L1082"/>
      <c r="M1082"/>
      <c r="O1082"/>
      <c r="P1082"/>
    </row>
    <row r="1083" spans="12:16">
      <c r="L1083"/>
      <c r="M1083"/>
      <c r="O1083"/>
      <c r="P1083"/>
    </row>
    <row r="1084" spans="12:16">
      <c r="L1084"/>
      <c r="M1084"/>
      <c r="O1084"/>
      <c r="P1084"/>
    </row>
    <row r="1085" spans="12:16">
      <c r="L1085"/>
      <c r="M1085"/>
      <c r="O1085"/>
      <c r="P1085"/>
    </row>
    <row r="1086" spans="12:16">
      <c r="L1086"/>
      <c r="M1086"/>
      <c r="O1086"/>
      <c r="P1086"/>
    </row>
    <row r="1087" spans="12:16">
      <c r="L1087"/>
      <c r="M1087"/>
      <c r="O1087"/>
      <c r="P1087"/>
    </row>
    <row r="1088" spans="12:16">
      <c r="L1088"/>
      <c r="M1088"/>
      <c r="O1088"/>
      <c r="P1088"/>
    </row>
    <row r="1089" spans="12:16">
      <c r="L1089"/>
      <c r="M1089"/>
      <c r="O1089"/>
      <c r="P1089"/>
    </row>
    <row r="1090" spans="12:16">
      <c r="L1090"/>
      <c r="M1090"/>
      <c r="O1090"/>
      <c r="P1090"/>
    </row>
    <row r="1091" spans="12:16">
      <c r="L1091"/>
      <c r="M1091"/>
      <c r="O1091"/>
      <c r="P1091"/>
    </row>
    <row r="1092" spans="12:16">
      <c r="L1092"/>
      <c r="M1092"/>
      <c r="O1092"/>
      <c r="P1092"/>
    </row>
    <row r="1093" spans="12:16">
      <c r="L1093"/>
      <c r="M1093"/>
      <c r="O1093"/>
      <c r="P1093"/>
    </row>
    <row r="1094" spans="12:16">
      <c r="L1094"/>
      <c r="M1094"/>
      <c r="O1094"/>
      <c r="P1094"/>
    </row>
    <row r="1095" spans="12:16">
      <c r="L1095"/>
      <c r="M1095"/>
      <c r="O1095"/>
      <c r="P1095"/>
    </row>
    <row r="1096" spans="12:16">
      <c r="L1096"/>
      <c r="M1096"/>
      <c r="O1096"/>
      <c r="P1096"/>
    </row>
    <row r="1097" spans="12:16">
      <c r="L1097"/>
      <c r="M1097"/>
      <c r="O1097"/>
      <c r="P1097"/>
    </row>
    <row r="1098" spans="12:16">
      <c r="L1098"/>
      <c r="M1098"/>
      <c r="O1098"/>
      <c r="P1098"/>
    </row>
    <row r="1099" spans="12:16">
      <c r="L1099"/>
      <c r="M1099"/>
      <c r="O1099"/>
      <c r="P1099"/>
    </row>
    <row r="1100" spans="12:16">
      <c r="L1100"/>
      <c r="M1100"/>
      <c r="O1100"/>
      <c r="P1100"/>
    </row>
    <row r="1101" spans="12:16">
      <c r="L1101"/>
      <c r="M1101"/>
      <c r="O1101"/>
      <c r="P1101"/>
    </row>
    <row r="1102" spans="12:16">
      <c r="L1102"/>
      <c r="M1102"/>
      <c r="O1102"/>
      <c r="P1102"/>
    </row>
    <row r="1103" spans="12:16">
      <c r="L1103"/>
      <c r="M1103"/>
      <c r="O1103"/>
      <c r="P1103"/>
    </row>
    <row r="1104" spans="12:16">
      <c r="L1104"/>
      <c r="M1104"/>
      <c r="O1104"/>
      <c r="P1104"/>
    </row>
    <row r="1105" spans="12:16">
      <c r="L1105"/>
      <c r="M1105"/>
      <c r="O1105"/>
      <c r="P1105"/>
    </row>
    <row r="1106" spans="12:16">
      <c r="L1106"/>
      <c r="M1106"/>
      <c r="O1106"/>
      <c r="P1106"/>
    </row>
    <row r="1107" spans="12:16">
      <c r="L1107"/>
      <c r="M1107"/>
      <c r="O1107"/>
      <c r="P1107"/>
    </row>
    <row r="1108" spans="12:16">
      <c r="L1108"/>
      <c r="M1108"/>
      <c r="O1108"/>
      <c r="P1108"/>
    </row>
    <row r="1109" spans="12:16">
      <c r="L1109"/>
      <c r="M1109"/>
      <c r="O1109"/>
      <c r="P1109"/>
    </row>
    <row r="1110" spans="12:16">
      <c r="L1110"/>
      <c r="M1110"/>
      <c r="O1110"/>
      <c r="P1110"/>
    </row>
    <row r="1111" spans="12:16">
      <c r="L1111"/>
      <c r="M1111"/>
      <c r="O1111"/>
      <c r="P1111"/>
    </row>
    <row r="1112" spans="12:16">
      <c r="L1112"/>
      <c r="M1112"/>
      <c r="O1112"/>
      <c r="P1112"/>
    </row>
    <row r="1113" spans="12:16">
      <c r="L1113"/>
      <c r="M1113"/>
      <c r="O1113"/>
      <c r="P1113"/>
    </row>
    <row r="1114" spans="12:16">
      <c r="L1114"/>
      <c r="M1114"/>
      <c r="O1114"/>
      <c r="P1114"/>
    </row>
    <row r="1115" spans="12:16">
      <c r="L1115"/>
      <c r="M1115"/>
      <c r="O1115"/>
      <c r="P1115"/>
    </row>
    <row r="1116" spans="12:16">
      <c r="L1116"/>
      <c r="M1116"/>
      <c r="O1116"/>
      <c r="P1116"/>
    </row>
    <row r="1117" spans="12:16">
      <c r="L1117"/>
      <c r="M1117"/>
      <c r="O1117"/>
      <c r="P1117"/>
    </row>
    <row r="1118" spans="12:16">
      <c r="L1118"/>
      <c r="M1118"/>
      <c r="O1118"/>
      <c r="P1118"/>
    </row>
    <row r="1119" spans="12:16">
      <c r="L1119"/>
      <c r="M1119"/>
      <c r="O1119"/>
      <c r="P1119"/>
    </row>
    <row r="1120" spans="12:16">
      <c r="L1120"/>
      <c r="M1120"/>
      <c r="O1120"/>
      <c r="P1120"/>
    </row>
    <row r="1121" spans="12:16">
      <c r="L1121"/>
      <c r="M1121"/>
      <c r="O1121"/>
      <c r="P1121"/>
    </row>
    <row r="1122" spans="12:16">
      <c r="L1122"/>
      <c r="M1122"/>
      <c r="O1122"/>
      <c r="P1122"/>
    </row>
    <row r="1123" spans="12:16">
      <c r="L1123"/>
      <c r="M1123"/>
      <c r="O1123"/>
      <c r="P1123"/>
    </row>
    <row r="1124" spans="12:16">
      <c r="L1124"/>
      <c r="M1124"/>
      <c r="O1124"/>
      <c r="P1124"/>
    </row>
    <row r="1125" spans="12:16">
      <c r="L1125"/>
      <c r="M1125"/>
      <c r="O1125"/>
      <c r="P1125"/>
    </row>
    <row r="1126" spans="12:16">
      <c r="L1126"/>
      <c r="M1126"/>
      <c r="O1126"/>
      <c r="P1126"/>
    </row>
    <row r="1127" spans="12:16">
      <c r="L1127"/>
      <c r="M1127"/>
      <c r="O1127"/>
      <c r="P1127"/>
    </row>
    <row r="1128" spans="12:16">
      <c r="L1128"/>
      <c r="M1128"/>
      <c r="O1128"/>
      <c r="P1128"/>
    </row>
    <row r="1129" spans="12:16">
      <c r="L1129"/>
      <c r="M1129"/>
      <c r="O1129"/>
      <c r="P1129"/>
    </row>
    <row r="1130" spans="12:16">
      <c r="L1130"/>
      <c r="M1130"/>
      <c r="O1130"/>
      <c r="P1130"/>
    </row>
    <row r="1131" spans="12:16">
      <c r="L1131"/>
      <c r="M1131"/>
      <c r="O1131"/>
      <c r="P1131"/>
    </row>
    <row r="1132" spans="12:16">
      <c r="L1132"/>
      <c r="M1132"/>
      <c r="O1132"/>
      <c r="P1132"/>
    </row>
    <row r="1133" spans="12:16">
      <c r="L1133"/>
      <c r="M1133"/>
      <c r="O1133"/>
      <c r="P1133"/>
    </row>
    <row r="1134" spans="12:16">
      <c r="L1134"/>
      <c r="M1134"/>
      <c r="O1134"/>
      <c r="P1134"/>
    </row>
    <row r="1135" spans="12:16">
      <c r="L1135"/>
      <c r="M1135"/>
      <c r="O1135"/>
      <c r="P1135"/>
    </row>
    <row r="1136" spans="12:16">
      <c r="L1136"/>
      <c r="M1136"/>
      <c r="O1136"/>
      <c r="P1136"/>
    </row>
    <row r="1137" spans="12:16">
      <c r="L1137"/>
      <c r="M1137"/>
      <c r="O1137"/>
      <c r="P1137"/>
    </row>
    <row r="1138" spans="12:16">
      <c r="L1138"/>
      <c r="M1138"/>
      <c r="O1138"/>
      <c r="P1138"/>
    </row>
    <row r="1139" spans="12:16">
      <c r="L1139"/>
      <c r="M1139"/>
      <c r="O1139"/>
      <c r="P1139"/>
    </row>
    <row r="1140" spans="12:16">
      <c r="L1140"/>
      <c r="M1140"/>
      <c r="O1140"/>
      <c r="P1140"/>
    </row>
    <row r="1141" spans="12:16">
      <c r="L1141"/>
      <c r="M1141"/>
      <c r="O1141"/>
      <c r="P1141"/>
    </row>
    <row r="1142" spans="12:16">
      <c r="L1142"/>
      <c r="M1142"/>
      <c r="O1142"/>
      <c r="P1142"/>
    </row>
    <row r="1143" spans="12:16">
      <c r="L1143"/>
      <c r="M1143"/>
      <c r="O1143"/>
      <c r="P1143"/>
    </row>
    <row r="1144" spans="12:16">
      <c r="L1144"/>
      <c r="M1144"/>
      <c r="O1144"/>
      <c r="P1144"/>
    </row>
    <row r="1145" spans="12:16">
      <c r="L1145"/>
      <c r="M1145"/>
      <c r="O1145"/>
      <c r="P1145"/>
    </row>
    <row r="1146" spans="12:16">
      <c r="L1146"/>
      <c r="M1146"/>
      <c r="O1146"/>
      <c r="P1146"/>
    </row>
    <row r="1147" spans="12:16">
      <c r="L1147"/>
      <c r="M1147"/>
      <c r="O1147"/>
      <c r="P1147"/>
    </row>
    <row r="1148" spans="12:16">
      <c r="L1148"/>
      <c r="M1148"/>
      <c r="O1148"/>
      <c r="P1148"/>
    </row>
    <row r="1149" spans="12:16">
      <c r="L1149"/>
      <c r="M1149"/>
      <c r="O1149"/>
      <c r="P1149"/>
    </row>
    <row r="1150" spans="12:16">
      <c r="L1150"/>
      <c r="M1150"/>
      <c r="O1150"/>
      <c r="P1150"/>
    </row>
    <row r="1151" spans="12:16">
      <c r="L1151"/>
      <c r="M1151"/>
      <c r="O1151"/>
      <c r="P1151"/>
    </row>
    <row r="1152" spans="12:16">
      <c r="L1152"/>
      <c r="M1152"/>
      <c r="O1152"/>
      <c r="P1152"/>
    </row>
    <row r="1153" spans="12:16">
      <c r="L1153"/>
      <c r="M1153"/>
      <c r="O1153"/>
      <c r="P1153"/>
    </row>
    <row r="1154" spans="12:16">
      <c r="L1154"/>
      <c r="M1154"/>
      <c r="O1154"/>
      <c r="P1154"/>
    </row>
    <row r="1155" spans="12:16">
      <c r="L1155"/>
      <c r="M1155"/>
      <c r="O1155"/>
      <c r="P1155"/>
    </row>
    <row r="1156" spans="12:16">
      <c r="L1156"/>
      <c r="M1156"/>
      <c r="O1156"/>
      <c r="P1156"/>
    </row>
    <row r="1157" spans="12:16">
      <c r="L1157"/>
      <c r="M1157"/>
      <c r="O1157"/>
      <c r="P1157"/>
    </row>
    <row r="1158" spans="12:16">
      <c r="L1158"/>
      <c r="M1158"/>
      <c r="O1158"/>
      <c r="P1158"/>
    </row>
    <row r="1159" spans="12:16">
      <c r="L1159"/>
      <c r="M1159"/>
      <c r="O1159"/>
      <c r="P1159"/>
    </row>
    <row r="1160" spans="12:16">
      <c r="L1160"/>
      <c r="M1160"/>
      <c r="O1160"/>
      <c r="P1160"/>
    </row>
    <row r="1161" spans="12:16">
      <c r="L1161"/>
      <c r="M1161"/>
      <c r="O1161"/>
      <c r="P1161"/>
    </row>
    <row r="1162" spans="12:16">
      <c r="L1162"/>
      <c r="M1162"/>
      <c r="O1162"/>
      <c r="P1162"/>
    </row>
    <row r="1163" spans="12:16">
      <c r="L1163"/>
      <c r="M1163"/>
      <c r="O1163"/>
      <c r="P1163"/>
    </row>
    <row r="1164" spans="12:16">
      <c r="L1164"/>
      <c r="M1164"/>
      <c r="O1164"/>
      <c r="P1164"/>
    </row>
    <row r="1165" spans="12:16">
      <c r="L1165"/>
      <c r="M1165"/>
      <c r="O1165"/>
      <c r="P1165"/>
    </row>
    <row r="1166" spans="12:16">
      <c r="L1166"/>
      <c r="M1166"/>
      <c r="O1166"/>
      <c r="P1166"/>
    </row>
    <row r="1167" spans="12:16">
      <c r="L1167"/>
      <c r="M1167"/>
      <c r="O1167"/>
      <c r="P1167"/>
    </row>
    <row r="1168" spans="12:16">
      <c r="L1168"/>
      <c r="M1168"/>
      <c r="O1168"/>
      <c r="P1168"/>
    </row>
    <row r="1169" spans="12:16">
      <c r="L1169"/>
      <c r="M1169"/>
      <c r="O1169"/>
      <c r="P1169"/>
    </row>
    <row r="1170" spans="12:16">
      <c r="L1170"/>
      <c r="M1170"/>
      <c r="O1170"/>
      <c r="P1170"/>
    </row>
    <row r="1171" spans="12:16">
      <c r="L1171"/>
      <c r="M1171"/>
      <c r="O1171"/>
      <c r="P1171"/>
    </row>
    <row r="1172" spans="12:16">
      <c r="L1172"/>
      <c r="M1172"/>
      <c r="O1172"/>
      <c r="P1172"/>
    </row>
    <row r="1173" spans="12:16">
      <c r="L1173"/>
      <c r="M1173"/>
      <c r="O1173"/>
      <c r="P1173"/>
    </row>
    <row r="1174" spans="12:16">
      <c r="L1174"/>
      <c r="M1174"/>
      <c r="O1174"/>
      <c r="P1174"/>
    </row>
    <row r="1175" spans="12:16">
      <c r="L1175"/>
      <c r="M1175"/>
      <c r="O1175"/>
      <c r="P1175"/>
    </row>
    <row r="1176" spans="12:16">
      <c r="L1176"/>
      <c r="M1176"/>
      <c r="O1176"/>
      <c r="P1176"/>
    </row>
    <row r="1177" spans="12:16">
      <c r="L1177"/>
      <c r="M1177"/>
      <c r="O1177"/>
      <c r="P1177"/>
    </row>
    <row r="1178" spans="12:16">
      <c r="L1178"/>
      <c r="M1178"/>
      <c r="O1178"/>
      <c r="P1178"/>
    </row>
    <row r="1179" spans="12:16">
      <c r="L1179"/>
      <c r="M1179"/>
      <c r="O1179"/>
      <c r="P1179"/>
    </row>
    <row r="1180" spans="12:16">
      <c r="L1180"/>
      <c r="M1180"/>
      <c r="O1180"/>
      <c r="P1180"/>
    </row>
    <row r="1181" spans="12:16">
      <c r="L1181"/>
      <c r="M1181"/>
      <c r="O1181"/>
      <c r="P1181"/>
    </row>
    <row r="1182" spans="12:16">
      <c r="L1182"/>
      <c r="M1182"/>
      <c r="O1182"/>
      <c r="P1182"/>
    </row>
    <row r="1183" spans="12:16">
      <c r="L1183"/>
      <c r="M1183"/>
      <c r="O1183"/>
      <c r="P1183"/>
    </row>
    <row r="1184" spans="12:16">
      <c r="L1184"/>
      <c r="M1184"/>
      <c r="O1184"/>
      <c r="P1184"/>
    </row>
    <row r="1185" spans="12:16">
      <c r="L1185"/>
      <c r="M1185"/>
      <c r="O1185"/>
      <c r="P1185"/>
    </row>
    <row r="1186" spans="12:16">
      <c r="L1186"/>
      <c r="M1186"/>
      <c r="O1186"/>
      <c r="P1186"/>
    </row>
    <row r="1187" spans="12:16">
      <c r="L1187"/>
      <c r="M1187"/>
      <c r="O1187"/>
      <c r="P1187"/>
    </row>
    <row r="1188" spans="12:16">
      <c r="L1188"/>
      <c r="M1188"/>
      <c r="O1188"/>
      <c r="P1188"/>
    </row>
    <row r="1189" spans="12:16">
      <c r="L1189"/>
      <c r="M1189"/>
      <c r="O1189"/>
      <c r="P1189"/>
    </row>
    <row r="1190" spans="12:16">
      <c r="L1190"/>
      <c r="M1190"/>
      <c r="O1190"/>
      <c r="P1190"/>
    </row>
    <row r="1191" spans="12:16">
      <c r="L1191"/>
      <c r="M1191"/>
      <c r="O1191"/>
      <c r="P1191"/>
    </row>
    <row r="1192" spans="12:16">
      <c r="L1192"/>
      <c r="M1192"/>
      <c r="O1192"/>
      <c r="P1192"/>
    </row>
    <row r="1193" spans="12:16">
      <c r="L1193"/>
      <c r="M1193"/>
      <c r="O1193"/>
      <c r="P1193"/>
    </row>
    <row r="1194" spans="12:16">
      <c r="L1194"/>
      <c r="M1194"/>
      <c r="O1194"/>
      <c r="P1194"/>
    </row>
    <row r="1195" spans="12:16">
      <c r="L1195"/>
      <c r="M1195"/>
      <c r="O1195"/>
      <c r="P1195"/>
    </row>
    <row r="1196" spans="12:16">
      <c r="L1196"/>
      <c r="M1196"/>
      <c r="O1196"/>
      <c r="P1196"/>
    </row>
    <row r="1197" spans="12:16">
      <c r="L1197"/>
      <c r="M1197"/>
      <c r="O1197"/>
      <c r="P1197"/>
    </row>
    <row r="1198" spans="12:16">
      <c r="L1198"/>
      <c r="M1198"/>
      <c r="O1198"/>
      <c r="P1198"/>
    </row>
    <row r="1199" spans="12:16">
      <c r="L1199"/>
      <c r="M1199"/>
      <c r="O1199"/>
      <c r="P1199"/>
    </row>
    <row r="1200" spans="12:16">
      <c r="L1200"/>
      <c r="M1200"/>
      <c r="O1200"/>
      <c r="P1200"/>
    </row>
    <row r="1201" spans="12:16">
      <c r="L1201"/>
      <c r="M1201"/>
      <c r="O1201"/>
      <c r="P1201"/>
    </row>
    <row r="1202" spans="12:16">
      <c r="L1202"/>
      <c r="M1202"/>
      <c r="O1202"/>
      <c r="P1202"/>
    </row>
    <row r="1203" spans="12:16">
      <c r="L1203"/>
      <c r="M1203"/>
      <c r="O1203"/>
      <c r="P1203"/>
    </row>
    <row r="1204" spans="12:16">
      <c r="L1204"/>
      <c r="M1204"/>
      <c r="O1204"/>
      <c r="P1204"/>
    </row>
    <row r="1205" spans="12:16">
      <c r="L1205"/>
      <c r="M1205"/>
      <c r="O1205"/>
      <c r="P1205"/>
    </row>
    <row r="1206" spans="12:16">
      <c r="L1206"/>
      <c r="M1206"/>
      <c r="O1206"/>
      <c r="P1206"/>
    </row>
    <row r="1207" spans="12:16">
      <c r="L1207"/>
      <c r="M1207"/>
      <c r="O1207"/>
      <c r="P1207"/>
    </row>
    <row r="1208" spans="12:16">
      <c r="L1208"/>
      <c r="M1208"/>
      <c r="O1208"/>
      <c r="P1208"/>
    </row>
    <row r="1209" spans="12:16">
      <c r="L1209"/>
      <c r="M1209"/>
      <c r="O1209"/>
      <c r="P1209"/>
    </row>
    <row r="1210" spans="12:16">
      <c r="L1210"/>
      <c r="M1210"/>
      <c r="O1210"/>
      <c r="P1210"/>
    </row>
    <row r="1211" spans="12:16">
      <c r="L1211"/>
      <c r="M1211"/>
      <c r="O1211"/>
      <c r="P1211"/>
    </row>
    <row r="1212" spans="12:16">
      <c r="L1212"/>
      <c r="M1212"/>
      <c r="O1212"/>
      <c r="P1212"/>
    </row>
    <row r="1213" spans="12:16">
      <c r="L1213"/>
      <c r="M1213"/>
      <c r="O1213"/>
      <c r="P1213"/>
    </row>
    <row r="1214" spans="12:16">
      <c r="L1214"/>
      <c r="M1214"/>
      <c r="O1214"/>
      <c r="P1214"/>
    </row>
    <row r="1215" spans="12:16">
      <c r="L1215"/>
      <c r="M1215"/>
      <c r="O1215"/>
      <c r="P1215"/>
    </row>
    <row r="1216" spans="12:16">
      <c r="L1216"/>
      <c r="M1216"/>
      <c r="O1216"/>
      <c r="P1216"/>
    </row>
    <row r="1217" spans="12:16">
      <c r="L1217"/>
      <c r="M1217"/>
      <c r="O1217"/>
      <c r="P1217"/>
    </row>
    <row r="1218" spans="12:16">
      <c r="L1218"/>
      <c r="M1218"/>
      <c r="O1218"/>
      <c r="P1218"/>
    </row>
    <row r="1219" spans="12:16">
      <c r="L1219"/>
      <c r="M1219"/>
      <c r="O1219"/>
      <c r="P1219"/>
    </row>
    <row r="1220" spans="12:16">
      <c r="L1220"/>
      <c r="M1220"/>
      <c r="O1220"/>
      <c r="P1220"/>
    </row>
    <row r="1221" spans="12:16">
      <c r="L1221"/>
      <c r="M1221"/>
      <c r="O1221"/>
      <c r="P1221"/>
    </row>
    <row r="1222" spans="12:16">
      <c r="L1222"/>
      <c r="M1222"/>
      <c r="O1222"/>
      <c r="P1222"/>
    </row>
    <row r="1223" spans="12:16">
      <c r="L1223"/>
      <c r="M1223"/>
      <c r="O1223"/>
      <c r="P1223"/>
    </row>
    <row r="1224" spans="12:16">
      <c r="L1224"/>
      <c r="M1224"/>
      <c r="O1224"/>
      <c r="P1224"/>
    </row>
    <row r="1225" spans="12:16">
      <c r="L1225"/>
      <c r="M1225"/>
      <c r="O1225"/>
      <c r="P1225"/>
    </row>
    <row r="1226" spans="12:16">
      <c r="L1226"/>
      <c r="M1226"/>
      <c r="O1226"/>
      <c r="P1226"/>
    </row>
    <row r="1227" spans="12:16">
      <c r="L1227"/>
      <c r="M1227"/>
      <c r="O1227"/>
      <c r="P1227"/>
    </row>
    <row r="1228" spans="12:16">
      <c r="L1228"/>
      <c r="M1228"/>
      <c r="O1228"/>
      <c r="P1228"/>
    </row>
    <row r="1229" spans="12:16">
      <c r="L1229"/>
      <c r="M1229"/>
      <c r="O1229"/>
      <c r="P1229"/>
    </row>
    <row r="1230" spans="12:16">
      <c r="L1230"/>
      <c r="M1230"/>
      <c r="O1230"/>
      <c r="P1230"/>
    </row>
    <row r="1231" spans="12:16">
      <c r="L1231"/>
      <c r="M1231"/>
      <c r="O1231"/>
      <c r="P1231"/>
    </row>
    <row r="1232" spans="12:16">
      <c r="L1232"/>
      <c r="M1232"/>
      <c r="O1232"/>
      <c r="P1232"/>
    </row>
    <row r="1233" spans="12:16">
      <c r="L1233"/>
      <c r="M1233"/>
      <c r="O1233"/>
      <c r="P1233"/>
    </row>
    <row r="1234" spans="12:16">
      <c r="L1234"/>
      <c r="M1234"/>
      <c r="O1234"/>
      <c r="P1234"/>
    </row>
    <row r="1235" spans="12:16">
      <c r="L1235"/>
      <c r="M1235"/>
      <c r="O1235"/>
      <c r="P1235"/>
    </row>
    <row r="1236" spans="12:16">
      <c r="L1236"/>
      <c r="M1236"/>
      <c r="O1236"/>
      <c r="P1236"/>
    </row>
    <row r="1237" spans="12:16">
      <c r="L1237"/>
      <c r="M1237"/>
      <c r="O1237"/>
      <c r="P1237"/>
    </row>
    <row r="1238" spans="12:16">
      <c r="L1238"/>
      <c r="M1238"/>
      <c r="O1238"/>
      <c r="P1238"/>
    </row>
    <row r="1239" spans="12:16">
      <c r="L1239"/>
      <c r="M1239"/>
      <c r="O1239"/>
      <c r="P1239"/>
    </row>
    <row r="1240" spans="12:16">
      <c r="L1240"/>
      <c r="M1240"/>
      <c r="O1240"/>
      <c r="P1240"/>
    </row>
    <row r="1241" spans="12:16">
      <c r="L1241"/>
      <c r="M1241"/>
      <c r="O1241"/>
      <c r="P1241"/>
    </row>
    <row r="1242" spans="12:16">
      <c r="L1242"/>
      <c r="M1242"/>
      <c r="O1242"/>
      <c r="P1242"/>
    </row>
    <row r="1243" spans="12:16">
      <c r="L1243"/>
      <c r="M1243"/>
      <c r="O1243"/>
      <c r="P1243"/>
    </row>
    <row r="1244" spans="12:16">
      <c r="L1244"/>
      <c r="M1244"/>
      <c r="O1244"/>
      <c r="P1244"/>
    </row>
    <row r="1245" spans="12:16">
      <c r="L1245"/>
      <c r="M1245"/>
      <c r="O1245"/>
      <c r="P1245"/>
    </row>
    <row r="1246" spans="12:16">
      <c r="L1246"/>
      <c r="M1246"/>
      <c r="O1246"/>
      <c r="P1246"/>
    </row>
    <row r="1247" spans="12:16">
      <c r="L1247"/>
      <c r="M1247"/>
      <c r="O1247"/>
      <c r="P1247"/>
    </row>
    <row r="1248" spans="12:16">
      <c r="L1248"/>
      <c r="M1248"/>
      <c r="O1248"/>
      <c r="P1248"/>
    </row>
    <row r="1249" spans="12:16">
      <c r="L1249"/>
      <c r="M1249"/>
      <c r="O1249"/>
      <c r="P1249"/>
    </row>
    <row r="1250" spans="12:16">
      <c r="L1250"/>
      <c r="M1250"/>
      <c r="O1250"/>
      <c r="P1250"/>
    </row>
    <row r="1251" spans="12:16">
      <c r="L1251"/>
      <c r="M1251"/>
      <c r="O1251"/>
      <c r="P1251"/>
    </row>
    <row r="1252" spans="12:16">
      <c r="L1252"/>
      <c r="M1252"/>
      <c r="O1252"/>
      <c r="P1252"/>
    </row>
    <row r="1253" spans="12:16">
      <c r="L1253"/>
      <c r="M1253"/>
      <c r="O1253"/>
      <c r="P1253"/>
    </row>
    <row r="1254" spans="12:16">
      <c r="L1254"/>
      <c r="M1254"/>
      <c r="O1254"/>
      <c r="P1254"/>
    </row>
    <row r="1255" spans="12:16">
      <c r="L1255"/>
      <c r="M1255"/>
      <c r="O1255"/>
      <c r="P1255"/>
    </row>
    <row r="1256" spans="12:16">
      <c r="L1256"/>
      <c r="M1256"/>
      <c r="O1256"/>
      <c r="P1256"/>
    </row>
    <row r="1257" spans="12:16">
      <c r="L1257"/>
      <c r="M1257"/>
      <c r="O1257"/>
      <c r="P1257"/>
    </row>
    <row r="1258" spans="12:16">
      <c r="L1258"/>
      <c r="M1258"/>
      <c r="O1258"/>
      <c r="P1258"/>
    </row>
    <row r="1259" spans="12:16">
      <c r="L1259"/>
      <c r="M1259"/>
      <c r="O1259"/>
      <c r="P1259"/>
    </row>
    <row r="1260" spans="12:16">
      <c r="L1260"/>
      <c r="M1260"/>
      <c r="O1260"/>
      <c r="P1260"/>
    </row>
    <row r="1261" spans="12:16">
      <c r="L1261"/>
      <c r="M1261"/>
      <c r="O1261"/>
      <c r="P1261"/>
    </row>
    <row r="1262" spans="12:16">
      <c r="L1262"/>
      <c r="M1262"/>
      <c r="O1262"/>
      <c r="P1262"/>
    </row>
    <row r="1263" spans="12:16">
      <c r="L1263"/>
      <c r="M1263"/>
      <c r="O1263"/>
      <c r="P1263"/>
    </row>
    <row r="1264" spans="12:16">
      <c r="L1264"/>
      <c r="M1264"/>
      <c r="O1264"/>
      <c r="P1264"/>
    </row>
    <row r="1265" spans="12:16">
      <c r="L1265"/>
      <c r="M1265"/>
      <c r="O1265"/>
      <c r="P1265"/>
    </row>
    <row r="1266" spans="12:16">
      <c r="L1266"/>
      <c r="M1266"/>
      <c r="O1266"/>
      <c r="P1266"/>
    </row>
    <row r="1267" spans="12:16">
      <c r="L1267"/>
      <c r="M1267"/>
      <c r="O1267"/>
      <c r="P1267"/>
    </row>
    <row r="1268" spans="12:16">
      <c r="L1268"/>
      <c r="M1268"/>
      <c r="O1268"/>
      <c r="P1268"/>
    </row>
    <row r="1269" spans="12:16">
      <c r="L1269"/>
      <c r="M1269"/>
      <c r="O1269"/>
      <c r="P1269"/>
    </row>
    <row r="1270" spans="12:16">
      <c r="L1270"/>
      <c r="M1270"/>
      <c r="O1270"/>
      <c r="P1270"/>
    </row>
    <row r="1271" spans="12:16">
      <c r="L1271"/>
      <c r="M1271"/>
      <c r="O1271"/>
      <c r="P1271"/>
    </row>
    <row r="1272" spans="12:16">
      <c r="L1272"/>
      <c r="M1272"/>
      <c r="O1272"/>
      <c r="P1272"/>
    </row>
    <row r="1273" spans="12:16">
      <c r="L1273"/>
      <c r="M1273"/>
      <c r="O1273"/>
      <c r="P1273"/>
    </row>
    <row r="1274" spans="12:16">
      <c r="L1274"/>
      <c r="M1274"/>
      <c r="O1274"/>
      <c r="P1274"/>
    </row>
    <row r="1275" spans="12:16">
      <c r="L1275"/>
      <c r="M1275"/>
      <c r="O1275"/>
      <c r="P1275"/>
    </row>
    <row r="1276" spans="12:16">
      <c r="L1276"/>
      <c r="M1276"/>
      <c r="O1276"/>
      <c r="P1276"/>
    </row>
    <row r="1277" spans="12:16">
      <c r="L1277"/>
      <c r="M1277"/>
      <c r="O1277"/>
      <c r="P1277"/>
    </row>
    <row r="1278" spans="12:16">
      <c r="L1278"/>
      <c r="M1278"/>
      <c r="O1278"/>
      <c r="P1278"/>
    </row>
    <row r="1279" spans="12:16">
      <c r="L1279"/>
      <c r="M1279"/>
      <c r="O1279"/>
      <c r="P1279"/>
    </row>
    <row r="1280" spans="12:16">
      <c r="L1280"/>
      <c r="M1280"/>
      <c r="O1280"/>
      <c r="P1280"/>
    </row>
    <row r="1281" spans="12:16">
      <c r="L1281"/>
      <c r="M1281"/>
      <c r="O1281"/>
      <c r="P1281"/>
    </row>
    <row r="1282" spans="12:16">
      <c r="L1282"/>
      <c r="M1282"/>
      <c r="O1282"/>
      <c r="P1282"/>
    </row>
    <row r="1283" spans="12:16">
      <c r="L1283"/>
      <c r="M1283"/>
      <c r="O1283"/>
      <c r="P1283"/>
    </row>
    <row r="1284" spans="12:16">
      <c r="L1284"/>
      <c r="M1284"/>
      <c r="O1284"/>
      <c r="P1284"/>
    </row>
    <row r="1285" spans="12:16">
      <c r="L1285"/>
      <c r="M1285"/>
      <c r="O1285"/>
      <c r="P1285"/>
    </row>
    <row r="1286" spans="12:16">
      <c r="L1286"/>
      <c r="M1286"/>
      <c r="O1286"/>
      <c r="P1286"/>
    </row>
    <row r="1287" spans="12:16">
      <c r="L1287"/>
      <c r="M1287"/>
      <c r="O1287"/>
      <c r="P1287"/>
    </row>
    <row r="1288" spans="12:16">
      <c r="L1288"/>
      <c r="M1288"/>
      <c r="O1288"/>
      <c r="P1288"/>
    </row>
    <row r="1289" spans="12:16">
      <c r="L1289"/>
      <c r="M1289"/>
      <c r="O1289"/>
      <c r="P1289"/>
    </row>
    <row r="1290" spans="12:16">
      <c r="L1290"/>
      <c r="M1290"/>
      <c r="O1290"/>
      <c r="P1290"/>
    </row>
    <row r="1291" spans="12:16">
      <c r="L1291"/>
      <c r="M1291"/>
      <c r="O1291"/>
      <c r="P1291"/>
    </row>
    <row r="1292" spans="12:16">
      <c r="L1292"/>
      <c r="M1292"/>
      <c r="O1292"/>
      <c r="P1292"/>
    </row>
    <row r="1293" spans="12:16">
      <c r="L1293"/>
      <c r="M1293"/>
      <c r="O1293"/>
      <c r="P1293"/>
    </row>
    <row r="1294" spans="12:16">
      <c r="L1294"/>
      <c r="M1294"/>
      <c r="O1294"/>
      <c r="P1294"/>
    </row>
    <row r="1295" spans="12:16">
      <c r="L1295"/>
      <c r="M1295"/>
      <c r="O1295"/>
      <c r="P1295"/>
    </row>
    <row r="1296" spans="12:16">
      <c r="L1296"/>
      <c r="M1296"/>
      <c r="O1296"/>
      <c r="P1296"/>
    </row>
    <row r="1297" spans="12:16">
      <c r="L1297"/>
      <c r="M1297"/>
      <c r="O1297"/>
      <c r="P1297"/>
    </row>
    <row r="1298" spans="12:16">
      <c r="L1298"/>
      <c r="M1298"/>
      <c r="O1298"/>
      <c r="P1298"/>
    </row>
    <row r="1299" spans="12:16">
      <c r="L1299"/>
      <c r="M1299"/>
      <c r="O1299"/>
      <c r="P1299"/>
    </row>
    <row r="1300" spans="12:16">
      <c r="L1300"/>
      <c r="M1300"/>
      <c r="O1300"/>
      <c r="P1300"/>
    </row>
    <row r="1301" spans="12:16">
      <c r="L1301"/>
      <c r="M1301"/>
      <c r="O1301"/>
      <c r="P1301"/>
    </row>
    <row r="1302" spans="12:16">
      <c r="L1302"/>
      <c r="M1302"/>
      <c r="O1302"/>
      <c r="P1302"/>
    </row>
    <row r="1303" spans="12:16">
      <c r="L1303"/>
      <c r="M1303"/>
      <c r="O1303"/>
      <c r="P1303"/>
    </row>
    <row r="1304" spans="12:16">
      <c r="L1304"/>
      <c r="M1304"/>
      <c r="O1304"/>
      <c r="P1304"/>
    </row>
    <row r="1305" spans="12:16">
      <c r="L1305"/>
      <c r="M1305"/>
      <c r="O1305"/>
      <c r="P1305"/>
    </row>
    <row r="1306" spans="12:16">
      <c r="L1306"/>
      <c r="M1306"/>
      <c r="O1306"/>
      <c r="P1306"/>
    </row>
    <row r="1307" spans="12:16">
      <c r="L1307"/>
      <c r="M1307"/>
      <c r="O1307"/>
      <c r="P1307"/>
    </row>
    <row r="1308" spans="12:16">
      <c r="L1308"/>
      <c r="M1308"/>
      <c r="O1308"/>
      <c r="P1308"/>
    </row>
    <row r="1309" spans="12:16">
      <c r="L1309"/>
      <c r="M1309"/>
      <c r="O1309"/>
      <c r="P1309"/>
    </row>
    <row r="1310" spans="12:16">
      <c r="L1310"/>
      <c r="M1310"/>
      <c r="O1310"/>
      <c r="P1310"/>
    </row>
    <row r="1311" spans="12:16">
      <c r="L1311"/>
      <c r="M1311"/>
      <c r="O1311"/>
      <c r="P1311"/>
    </row>
    <row r="1312" spans="12:16">
      <c r="L1312"/>
      <c r="M1312"/>
      <c r="O1312"/>
      <c r="P1312"/>
    </row>
    <row r="1313" spans="12:16">
      <c r="L1313"/>
      <c r="M1313"/>
      <c r="O1313"/>
      <c r="P1313"/>
    </row>
    <row r="1314" spans="12:16">
      <c r="L1314"/>
      <c r="M1314"/>
      <c r="O1314"/>
      <c r="P1314"/>
    </row>
    <row r="1315" spans="12:16">
      <c r="L1315"/>
      <c r="M1315"/>
      <c r="O1315"/>
      <c r="P1315"/>
    </row>
    <row r="1316" spans="12:16">
      <c r="L1316"/>
      <c r="M1316"/>
      <c r="O1316"/>
      <c r="P1316"/>
    </row>
    <row r="1317" spans="12:16">
      <c r="L1317"/>
      <c r="M1317"/>
      <c r="O1317"/>
      <c r="P1317"/>
    </row>
    <row r="1318" spans="12:16">
      <c r="L1318"/>
      <c r="M1318"/>
      <c r="O1318"/>
      <c r="P1318"/>
    </row>
    <row r="1319" spans="12:16">
      <c r="L1319"/>
      <c r="M1319"/>
      <c r="O1319"/>
      <c r="P1319"/>
    </row>
    <row r="1320" spans="12:16">
      <c r="L1320"/>
      <c r="M1320"/>
      <c r="O1320"/>
      <c r="P1320"/>
    </row>
    <row r="1321" spans="12:16">
      <c r="L1321"/>
      <c r="M1321"/>
      <c r="O1321"/>
      <c r="P1321"/>
    </row>
    <row r="1322" spans="12:16">
      <c r="L1322"/>
      <c r="M1322"/>
      <c r="O1322"/>
      <c r="P1322"/>
    </row>
    <row r="1323" spans="12:16">
      <c r="L1323"/>
      <c r="M1323"/>
      <c r="O1323"/>
      <c r="P1323"/>
    </row>
    <row r="1324" spans="12:16">
      <c r="L1324"/>
      <c r="M1324"/>
      <c r="O1324"/>
      <c r="P1324"/>
    </row>
    <row r="1325" spans="12:16">
      <c r="L1325"/>
      <c r="M1325"/>
      <c r="O1325"/>
      <c r="P1325"/>
    </row>
    <row r="1326" spans="12:16">
      <c r="L1326"/>
      <c r="M1326"/>
      <c r="O1326"/>
      <c r="P1326"/>
    </row>
    <row r="1327" spans="12:16">
      <c r="L1327"/>
      <c r="M1327"/>
      <c r="O1327"/>
      <c r="P1327"/>
    </row>
    <row r="1328" spans="12:16">
      <c r="L1328"/>
      <c r="M1328"/>
      <c r="O1328"/>
      <c r="P1328"/>
    </row>
    <row r="1329" spans="12:16">
      <c r="L1329"/>
      <c r="M1329"/>
      <c r="O1329"/>
      <c r="P1329"/>
    </row>
    <row r="1330" spans="12:16">
      <c r="L1330"/>
      <c r="M1330"/>
      <c r="O1330"/>
      <c r="P1330"/>
    </row>
    <row r="1331" spans="12:16">
      <c r="L1331"/>
      <c r="M1331"/>
      <c r="O1331"/>
      <c r="P1331"/>
    </row>
    <row r="1332" spans="12:16">
      <c r="L1332"/>
      <c r="M1332"/>
      <c r="O1332"/>
      <c r="P1332"/>
    </row>
    <row r="1333" spans="12:16">
      <c r="L1333"/>
      <c r="M1333"/>
      <c r="O1333"/>
      <c r="P1333"/>
    </row>
    <row r="1334" spans="12:16">
      <c r="L1334"/>
      <c r="M1334"/>
      <c r="O1334"/>
      <c r="P1334"/>
    </row>
    <row r="1335" spans="12:16">
      <c r="L1335"/>
      <c r="M1335"/>
      <c r="O1335"/>
      <c r="P1335"/>
    </row>
    <row r="1336" spans="12:16">
      <c r="L1336"/>
      <c r="M1336"/>
      <c r="O1336"/>
      <c r="P1336"/>
    </row>
    <row r="1337" spans="12:16">
      <c r="L1337"/>
      <c r="M1337"/>
      <c r="O1337"/>
      <c r="P1337"/>
    </row>
    <row r="1338" spans="12:16">
      <c r="L1338"/>
      <c r="M1338"/>
      <c r="O1338"/>
      <c r="P1338"/>
    </row>
    <row r="1339" spans="12:16">
      <c r="L1339"/>
      <c r="M1339"/>
      <c r="O1339"/>
      <c r="P1339"/>
    </row>
    <row r="1340" spans="12:16">
      <c r="L1340"/>
      <c r="M1340"/>
      <c r="O1340"/>
      <c r="P1340"/>
    </row>
    <row r="1341" spans="12:16">
      <c r="L1341"/>
      <c r="M1341"/>
      <c r="O1341"/>
      <c r="P1341"/>
    </row>
    <row r="1342" spans="12:16">
      <c r="L1342"/>
      <c r="M1342"/>
      <c r="O1342"/>
      <c r="P1342"/>
    </row>
    <row r="1343" spans="12:16">
      <c r="L1343"/>
      <c r="M1343"/>
      <c r="O1343"/>
      <c r="P1343"/>
    </row>
    <row r="1344" spans="12:16">
      <c r="L1344"/>
      <c r="M1344"/>
      <c r="O1344"/>
      <c r="P1344"/>
    </row>
    <row r="1345" spans="12:16">
      <c r="L1345"/>
      <c r="M1345"/>
      <c r="O1345"/>
      <c r="P1345"/>
    </row>
    <row r="1346" spans="12:16">
      <c r="L1346"/>
      <c r="M1346"/>
      <c r="O1346"/>
      <c r="P1346"/>
    </row>
    <row r="1347" spans="12:16">
      <c r="L1347"/>
      <c r="M1347"/>
      <c r="O1347"/>
      <c r="P1347"/>
    </row>
    <row r="1348" spans="12:16">
      <c r="L1348"/>
      <c r="M1348"/>
      <c r="O1348"/>
      <c r="P1348"/>
    </row>
    <row r="1349" spans="12:16">
      <c r="L1349"/>
      <c r="M1349"/>
      <c r="O1349"/>
      <c r="P1349"/>
    </row>
    <row r="1350" spans="12:16">
      <c r="L1350"/>
      <c r="M1350"/>
      <c r="O1350"/>
      <c r="P1350"/>
    </row>
    <row r="1351" spans="12:16">
      <c r="L1351"/>
      <c r="M1351"/>
      <c r="O1351"/>
      <c r="P1351"/>
    </row>
    <row r="1352" spans="12:16">
      <c r="L1352"/>
      <c r="M1352"/>
      <c r="O1352"/>
      <c r="P1352"/>
    </row>
    <row r="1353" spans="12:16">
      <c r="L1353"/>
      <c r="M1353"/>
      <c r="O1353"/>
      <c r="P1353"/>
    </row>
    <row r="1354" spans="12:16">
      <c r="L1354"/>
      <c r="M1354"/>
      <c r="O1354"/>
      <c r="P1354"/>
    </row>
    <row r="1355" spans="12:16">
      <c r="L1355"/>
      <c r="M1355"/>
      <c r="O1355"/>
      <c r="P1355"/>
    </row>
    <row r="1356" spans="12:16">
      <c r="L1356"/>
      <c r="M1356"/>
      <c r="O1356"/>
      <c r="P1356"/>
    </row>
    <row r="1357" spans="12:16">
      <c r="L1357"/>
      <c r="M1357"/>
      <c r="O1357"/>
      <c r="P1357"/>
    </row>
    <row r="1358" spans="12:16">
      <c r="L1358"/>
      <c r="M1358"/>
      <c r="O1358"/>
      <c r="P1358"/>
    </row>
    <row r="1359" spans="12:16">
      <c r="L1359"/>
      <c r="M1359"/>
      <c r="O1359"/>
      <c r="P1359"/>
    </row>
    <row r="1360" spans="12:16">
      <c r="L1360"/>
      <c r="M1360"/>
      <c r="O1360"/>
      <c r="P1360"/>
    </row>
    <row r="1361" spans="12:16">
      <c r="L1361"/>
      <c r="M1361"/>
      <c r="O1361"/>
      <c r="P1361"/>
    </row>
    <row r="1362" spans="12:16">
      <c r="L1362"/>
      <c r="M1362"/>
      <c r="O1362"/>
      <c r="P1362"/>
    </row>
    <row r="1363" spans="12:16">
      <c r="L1363"/>
      <c r="M1363"/>
      <c r="O1363"/>
      <c r="P1363"/>
    </row>
    <row r="1364" spans="12:16">
      <c r="L1364"/>
      <c r="M1364"/>
      <c r="O1364"/>
      <c r="P1364"/>
    </row>
    <row r="1365" spans="12:16">
      <c r="L1365"/>
      <c r="M1365"/>
      <c r="O1365"/>
      <c r="P1365"/>
    </row>
    <row r="1366" spans="12:16">
      <c r="L1366"/>
      <c r="M1366"/>
      <c r="O1366"/>
      <c r="P1366"/>
    </row>
    <row r="1367" spans="12:16">
      <c r="L1367"/>
      <c r="M1367"/>
      <c r="O1367"/>
      <c r="P1367"/>
    </row>
    <row r="1368" spans="12:16">
      <c r="L1368"/>
      <c r="M1368"/>
      <c r="O1368"/>
      <c r="P1368"/>
    </row>
    <row r="1369" spans="12:16">
      <c r="L1369"/>
      <c r="M1369"/>
      <c r="O1369"/>
      <c r="P1369"/>
    </row>
    <row r="1370" spans="12:16">
      <c r="L1370"/>
      <c r="M1370"/>
      <c r="O1370"/>
      <c r="P1370"/>
    </row>
    <row r="1371" spans="12:16">
      <c r="L1371"/>
      <c r="M1371"/>
      <c r="O1371"/>
      <c r="P1371"/>
    </row>
    <row r="1372" spans="12:16">
      <c r="L1372"/>
      <c r="M1372"/>
      <c r="O1372"/>
      <c r="P1372"/>
    </row>
    <row r="1373" spans="12:16">
      <c r="L1373"/>
      <c r="M1373"/>
      <c r="O1373"/>
      <c r="P1373"/>
    </row>
    <row r="1374" spans="12:16">
      <c r="L1374"/>
      <c r="M1374"/>
      <c r="O1374"/>
      <c r="P1374"/>
    </row>
    <row r="1375" spans="12:16">
      <c r="L1375"/>
      <c r="M1375"/>
      <c r="O1375"/>
      <c r="P1375"/>
    </row>
    <row r="1376" spans="12:16">
      <c r="L1376"/>
      <c r="M1376"/>
      <c r="O1376"/>
      <c r="P1376"/>
    </row>
    <row r="1377" spans="12:16">
      <c r="L1377"/>
      <c r="M1377"/>
      <c r="O1377"/>
      <c r="P1377"/>
    </row>
    <row r="1378" spans="12:16">
      <c r="L1378"/>
      <c r="M1378"/>
      <c r="O1378"/>
      <c r="P1378"/>
    </row>
    <row r="1379" spans="12:16">
      <c r="L1379"/>
      <c r="M1379"/>
      <c r="O1379"/>
      <c r="P1379"/>
    </row>
    <row r="1380" spans="12:16">
      <c r="L1380"/>
      <c r="M1380"/>
      <c r="O1380"/>
      <c r="P1380"/>
    </row>
    <row r="1381" spans="12:16">
      <c r="L1381"/>
      <c r="M1381"/>
      <c r="O1381"/>
      <c r="P1381"/>
    </row>
    <row r="1382" spans="12:16">
      <c r="L1382"/>
      <c r="M1382"/>
      <c r="O1382"/>
      <c r="P1382"/>
    </row>
    <row r="1383" spans="12:16">
      <c r="L1383"/>
      <c r="M1383"/>
      <c r="O1383"/>
      <c r="P1383"/>
    </row>
    <row r="1384" spans="12:16">
      <c r="L1384"/>
      <c r="M1384"/>
      <c r="O1384"/>
      <c r="P1384"/>
    </row>
    <row r="1385" spans="12:16">
      <c r="L1385"/>
      <c r="M1385"/>
      <c r="O1385"/>
      <c r="P1385"/>
    </row>
    <row r="1386" spans="12:16">
      <c r="L1386"/>
      <c r="M1386"/>
      <c r="O1386"/>
      <c r="P1386"/>
    </row>
    <row r="1387" spans="12:16">
      <c r="L1387"/>
      <c r="M1387"/>
      <c r="O1387"/>
      <c r="P1387"/>
    </row>
    <row r="1388" spans="12:16">
      <c r="L1388"/>
      <c r="M1388"/>
      <c r="O1388"/>
      <c r="P1388"/>
    </row>
    <row r="1389" spans="12:16">
      <c r="L1389"/>
      <c r="M1389"/>
      <c r="O1389"/>
      <c r="P1389"/>
    </row>
    <row r="1390" spans="12:16">
      <c r="L1390"/>
      <c r="M1390"/>
      <c r="O1390"/>
      <c r="P1390"/>
    </row>
    <row r="1391" spans="12:16">
      <c r="L1391"/>
      <c r="M1391"/>
      <c r="O1391"/>
      <c r="P1391"/>
    </row>
    <row r="1392" spans="12:16">
      <c r="L1392"/>
      <c r="M1392"/>
      <c r="O1392"/>
      <c r="P1392"/>
    </row>
    <row r="1393" spans="12:16">
      <c r="L1393"/>
      <c r="M1393"/>
      <c r="O1393"/>
      <c r="P1393"/>
    </row>
    <row r="1394" spans="12:16">
      <c r="L1394"/>
      <c r="M1394"/>
      <c r="O1394"/>
      <c r="P1394"/>
    </row>
    <row r="1395" spans="12:16">
      <c r="L1395"/>
      <c r="M1395"/>
      <c r="O1395"/>
      <c r="P1395"/>
    </row>
    <row r="1396" spans="12:16">
      <c r="L1396"/>
      <c r="M1396"/>
      <c r="O1396"/>
      <c r="P1396"/>
    </row>
    <row r="1397" spans="12:16">
      <c r="L1397"/>
      <c r="M1397"/>
      <c r="O1397"/>
      <c r="P1397"/>
    </row>
    <row r="1398" spans="12:16">
      <c r="L1398"/>
      <c r="M1398"/>
      <c r="O1398"/>
      <c r="P1398"/>
    </row>
    <row r="1399" spans="12:16">
      <c r="L1399"/>
      <c r="M1399"/>
      <c r="O1399"/>
      <c r="P1399"/>
    </row>
    <row r="1400" spans="12:16">
      <c r="L1400"/>
      <c r="M1400"/>
      <c r="O1400"/>
      <c r="P1400"/>
    </row>
    <row r="1401" spans="12:16">
      <c r="L1401"/>
      <c r="M1401"/>
      <c r="O1401"/>
      <c r="P1401"/>
    </row>
    <row r="1402" spans="12:16">
      <c r="L1402"/>
      <c r="M1402"/>
      <c r="O1402"/>
      <c r="P1402"/>
    </row>
    <row r="1403" spans="12:16">
      <c r="L1403"/>
      <c r="M1403"/>
      <c r="O1403"/>
      <c r="P1403"/>
    </row>
    <row r="1404" spans="12:16">
      <c r="L1404"/>
      <c r="M1404"/>
      <c r="O1404"/>
      <c r="P1404"/>
    </row>
    <row r="1405" spans="12:16">
      <c r="L1405"/>
      <c r="M1405"/>
      <c r="O1405"/>
      <c r="P1405"/>
    </row>
    <row r="1406" spans="12:16">
      <c r="L1406"/>
      <c r="M1406"/>
      <c r="O1406"/>
      <c r="P1406"/>
    </row>
    <row r="1407" spans="12:16">
      <c r="L1407"/>
      <c r="M1407"/>
      <c r="O1407"/>
      <c r="P1407"/>
    </row>
    <row r="1408" spans="12:16">
      <c r="L1408"/>
      <c r="M1408"/>
      <c r="O1408"/>
      <c r="P1408"/>
    </row>
    <row r="1409" spans="12:16">
      <c r="L1409"/>
      <c r="M1409"/>
      <c r="O1409"/>
      <c r="P1409"/>
    </row>
    <row r="1410" spans="12:16">
      <c r="L1410"/>
      <c r="M1410"/>
      <c r="O1410"/>
      <c r="P1410"/>
    </row>
    <row r="1411" spans="12:16">
      <c r="L1411"/>
      <c r="M1411"/>
      <c r="O1411"/>
      <c r="P1411"/>
    </row>
    <row r="1412" spans="12:16">
      <c r="L1412"/>
      <c r="M1412"/>
      <c r="O1412"/>
      <c r="P1412"/>
    </row>
    <row r="1413" spans="12:16">
      <c r="L1413"/>
      <c r="M1413"/>
      <c r="O1413"/>
      <c r="P1413"/>
    </row>
    <row r="1414" spans="12:16">
      <c r="L1414"/>
      <c r="M1414"/>
      <c r="O1414"/>
      <c r="P1414"/>
    </row>
    <row r="1415" spans="12:16">
      <c r="L1415"/>
      <c r="M1415"/>
      <c r="O1415"/>
      <c r="P1415"/>
    </row>
    <row r="1416" spans="12:16">
      <c r="L1416"/>
      <c r="M1416"/>
      <c r="O1416"/>
      <c r="P1416"/>
    </row>
    <row r="1417" spans="12:16">
      <c r="L1417"/>
      <c r="M1417"/>
      <c r="O1417"/>
      <c r="P1417"/>
    </row>
    <row r="1418" spans="12:16">
      <c r="L1418"/>
      <c r="M1418"/>
      <c r="O1418"/>
      <c r="P1418"/>
    </row>
    <row r="1419" spans="12:16">
      <c r="L1419"/>
      <c r="M1419"/>
      <c r="O1419"/>
      <c r="P1419"/>
    </row>
    <row r="1420" spans="12:16">
      <c r="L1420"/>
      <c r="M1420"/>
      <c r="O1420"/>
      <c r="P1420"/>
    </row>
    <row r="1421" spans="12:16">
      <c r="L1421"/>
      <c r="M1421"/>
      <c r="O1421"/>
      <c r="P1421"/>
    </row>
    <row r="1422" spans="12:16">
      <c r="L1422"/>
      <c r="M1422"/>
      <c r="O1422"/>
      <c r="P1422"/>
    </row>
    <row r="1423" spans="12:16">
      <c r="L1423"/>
      <c r="M1423"/>
      <c r="O1423"/>
      <c r="P1423"/>
    </row>
    <row r="1424" spans="12:16">
      <c r="L1424"/>
      <c r="M1424"/>
      <c r="O1424"/>
      <c r="P1424"/>
    </row>
    <row r="1425" spans="12:16">
      <c r="L1425"/>
      <c r="M1425"/>
      <c r="O1425"/>
      <c r="P1425"/>
    </row>
    <row r="1426" spans="12:16">
      <c r="L1426"/>
      <c r="M1426"/>
      <c r="O1426"/>
      <c r="P1426"/>
    </row>
    <row r="1427" spans="12:16">
      <c r="L1427"/>
      <c r="M1427"/>
      <c r="O1427"/>
      <c r="P1427"/>
    </row>
    <row r="1428" spans="12:16">
      <c r="L1428"/>
      <c r="M1428"/>
      <c r="O1428"/>
      <c r="P1428"/>
    </row>
    <row r="1429" spans="12:16">
      <c r="L1429"/>
      <c r="M1429"/>
      <c r="O1429"/>
      <c r="P1429"/>
    </row>
    <row r="1430" spans="12:16">
      <c r="L1430"/>
      <c r="M1430"/>
      <c r="O1430"/>
      <c r="P1430"/>
    </row>
    <row r="1431" spans="12:16">
      <c r="L1431"/>
      <c r="M1431"/>
      <c r="O1431"/>
      <c r="P1431"/>
    </row>
    <row r="1432" spans="12:16">
      <c r="L1432"/>
      <c r="M1432"/>
      <c r="O1432"/>
      <c r="P1432"/>
    </row>
    <row r="1433" spans="12:16">
      <c r="L1433"/>
      <c r="M1433"/>
      <c r="O1433"/>
      <c r="P1433"/>
    </row>
    <row r="1434" spans="12:16">
      <c r="L1434"/>
      <c r="M1434"/>
      <c r="O1434"/>
      <c r="P1434"/>
    </row>
    <row r="1435" spans="12:16">
      <c r="L1435"/>
      <c r="M1435"/>
      <c r="O1435"/>
      <c r="P1435"/>
    </row>
    <row r="1436" spans="12:16">
      <c r="L1436"/>
      <c r="M1436"/>
      <c r="O1436"/>
      <c r="P1436"/>
    </row>
    <row r="1437" spans="12:16">
      <c r="L1437"/>
      <c r="M1437"/>
      <c r="O1437"/>
      <c r="P1437"/>
    </row>
    <row r="1438" spans="12:16">
      <c r="L1438"/>
      <c r="M1438"/>
      <c r="O1438"/>
      <c r="P1438"/>
    </row>
    <row r="1439" spans="12:16">
      <c r="L1439"/>
      <c r="M1439"/>
      <c r="O1439"/>
      <c r="P1439"/>
    </row>
    <row r="1440" spans="12:16">
      <c r="L1440"/>
      <c r="M1440"/>
      <c r="O1440"/>
      <c r="P1440"/>
    </row>
    <row r="1441" spans="12:16">
      <c r="L1441"/>
      <c r="M1441"/>
      <c r="O1441"/>
      <c r="P1441"/>
    </row>
    <row r="1442" spans="12:16">
      <c r="L1442"/>
      <c r="M1442"/>
      <c r="O1442"/>
      <c r="P1442"/>
    </row>
    <row r="1443" spans="12:16">
      <c r="L1443"/>
      <c r="M1443"/>
      <c r="O1443"/>
      <c r="P1443"/>
    </row>
    <row r="1444" spans="12:16">
      <c r="L1444"/>
      <c r="M1444"/>
      <c r="O1444"/>
      <c r="P1444"/>
    </row>
    <row r="1445" spans="12:16">
      <c r="L1445"/>
      <c r="M1445"/>
      <c r="O1445"/>
      <c r="P1445"/>
    </row>
    <row r="1446" spans="12:16">
      <c r="L1446"/>
      <c r="M1446"/>
      <c r="O1446"/>
      <c r="P1446"/>
    </row>
    <row r="1447" spans="12:16">
      <c r="L1447"/>
      <c r="M1447"/>
      <c r="O1447"/>
      <c r="P1447"/>
    </row>
    <row r="1448" spans="12:16">
      <c r="L1448"/>
      <c r="M1448"/>
      <c r="O1448"/>
      <c r="P1448"/>
    </row>
    <row r="1449" spans="12:16">
      <c r="L1449"/>
      <c r="M1449"/>
      <c r="O1449"/>
      <c r="P1449"/>
    </row>
    <row r="1450" spans="12:16">
      <c r="L1450"/>
      <c r="M1450"/>
      <c r="O1450"/>
      <c r="P1450"/>
    </row>
    <row r="1451" spans="12:16">
      <c r="L1451"/>
      <c r="M1451"/>
      <c r="O1451"/>
      <c r="P1451"/>
    </row>
    <row r="1452" spans="12:16">
      <c r="L1452"/>
      <c r="M1452"/>
      <c r="O1452"/>
      <c r="P1452"/>
    </row>
    <row r="1453" spans="12:16">
      <c r="L1453"/>
      <c r="M1453"/>
      <c r="O1453"/>
      <c r="P1453"/>
    </row>
    <row r="1454" spans="12:16">
      <c r="L1454"/>
      <c r="M1454"/>
      <c r="O1454"/>
      <c r="P1454"/>
    </row>
    <row r="1455" spans="12:16">
      <c r="L1455"/>
      <c r="M1455"/>
      <c r="O1455"/>
      <c r="P1455"/>
    </row>
    <row r="1456" spans="12:16">
      <c r="L1456"/>
      <c r="M1456"/>
      <c r="O1456"/>
      <c r="P1456"/>
    </row>
    <row r="1457" spans="12:16">
      <c r="L1457"/>
      <c r="M1457"/>
      <c r="O1457"/>
      <c r="P1457"/>
    </row>
    <row r="1458" spans="12:16">
      <c r="L1458"/>
      <c r="M1458"/>
      <c r="O1458"/>
      <c r="P1458"/>
    </row>
    <row r="1459" spans="12:16">
      <c r="L1459"/>
      <c r="M1459"/>
      <c r="O1459"/>
      <c r="P1459"/>
    </row>
    <row r="1460" spans="12:16">
      <c r="L1460"/>
      <c r="M1460"/>
      <c r="O1460"/>
      <c r="P1460"/>
    </row>
    <row r="1461" spans="12:16">
      <c r="L1461"/>
      <c r="M1461"/>
      <c r="O1461"/>
      <c r="P1461"/>
    </row>
    <row r="1462" spans="12:16">
      <c r="L1462"/>
      <c r="M1462"/>
      <c r="O1462"/>
      <c r="P1462"/>
    </row>
    <row r="1463" spans="12:16">
      <c r="L1463"/>
      <c r="M1463"/>
      <c r="O1463"/>
      <c r="P1463"/>
    </row>
    <row r="1464" spans="12:16">
      <c r="L1464"/>
      <c r="M1464"/>
      <c r="O1464"/>
      <c r="P1464"/>
    </row>
    <row r="1465" spans="12:16">
      <c r="L1465"/>
      <c r="M1465"/>
      <c r="O1465"/>
      <c r="P1465"/>
    </row>
    <row r="1466" spans="12:16">
      <c r="L1466"/>
      <c r="M1466"/>
      <c r="O1466"/>
      <c r="P1466"/>
    </row>
    <row r="1467" spans="12:16">
      <c r="L1467"/>
      <c r="M1467"/>
      <c r="O1467"/>
      <c r="P1467"/>
    </row>
    <row r="1468" spans="12:16">
      <c r="L1468"/>
      <c r="M1468"/>
      <c r="O1468"/>
      <c r="P1468"/>
    </row>
    <row r="1469" spans="12:16">
      <c r="L1469"/>
      <c r="M1469"/>
      <c r="O1469"/>
      <c r="P1469"/>
    </row>
    <row r="1470" spans="12:16">
      <c r="L1470"/>
      <c r="M1470"/>
      <c r="O1470"/>
      <c r="P1470"/>
    </row>
    <row r="1471" spans="12:16">
      <c r="L1471"/>
      <c r="M1471"/>
      <c r="O1471"/>
      <c r="P1471"/>
    </row>
    <row r="1472" spans="12:16">
      <c r="L1472"/>
      <c r="M1472"/>
      <c r="O1472"/>
      <c r="P1472"/>
    </row>
    <row r="1473" spans="12:16">
      <c r="L1473"/>
      <c r="M1473"/>
      <c r="O1473"/>
      <c r="P1473"/>
    </row>
    <row r="1474" spans="12:16">
      <c r="L1474"/>
      <c r="M1474"/>
      <c r="O1474"/>
      <c r="P1474"/>
    </row>
    <row r="1475" spans="12:16">
      <c r="L1475"/>
      <c r="M1475"/>
      <c r="O1475"/>
      <c r="P1475"/>
    </row>
    <row r="1476" spans="12:16">
      <c r="L1476"/>
      <c r="M1476"/>
      <c r="O1476"/>
      <c r="P1476"/>
    </row>
    <row r="1477" spans="12:16">
      <c r="L1477"/>
      <c r="M1477"/>
      <c r="O1477"/>
      <c r="P1477"/>
    </row>
    <row r="1478" spans="12:16">
      <c r="L1478"/>
      <c r="M1478"/>
      <c r="O1478"/>
      <c r="P1478"/>
    </row>
    <row r="1479" spans="12:16">
      <c r="L1479"/>
      <c r="M1479"/>
      <c r="O1479"/>
      <c r="P1479"/>
    </row>
    <row r="1480" spans="12:16">
      <c r="L1480"/>
      <c r="M1480"/>
      <c r="O1480"/>
      <c r="P1480"/>
    </row>
    <row r="1481" spans="12:16">
      <c r="L1481"/>
      <c r="M1481"/>
      <c r="O1481"/>
      <c r="P1481"/>
    </row>
    <row r="1482" spans="12:16">
      <c r="L1482"/>
      <c r="M1482"/>
      <c r="O1482"/>
      <c r="P1482"/>
    </row>
    <row r="1483" spans="12:16">
      <c r="L1483"/>
      <c r="M1483"/>
      <c r="O1483"/>
      <c r="P1483"/>
    </row>
    <row r="1484" spans="12:16">
      <c r="L1484"/>
      <c r="M1484"/>
      <c r="O1484"/>
      <c r="P1484"/>
    </row>
    <row r="1485" spans="12:16">
      <c r="L1485"/>
      <c r="M1485"/>
      <c r="O1485"/>
      <c r="P1485"/>
    </row>
    <row r="1486" spans="12:16">
      <c r="L1486"/>
      <c r="M1486"/>
      <c r="O1486"/>
      <c r="P1486"/>
    </row>
    <row r="1487" spans="12:16">
      <c r="L1487"/>
      <c r="M1487"/>
      <c r="O1487"/>
      <c r="P1487"/>
    </row>
    <row r="1488" spans="12:16">
      <c r="L1488"/>
      <c r="M1488"/>
      <c r="O1488"/>
      <c r="P1488"/>
    </row>
    <row r="1489" spans="12:16">
      <c r="L1489"/>
      <c r="M1489"/>
      <c r="O1489"/>
      <c r="P1489"/>
    </row>
    <row r="1490" spans="12:16">
      <c r="L1490"/>
      <c r="M1490"/>
      <c r="O1490"/>
      <c r="P1490"/>
    </row>
    <row r="1491" spans="12:16">
      <c r="L1491"/>
      <c r="M1491"/>
      <c r="O1491"/>
      <c r="P1491"/>
    </row>
    <row r="1492" spans="12:16">
      <c r="L1492"/>
      <c r="M1492"/>
      <c r="O1492"/>
      <c r="P1492"/>
    </row>
    <row r="1493" spans="12:16">
      <c r="L1493"/>
      <c r="M1493"/>
      <c r="O1493"/>
      <c r="P1493"/>
    </row>
    <row r="1494" spans="12:16">
      <c r="L1494"/>
      <c r="M1494"/>
      <c r="O1494"/>
      <c r="P1494"/>
    </row>
    <row r="1495" spans="12:16">
      <c r="L1495"/>
      <c r="M1495"/>
      <c r="O1495"/>
      <c r="P1495"/>
    </row>
    <row r="1496" spans="12:16">
      <c r="L1496"/>
      <c r="M1496"/>
      <c r="O1496"/>
      <c r="P1496"/>
    </row>
    <row r="1497" spans="12:16">
      <c r="L1497"/>
      <c r="M1497"/>
      <c r="O1497"/>
      <c r="P1497"/>
    </row>
    <row r="1498" spans="12:16">
      <c r="L1498"/>
      <c r="M1498"/>
      <c r="O1498"/>
      <c r="P1498"/>
    </row>
    <row r="1499" spans="12:16">
      <c r="L1499"/>
      <c r="M1499"/>
      <c r="O1499"/>
      <c r="P1499"/>
    </row>
    <row r="1500" spans="12:16">
      <c r="L1500"/>
      <c r="M1500"/>
      <c r="O1500"/>
      <c r="P1500"/>
    </row>
    <row r="1501" spans="12:16">
      <c r="L1501"/>
      <c r="M1501"/>
      <c r="O1501"/>
      <c r="P1501"/>
    </row>
    <row r="1502" spans="12:16">
      <c r="L1502"/>
      <c r="M1502"/>
      <c r="O1502"/>
      <c r="P1502"/>
    </row>
    <row r="1503" spans="12:16">
      <c r="L1503"/>
      <c r="M1503"/>
      <c r="O1503"/>
      <c r="P1503"/>
    </row>
    <row r="1504" spans="12:16">
      <c r="L1504"/>
      <c r="M1504"/>
      <c r="O1504"/>
      <c r="P1504"/>
    </row>
    <row r="1505" spans="12:16">
      <c r="L1505"/>
      <c r="M1505"/>
      <c r="O1505"/>
      <c r="P1505"/>
    </row>
    <row r="1506" spans="12:16">
      <c r="L1506"/>
      <c r="M1506"/>
      <c r="O1506"/>
      <c r="P1506"/>
    </row>
    <row r="1507" spans="12:16">
      <c r="L1507"/>
      <c r="M1507"/>
      <c r="O1507"/>
      <c r="P1507"/>
    </row>
    <row r="1508" spans="12:16">
      <c r="L1508"/>
      <c r="M1508"/>
      <c r="O1508"/>
      <c r="P1508"/>
    </row>
    <row r="1509" spans="12:16">
      <c r="L1509"/>
      <c r="M1509"/>
      <c r="O1509"/>
      <c r="P1509"/>
    </row>
    <row r="1510" spans="12:16">
      <c r="L1510"/>
      <c r="M1510"/>
      <c r="O1510"/>
      <c r="P1510"/>
    </row>
    <row r="1511" spans="12:16">
      <c r="L1511"/>
      <c r="M1511"/>
      <c r="O1511"/>
      <c r="P1511"/>
    </row>
    <row r="1512" spans="12:16">
      <c r="L1512"/>
      <c r="M1512"/>
      <c r="O1512"/>
      <c r="P1512"/>
    </row>
    <row r="1513" spans="12:16">
      <c r="L1513"/>
      <c r="M1513"/>
      <c r="O1513"/>
      <c r="P1513"/>
    </row>
    <row r="1514" spans="12:16">
      <c r="L1514"/>
      <c r="M1514"/>
      <c r="O1514"/>
      <c r="P1514"/>
    </row>
    <row r="1515" spans="12:16">
      <c r="L1515"/>
      <c r="M1515"/>
      <c r="O1515"/>
      <c r="P1515"/>
    </row>
    <row r="1516" spans="12:16">
      <c r="L1516"/>
      <c r="M1516"/>
      <c r="O1516"/>
      <c r="P1516"/>
    </row>
    <row r="1517" spans="12:16">
      <c r="L1517"/>
      <c r="M1517"/>
      <c r="O1517"/>
      <c r="P1517"/>
    </row>
    <row r="1518" spans="12:16">
      <c r="L1518"/>
      <c r="M1518"/>
      <c r="O1518"/>
      <c r="P1518"/>
    </row>
    <row r="1519" spans="12:16">
      <c r="L1519"/>
      <c r="M1519"/>
      <c r="O1519"/>
      <c r="P1519"/>
    </row>
    <row r="1520" spans="12:16">
      <c r="L1520"/>
      <c r="M1520"/>
      <c r="O1520"/>
      <c r="P1520"/>
    </row>
    <row r="1521" spans="12:16">
      <c r="L1521"/>
      <c r="M1521"/>
      <c r="O1521"/>
      <c r="P1521"/>
    </row>
    <row r="1522" spans="12:16">
      <c r="L1522"/>
      <c r="M1522"/>
      <c r="O1522"/>
      <c r="P1522"/>
    </row>
    <row r="1523" spans="12:16">
      <c r="L1523"/>
      <c r="M1523"/>
      <c r="O1523"/>
      <c r="P1523"/>
    </row>
    <row r="1524" spans="12:16">
      <c r="L1524"/>
      <c r="M1524"/>
      <c r="O1524"/>
      <c r="P1524"/>
    </row>
    <row r="1525" spans="12:16">
      <c r="L1525"/>
      <c r="M1525"/>
      <c r="O1525"/>
      <c r="P1525"/>
    </row>
    <row r="1526" spans="12:16">
      <c r="L1526"/>
      <c r="M1526"/>
      <c r="O1526"/>
      <c r="P1526"/>
    </row>
    <row r="1527" spans="12:16">
      <c r="L1527"/>
      <c r="M1527"/>
      <c r="O1527"/>
      <c r="P1527"/>
    </row>
    <row r="1528" spans="12:16">
      <c r="L1528"/>
      <c r="M1528"/>
      <c r="O1528"/>
      <c r="P1528"/>
    </row>
    <row r="1529" spans="12:16">
      <c r="L1529"/>
      <c r="M1529"/>
      <c r="O1529"/>
      <c r="P1529"/>
    </row>
    <row r="1530" spans="12:16">
      <c r="L1530"/>
      <c r="M1530"/>
      <c r="O1530"/>
      <c r="P1530"/>
    </row>
    <row r="1531" spans="12:16">
      <c r="L1531"/>
      <c r="M1531"/>
      <c r="O1531"/>
      <c r="P1531"/>
    </row>
    <row r="1532" spans="12:16">
      <c r="L1532"/>
      <c r="M1532"/>
      <c r="O1532"/>
      <c r="P1532"/>
    </row>
    <row r="1533" spans="12:16">
      <c r="L1533"/>
      <c r="M1533"/>
      <c r="O1533"/>
      <c r="P1533"/>
    </row>
    <row r="1534" spans="12:16">
      <c r="L1534"/>
      <c r="M1534"/>
      <c r="O1534"/>
      <c r="P1534"/>
    </row>
    <row r="1535" spans="12:16">
      <c r="L1535"/>
      <c r="M1535"/>
      <c r="O1535"/>
      <c r="P1535"/>
    </row>
    <row r="1536" spans="12:16">
      <c r="L1536"/>
      <c r="M1536"/>
      <c r="O1536"/>
      <c r="P1536"/>
    </row>
    <row r="1537" spans="12:16">
      <c r="L1537"/>
      <c r="M1537"/>
      <c r="O1537"/>
      <c r="P1537"/>
    </row>
    <row r="1538" spans="12:16">
      <c r="L1538"/>
      <c r="M1538"/>
      <c r="O1538"/>
      <c r="P1538"/>
    </row>
    <row r="1539" spans="12:16">
      <c r="L1539"/>
      <c r="M1539"/>
      <c r="O1539"/>
      <c r="P1539"/>
    </row>
    <row r="1540" spans="12:16">
      <c r="L1540"/>
      <c r="M1540"/>
      <c r="O1540"/>
      <c r="P1540"/>
    </row>
    <row r="1541" spans="12:16">
      <c r="L1541"/>
      <c r="M1541"/>
      <c r="O1541"/>
      <c r="P1541"/>
    </row>
    <row r="1542" spans="12:16">
      <c r="L1542"/>
      <c r="M1542"/>
      <c r="O1542"/>
      <c r="P1542"/>
    </row>
    <row r="1543" spans="12:16">
      <c r="L1543"/>
      <c r="M1543"/>
      <c r="O1543"/>
      <c r="P1543"/>
    </row>
    <row r="1544" spans="12:16">
      <c r="L1544"/>
      <c r="M1544"/>
      <c r="O1544"/>
      <c r="P1544"/>
    </row>
    <row r="1545" spans="12:16">
      <c r="L1545"/>
      <c r="M1545"/>
      <c r="O1545"/>
      <c r="P1545"/>
    </row>
    <row r="1546" spans="12:16">
      <c r="L1546"/>
      <c r="M1546"/>
      <c r="O1546"/>
      <c r="P1546"/>
    </row>
    <row r="1547" spans="12:16">
      <c r="L1547"/>
      <c r="M1547"/>
      <c r="O1547"/>
      <c r="P1547"/>
    </row>
    <row r="1548" spans="12:16">
      <c r="L1548"/>
      <c r="M1548"/>
      <c r="O1548"/>
      <c r="P1548"/>
    </row>
    <row r="1549" spans="12:16">
      <c r="L1549"/>
      <c r="M1549"/>
      <c r="O1549"/>
      <c r="P1549"/>
    </row>
    <row r="1550" spans="12:16">
      <c r="L1550"/>
      <c r="M1550"/>
      <c r="O1550"/>
      <c r="P1550"/>
    </row>
    <row r="1551" spans="12:16">
      <c r="L1551"/>
      <c r="M1551"/>
      <c r="O1551"/>
      <c r="P1551"/>
    </row>
    <row r="1552" spans="12:16">
      <c r="L1552"/>
      <c r="M1552"/>
      <c r="O1552"/>
      <c r="P1552"/>
    </row>
    <row r="1553" spans="12:16">
      <c r="L1553"/>
      <c r="M1553"/>
      <c r="O1553"/>
      <c r="P1553"/>
    </row>
    <row r="1554" spans="12:16">
      <c r="L1554"/>
      <c r="M1554"/>
      <c r="O1554"/>
      <c r="P1554"/>
    </row>
    <row r="1555" spans="12:16">
      <c r="L1555"/>
      <c r="M1555"/>
      <c r="O1555"/>
      <c r="P1555"/>
    </row>
    <row r="1556" spans="12:16">
      <c r="L1556"/>
      <c r="M1556"/>
      <c r="O1556"/>
      <c r="P1556"/>
    </row>
    <row r="1557" spans="12:16">
      <c r="L1557"/>
      <c r="M1557"/>
      <c r="O1557"/>
      <c r="P1557"/>
    </row>
    <row r="1558" spans="12:16">
      <c r="L1558"/>
      <c r="M1558"/>
      <c r="O1558"/>
      <c r="P1558"/>
    </row>
    <row r="1559" spans="12:16">
      <c r="L1559"/>
      <c r="M1559"/>
      <c r="O1559"/>
      <c r="P1559"/>
    </row>
    <row r="1560" spans="12:16">
      <c r="L1560"/>
      <c r="M1560"/>
      <c r="O1560"/>
      <c r="P1560"/>
    </row>
    <row r="1561" spans="12:16">
      <c r="L1561"/>
      <c r="M1561"/>
      <c r="O1561"/>
      <c r="P1561"/>
    </row>
    <row r="1562" spans="12:16">
      <c r="L1562"/>
      <c r="M1562"/>
      <c r="O1562"/>
      <c r="P1562"/>
    </row>
    <row r="1563" spans="12:16">
      <c r="L1563"/>
      <c r="M1563"/>
      <c r="O1563"/>
      <c r="P1563"/>
    </row>
    <row r="1564" spans="12:16">
      <c r="L1564"/>
      <c r="M1564"/>
      <c r="O1564"/>
      <c r="P1564"/>
    </row>
    <row r="1565" spans="12:16">
      <c r="L1565"/>
      <c r="M1565"/>
      <c r="O1565"/>
      <c r="P1565"/>
    </row>
    <row r="1566" spans="12:16">
      <c r="L1566"/>
      <c r="M1566"/>
      <c r="O1566"/>
      <c r="P1566"/>
    </row>
    <row r="1567" spans="12:16">
      <c r="L1567"/>
      <c r="M1567"/>
      <c r="O1567"/>
      <c r="P1567"/>
    </row>
    <row r="1568" spans="12:16">
      <c r="L1568"/>
      <c r="M1568"/>
      <c r="O1568"/>
      <c r="P1568"/>
    </row>
    <row r="1569" spans="12:16">
      <c r="L1569"/>
      <c r="M1569"/>
      <c r="O1569"/>
      <c r="P1569"/>
    </row>
    <row r="1570" spans="12:16">
      <c r="L1570"/>
      <c r="M1570"/>
      <c r="O1570"/>
      <c r="P1570"/>
    </row>
    <row r="1571" spans="12:16">
      <c r="L1571"/>
      <c r="M1571"/>
      <c r="O1571"/>
      <c r="P1571"/>
    </row>
    <row r="1572" spans="12:16">
      <c r="L1572"/>
      <c r="M1572"/>
      <c r="O1572"/>
      <c r="P1572"/>
    </row>
    <row r="1573" spans="12:16">
      <c r="L1573"/>
      <c r="M1573"/>
      <c r="O1573"/>
      <c r="P1573"/>
    </row>
    <row r="1574" spans="12:16">
      <c r="L1574"/>
      <c r="M1574"/>
      <c r="O1574"/>
      <c r="P1574"/>
    </row>
    <row r="1575" spans="12:16">
      <c r="L1575"/>
      <c r="M1575"/>
      <c r="O1575"/>
      <c r="P1575"/>
    </row>
    <row r="1576" spans="12:16">
      <c r="L1576"/>
      <c r="M1576"/>
      <c r="O1576"/>
      <c r="P1576"/>
    </row>
    <row r="1577" spans="12:16">
      <c r="L1577"/>
      <c r="M1577"/>
      <c r="O1577"/>
      <c r="P1577"/>
    </row>
    <row r="1578" spans="12:16">
      <c r="L1578"/>
      <c r="M1578"/>
      <c r="O1578"/>
      <c r="P1578"/>
    </row>
    <row r="1579" spans="12:16">
      <c r="L1579"/>
      <c r="M1579"/>
      <c r="O1579"/>
      <c r="P1579"/>
    </row>
    <row r="1580" spans="12:16">
      <c r="L1580"/>
      <c r="M1580"/>
      <c r="O1580"/>
      <c r="P1580"/>
    </row>
    <row r="1581" spans="12:16">
      <c r="L1581"/>
      <c r="M1581"/>
      <c r="O1581"/>
      <c r="P1581"/>
    </row>
    <row r="1582" spans="12:16">
      <c r="L1582"/>
      <c r="M1582"/>
      <c r="O1582"/>
      <c r="P1582"/>
    </row>
    <row r="1583" spans="12:16">
      <c r="L1583"/>
      <c r="M1583"/>
      <c r="O1583"/>
      <c r="P1583"/>
    </row>
    <row r="1584" spans="12:16">
      <c r="L1584"/>
      <c r="M1584"/>
      <c r="O1584"/>
      <c r="P1584"/>
    </row>
    <row r="1585" spans="12:16">
      <c r="L1585"/>
      <c r="M1585"/>
      <c r="O1585"/>
      <c r="P1585"/>
    </row>
    <row r="1586" spans="12:16">
      <c r="L1586"/>
      <c r="M1586"/>
      <c r="O1586"/>
      <c r="P1586"/>
    </row>
    <row r="1587" spans="12:16">
      <c r="L1587"/>
      <c r="M1587"/>
      <c r="O1587"/>
      <c r="P1587"/>
    </row>
    <row r="1588" spans="12:16">
      <c r="L1588"/>
      <c r="M1588"/>
      <c r="O1588"/>
      <c r="P1588"/>
    </row>
    <row r="1589" spans="12:16">
      <c r="L1589"/>
      <c r="M1589"/>
      <c r="O1589"/>
      <c r="P1589"/>
    </row>
    <row r="1590" spans="12:16">
      <c r="L1590"/>
      <c r="M1590"/>
      <c r="O1590"/>
      <c r="P1590"/>
    </row>
    <row r="1591" spans="12:16">
      <c r="L1591"/>
      <c r="M1591"/>
      <c r="O1591"/>
      <c r="P1591"/>
    </row>
    <row r="1592" spans="12:16">
      <c r="L1592"/>
      <c r="M1592"/>
      <c r="O1592"/>
      <c r="P1592"/>
    </row>
    <row r="1593" spans="12:16">
      <c r="L1593"/>
      <c r="M1593"/>
      <c r="O1593"/>
      <c r="P1593"/>
    </row>
    <row r="1594" spans="12:16">
      <c r="L1594"/>
      <c r="M1594"/>
      <c r="O1594"/>
      <c r="P1594"/>
    </row>
    <row r="1595" spans="12:16">
      <c r="L1595"/>
      <c r="M1595"/>
      <c r="O1595"/>
      <c r="P1595"/>
    </row>
    <row r="1596" spans="12:16">
      <c r="L1596"/>
      <c r="M1596"/>
      <c r="O1596"/>
      <c r="P1596"/>
    </row>
    <row r="1597" spans="12:16">
      <c r="L1597"/>
      <c r="M1597"/>
      <c r="O1597"/>
      <c r="P1597"/>
    </row>
    <row r="1598" spans="12:16">
      <c r="L1598"/>
      <c r="M1598"/>
      <c r="O1598"/>
      <c r="P1598"/>
    </row>
    <row r="1599" spans="12:16">
      <c r="L1599"/>
      <c r="M1599"/>
      <c r="O1599"/>
      <c r="P1599"/>
    </row>
    <row r="1600" spans="12:16">
      <c r="L1600"/>
      <c r="M1600"/>
      <c r="O1600"/>
      <c r="P1600"/>
    </row>
    <row r="1601" spans="12:16">
      <c r="L1601"/>
      <c r="M1601"/>
      <c r="O1601"/>
      <c r="P1601"/>
    </row>
    <row r="1602" spans="12:16">
      <c r="L1602"/>
      <c r="M1602"/>
      <c r="O1602"/>
      <c r="P1602"/>
    </row>
    <row r="1603" spans="12:16">
      <c r="L1603"/>
      <c r="M1603"/>
      <c r="O1603"/>
      <c r="P1603"/>
    </row>
    <row r="1604" spans="12:16">
      <c r="L1604"/>
      <c r="M1604"/>
      <c r="O1604"/>
      <c r="P1604"/>
    </row>
    <row r="1605" spans="12:16">
      <c r="L1605"/>
      <c r="M1605"/>
      <c r="O1605"/>
      <c r="P1605"/>
    </row>
    <row r="1606" spans="12:16">
      <c r="L1606"/>
      <c r="M1606"/>
      <c r="O1606"/>
      <c r="P1606"/>
    </row>
    <row r="1607" spans="12:16">
      <c r="L1607"/>
      <c r="M1607"/>
      <c r="O1607"/>
      <c r="P1607"/>
    </row>
    <row r="1608" spans="12:16">
      <c r="L1608"/>
      <c r="M1608"/>
      <c r="O1608"/>
      <c r="P1608"/>
    </row>
    <row r="1609" spans="12:16">
      <c r="L1609"/>
      <c r="M1609"/>
      <c r="O1609"/>
      <c r="P1609"/>
    </row>
    <row r="1610" spans="12:16">
      <c r="L1610"/>
      <c r="M1610"/>
      <c r="O1610"/>
      <c r="P1610"/>
    </row>
    <row r="1611" spans="12:16">
      <c r="L1611"/>
      <c r="M1611"/>
      <c r="O1611"/>
      <c r="P1611"/>
    </row>
    <row r="1612" spans="12:16">
      <c r="L1612"/>
      <c r="M1612"/>
      <c r="O1612"/>
      <c r="P1612"/>
    </row>
    <row r="1613" spans="12:16">
      <c r="L1613"/>
      <c r="M1613"/>
      <c r="O1613"/>
      <c r="P1613"/>
    </row>
    <row r="1614" spans="12:16">
      <c r="L1614"/>
      <c r="M1614"/>
      <c r="O1614"/>
      <c r="P1614"/>
    </row>
    <row r="1615" spans="12:16">
      <c r="L1615"/>
      <c r="M1615"/>
      <c r="O1615"/>
      <c r="P1615"/>
    </row>
    <row r="1616" spans="12:16">
      <c r="L1616"/>
      <c r="M1616"/>
      <c r="O1616"/>
      <c r="P1616"/>
    </row>
    <row r="1617" spans="12:16">
      <c r="L1617"/>
      <c r="M1617"/>
      <c r="O1617"/>
      <c r="P1617"/>
    </row>
    <row r="1618" spans="12:16">
      <c r="L1618"/>
      <c r="M1618"/>
      <c r="O1618"/>
      <c r="P1618"/>
    </row>
    <row r="1619" spans="12:16">
      <c r="L1619"/>
      <c r="M1619"/>
      <c r="O1619"/>
      <c r="P1619"/>
    </row>
    <row r="1620" spans="12:16">
      <c r="L1620"/>
      <c r="M1620"/>
      <c r="O1620"/>
      <c r="P1620"/>
    </row>
    <row r="1621" spans="12:16">
      <c r="L1621"/>
      <c r="M1621"/>
      <c r="O1621"/>
      <c r="P1621"/>
    </row>
    <row r="1622" spans="12:16">
      <c r="L1622"/>
      <c r="M1622"/>
      <c r="O1622"/>
      <c r="P1622"/>
    </row>
    <row r="1623" spans="12:16">
      <c r="L1623"/>
      <c r="M1623"/>
      <c r="O1623"/>
      <c r="P1623"/>
    </row>
    <row r="1624" spans="12:16">
      <c r="L1624"/>
      <c r="M1624"/>
      <c r="O1624"/>
      <c r="P1624"/>
    </row>
    <row r="1625" spans="12:16">
      <c r="L1625"/>
      <c r="M1625"/>
      <c r="O1625"/>
      <c r="P1625"/>
    </row>
    <row r="1626" spans="12:16">
      <c r="L1626"/>
      <c r="M1626"/>
      <c r="O1626"/>
      <c r="P1626"/>
    </row>
    <row r="1627" spans="12:16">
      <c r="L1627"/>
      <c r="M1627"/>
      <c r="O1627"/>
      <c r="P1627"/>
    </row>
    <row r="1628" spans="12:16">
      <c r="L1628"/>
      <c r="M1628"/>
      <c r="O1628"/>
      <c r="P1628"/>
    </row>
    <row r="1629" spans="12:16">
      <c r="L1629"/>
      <c r="M1629"/>
      <c r="O1629"/>
      <c r="P1629"/>
    </row>
    <row r="1630" spans="12:16">
      <c r="L1630"/>
      <c r="M1630"/>
      <c r="O1630"/>
      <c r="P1630"/>
    </row>
    <row r="1631" spans="12:16">
      <c r="L1631"/>
      <c r="M1631"/>
      <c r="O1631"/>
      <c r="P1631"/>
    </row>
    <row r="1632" spans="12:16">
      <c r="L1632"/>
      <c r="M1632"/>
      <c r="O1632"/>
      <c r="P1632"/>
    </row>
    <row r="1633" spans="12:16">
      <c r="L1633"/>
      <c r="M1633"/>
      <c r="O1633"/>
      <c r="P1633"/>
    </row>
    <row r="1634" spans="12:16">
      <c r="L1634"/>
      <c r="M1634"/>
      <c r="O1634"/>
      <c r="P1634"/>
    </row>
    <row r="1635" spans="12:16">
      <c r="L1635"/>
      <c r="M1635"/>
      <c r="O1635"/>
      <c r="P1635"/>
    </row>
    <row r="1636" spans="12:16">
      <c r="L1636"/>
      <c r="M1636"/>
      <c r="O1636"/>
      <c r="P1636"/>
    </row>
    <row r="1637" spans="12:16">
      <c r="L1637"/>
      <c r="M1637"/>
      <c r="O1637"/>
      <c r="P1637"/>
    </row>
    <row r="1638" spans="12:16">
      <c r="L1638"/>
      <c r="M1638"/>
      <c r="O1638"/>
      <c r="P1638"/>
    </row>
    <row r="1639" spans="12:16">
      <c r="L1639"/>
      <c r="M1639"/>
      <c r="O1639"/>
      <c r="P1639"/>
    </row>
    <row r="1640" spans="12:16">
      <c r="L1640"/>
      <c r="M1640"/>
      <c r="O1640"/>
      <c r="P1640"/>
    </row>
    <row r="1641" spans="12:16">
      <c r="L1641"/>
      <c r="M1641"/>
      <c r="O1641"/>
      <c r="P1641"/>
    </row>
    <row r="1642" spans="12:16">
      <c r="L1642"/>
      <c r="M1642"/>
      <c r="O1642"/>
      <c r="P1642"/>
    </row>
    <row r="1643" spans="12:16">
      <c r="L1643"/>
      <c r="M1643"/>
      <c r="O1643"/>
      <c r="P1643"/>
    </row>
    <row r="1644" spans="12:16">
      <c r="L1644"/>
      <c r="M1644"/>
      <c r="O1644"/>
      <c r="P1644"/>
    </row>
    <row r="1645" spans="12:16">
      <c r="L1645"/>
      <c r="M1645"/>
      <c r="O1645"/>
      <c r="P1645"/>
    </row>
    <row r="1646" spans="12:16">
      <c r="L1646"/>
      <c r="M1646"/>
      <c r="O1646"/>
      <c r="P1646"/>
    </row>
    <row r="1647" spans="12:16">
      <c r="L1647"/>
      <c r="M1647"/>
      <c r="O1647"/>
      <c r="P1647"/>
    </row>
    <row r="1648" spans="12:16">
      <c r="L1648"/>
      <c r="M1648"/>
      <c r="O1648"/>
      <c r="P1648"/>
    </row>
    <row r="1649" spans="12:16">
      <c r="L1649"/>
      <c r="M1649"/>
      <c r="O1649"/>
      <c r="P1649"/>
    </row>
    <row r="1650" spans="12:16">
      <c r="L1650"/>
      <c r="M1650"/>
      <c r="O1650"/>
      <c r="P1650"/>
    </row>
    <row r="1651" spans="12:16">
      <c r="L1651"/>
      <c r="M1651"/>
      <c r="O1651"/>
      <c r="P1651"/>
    </row>
    <row r="1652" spans="12:16">
      <c r="L1652"/>
      <c r="M1652"/>
      <c r="O1652"/>
      <c r="P1652"/>
    </row>
    <row r="1653" spans="12:16">
      <c r="L1653"/>
      <c r="M1653"/>
      <c r="O1653"/>
      <c r="P1653"/>
    </row>
    <row r="1654" spans="12:16">
      <c r="L1654"/>
      <c r="M1654"/>
      <c r="O1654"/>
      <c r="P1654"/>
    </row>
    <row r="1655" spans="12:16">
      <c r="L1655"/>
      <c r="M1655"/>
      <c r="O1655"/>
      <c r="P1655"/>
    </row>
    <row r="1656" spans="12:16">
      <c r="L1656"/>
      <c r="M1656"/>
      <c r="O1656"/>
      <c r="P1656"/>
    </row>
    <row r="1657" spans="12:16">
      <c r="L1657"/>
      <c r="M1657"/>
      <c r="O1657"/>
      <c r="P1657"/>
    </row>
    <row r="1658" spans="12:16">
      <c r="L1658"/>
      <c r="M1658"/>
      <c r="O1658"/>
      <c r="P1658"/>
    </row>
    <row r="1659" spans="12:16">
      <c r="L1659"/>
      <c r="M1659"/>
      <c r="O1659"/>
      <c r="P1659"/>
    </row>
    <row r="1660" spans="12:16">
      <c r="L1660"/>
      <c r="M1660"/>
      <c r="O1660"/>
      <c r="P1660"/>
    </row>
    <row r="1661" spans="12:16">
      <c r="L1661"/>
      <c r="M1661"/>
      <c r="O1661"/>
      <c r="P1661"/>
    </row>
    <row r="1662" spans="12:16">
      <c r="L1662"/>
      <c r="M1662"/>
      <c r="O1662"/>
      <c r="P1662"/>
    </row>
    <row r="1663" spans="12:16">
      <c r="L1663"/>
      <c r="M1663"/>
      <c r="O1663"/>
      <c r="P1663"/>
    </row>
    <row r="1664" spans="12:16">
      <c r="L1664"/>
      <c r="M1664"/>
      <c r="O1664"/>
      <c r="P1664"/>
    </row>
    <row r="1665" spans="12:16">
      <c r="L1665"/>
      <c r="M1665"/>
      <c r="O1665"/>
      <c r="P1665"/>
    </row>
    <row r="1666" spans="12:16">
      <c r="L1666"/>
      <c r="M1666"/>
      <c r="O1666"/>
      <c r="P1666"/>
    </row>
    <row r="1667" spans="12:16">
      <c r="L1667"/>
      <c r="M1667"/>
      <c r="O1667"/>
      <c r="P1667"/>
    </row>
    <row r="1668" spans="12:16">
      <c r="L1668"/>
      <c r="M1668"/>
      <c r="O1668"/>
      <c r="P1668"/>
    </row>
    <row r="1669" spans="12:16">
      <c r="L1669"/>
      <c r="M1669"/>
      <c r="O1669"/>
      <c r="P1669"/>
    </row>
    <row r="1670" spans="12:16">
      <c r="L1670"/>
      <c r="M1670"/>
      <c r="O1670"/>
      <c r="P1670"/>
    </row>
    <row r="1671" spans="12:16">
      <c r="L1671"/>
      <c r="M1671"/>
      <c r="O1671"/>
      <c r="P1671"/>
    </row>
    <row r="1672" spans="12:16">
      <c r="L1672"/>
      <c r="M1672"/>
      <c r="O1672"/>
      <c r="P1672"/>
    </row>
    <row r="1673" spans="12:16">
      <c r="L1673"/>
      <c r="M1673"/>
      <c r="O1673"/>
      <c r="P1673"/>
    </row>
    <row r="1674" spans="12:16">
      <c r="L1674"/>
      <c r="M1674"/>
      <c r="O1674"/>
      <c r="P1674"/>
    </row>
    <row r="1675" spans="12:16">
      <c r="L1675"/>
      <c r="M1675"/>
      <c r="O1675"/>
      <c r="P1675"/>
    </row>
    <row r="1676" spans="12:16">
      <c r="L1676"/>
      <c r="M1676"/>
      <c r="O1676"/>
      <c r="P1676"/>
    </row>
    <row r="1677" spans="12:16">
      <c r="L1677"/>
      <c r="M1677"/>
      <c r="O1677"/>
      <c r="P1677"/>
    </row>
    <row r="1678" spans="12:16">
      <c r="L1678"/>
      <c r="M1678"/>
      <c r="O1678"/>
      <c r="P1678"/>
    </row>
    <row r="1679" spans="12:16">
      <c r="L1679"/>
      <c r="M1679"/>
      <c r="O1679"/>
      <c r="P1679"/>
    </row>
    <row r="1680" spans="12:16">
      <c r="L1680"/>
      <c r="M1680"/>
      <c r="O1680"/>
      <c r="P1680"/>
    </row>
    <row r="1681" spans="12:16">
      <c r="L1681"/>
      <c r="M1681"/>
      <c r="O1681"/>
      <c r="P1681"/>
    </row>
    <row r="1682" spans="12:16">
      <c r="L1682"/>
      <c r="M1682"/>
      <c r="O1682"/>
      <c r="P1682"/>
    </row>
    <row r="1683" spans="12:16">
      <c r="L1683"/>
      <c r="M1683"/>
      <c r="O1683"/>
      <c r="P1683"/>
    </row>
    <row r="1684" spans="12:16">
      <c r="L1684"/>
      <c r="M1684"/>
      <c r="O1684"/>
      <c r="P1684"/>
    </row>
    <row r="1685" spans="12:16">
      <c r="L1685"/>
      <c r="M1685"/>
      <c r="O1685"/>
      <c r="P1685"/>
    </row>
    <row r="1686" spans="12:16">
      <c r="L1686"/>
      <c r="M1686"/>
      <c r="O1686"/>
      <c r="P1686"/>
    </row>
    <row r="1687" spans="12:16">
      <c r="L1687"/>
      <c r="M1687"/>
      <c r="O1687"/>
      <c r="P1687"/>
    </row>
    <row r="1688" spans="12:16">
      <c r="L1688"/>
      <c r="M1688"/>
      <c r="O1688"/>
      <c r="P1688"/>
    </row>
    <row r="1689" spans="12:16">
      <c r="L1689"/>
      <c r="M1689"/>
      <c r="O1689"/>
      <c r="P1689"/>
    </row>
    <row r="1690" spans="12:16">
      <c r="L1690"/>
      <c r="M1690"/>
      <c r="O1690"/>
      <c r="P1690"/>
    </row>
    <row r="1691" spans="12:16">
      <c r="L1691"/>
      <c r="M1691"/>
      <c r="O1691"/>
      <c r="P1691"/>
    </row>
    <row r="1692" spans="12:16">
      <c r="L1692"/>
      <c r="M1692"/>
      <c r="O1692"/>
      <c r="P1692"/>
    </row>
    <row r="1693" spans="12:16">
      <c r="L1693"/>
      <c r="M1693"/>
      <c r="O1693"/>
      <c r="P1693"/>
    </row>
    <row r="1694" spans="12:16">
      <c r="L1694"/>
      <c r="M1694"/>
      <c r="O1694"/>
      <c r="P1694"/>
    </row>
    <row r="1695" spans="12:16">
      <c r="L1695"/>
      <c r="M1695"/>
      <c r="O1695"/>
      <c r="P1695"/>
    </row>
    <row r="1696" spans="12:16">
      <c r="L1696"/>
      <c r="M1696"/>
      <c r="O1696"/>
      <c r="P1696"/>
    </row>
    <row r="1697" spans="12:16">
      <c r="L1697"/>
      <c r="M1697"/>
      <c r="O1697"/>
      <c r="P1697"/>
    </row>
    <row r="1698" spans="12:16">
      <c r="L1698"/>
      <c r="M1698"/>
      <c r="O1698"/>
      <c r="P1698"/>
    </row>
    <row r="1699" spans="12:16">
      <c r="L1699"/>
      <c r="M1699"/>
      <c r="O1699"/>
      <c r="P1699"/>
    </row>
    <row r="1700" spans="12:16">
      <c r="L1700"/>
      <c r="M1700"/>
      <c r="O1700"/>
      <c r="P1700"/>
    </row>
    <row r="1701" spans="12:16">
      <c r="L1701"/>
      <c r="M1701"/>
      <c r="O1701"/>
      <c r="P1701"/>
    </row>
    <row r="1702" spans="12:16">
      <c r="L1702"/>
      <c r="M1702"/>
      <c r="O1702"/>
      <c r="P1702"/>
    </row>
    <row r="1703" spans="12:16">
      <c r="L1703"/>
      <c r="M1703"/>
      <c r="O1703"/>
      <c r="P1703"/>
    </row>
    <row r="1704" spans="12:16">
      <c r="L1704"/>
      <c r="M1704"/>
      <c r="O1704"/>
      <c r="P1704"/>
    </row>
    <row r="1705" spans="12:16">
      <c r="L1705"/>
      <c r="M1705"/>
      <c r="O1705"/>
      <c r="P1705"/>
    </row>
    <row r="1706" spans="12:16">
      <c r="L1706"/>
      <c r="M1706"/>
      <c r="O1706"/>
      <c r="P1706"/>
    </row>
    <row r="1707" spans="12:16">
      <c r="L1707"/>
      <c r="M1707"/>
      <c r="O1707"/>
      <c r="P1707"/>
    </row>
    <row r="1708" spans="12:16">
      <c r="L1708"/>
      <c r="M1708"/>
      <c r="O1708"/>
      <c r="P1708"/>
    </row>
    <row r="1709" spans="12:16">
      <c r="L1709"/>
      <c r="M1709"/>
      <c r="O1709"/>
      <c r="P1709"/>
    </row>
    <row r="1710" spans="12:16">
      <c r="L1710"/>
      <c r="M1710"/>
      <c r="O1710"/>
      <c r="P1710"/>
    </row>
    <row r="1711" spans="12:16">
      <c r="L1711"/>
      <c r="M1711"/>
      <c r="O1711"/>
      <c r="P1711"/>
    </row>
    <row r="1712" spans="12:16">
      <c r="L1712"/>
      <c r="M1712"/>
      <c r="O1712"/>
      <c r="P1712"/>
    </row>
    <row r="1713" spans="12:16">
      <c r="L1713"/>
      <c r="M1713"/>
      <c r="O1713"/>
      <c r="P1713"/>
    </row>
    <row r="1714" spans="12:16">
      <c r="L1714"/>
      <c r="M1714"/>
      <c r="O1714"/>
      <c r="P1714"/>
    </row>
    <row r="1715" spans="12:16">
      <c r="L1715"/>
      <c r="M1715"/>
      <c r="O1715"/>
      <c r="P1715"/>
    </row>
    <row r="1716" spans="12:16">
      <c r="L1716"/>
      <c r="M1716"/>
      <c r="O1716"/>
      <c r="P1716"/>
    </row>
    <row r="1717" spans="12:16">
      <c r="L1717"/>
      <c r="M1717"/>
      <c r="O1717"/>
      <c r="P1717"/>
    </row>
    <row r="1718" spans="12:16">
      <c r="L1718"/>
      <c r="M1718"/>
      <c r="O1718"/>
      <c r="P1718"/>
    </row>
    <row r="1719" spans="12:16">
      <c r="L1719"/>
      <c r="M1719"/>
      <c r="O1719"/>
      <c r="P1719"/>
    </row>
    <row r="1720" spans="12:16">
      <c r="L1720"/>
      <c r="M1720"/>
      <c r="O1720"/>
      <c r="P1720"/>
    </row>
    <row r="1721" spans="12:16">
      <c r="L1721"/>
      <c r="M1721"/>
      <c r="O1721"/>
      <c r="P1721"/>
    </row>
    <row r="1722" spans="12:16">
      <c r="L1722"/>
      <c r="M1722"/>
      <c r="O1722"/>
      <c r="P1722"/>
    </row>
    <row r="1723" spans="12:16">
      <c r="L1723"/>
      <c r="M1723"/>
      <c r="O1723"/>
      <c r="P1723"/>
    </row>
    <row r="1724" spans="12:16">
      <c r="L1724"/>
      <c r="M1724"/>
      <c r="O1724"/>
      <c r="P1724"/>
    </row>
    <row r="1725" spans="12:16">
      <c r="L1725"/>
      <c r="M1725"/>
      <c r="O1725"/>
      <c r="P1725"/>
    </row>
    <row r="1726" spans="12:16">
      <c r="L1726"/>
      <c r="M1726"/>
      <c r="O1726"/>
      <c r="P1726"/>
    </row>
    <row r="1727" spans="12:16">
      <c r="L1727"/>
      <c r="M1727"/>
      <c r="O1727"/>
      <c r="P1727"/>
    </row>
    <row r="1728" spans="12:16">
      <c r="L1728"/>
      <c r="M1728"/>
      <c r="O1728"/>
      <c r="P1728"/>
    </row>
    <row r="1729" spans="12:16">
      <c r="L1729"/>
      <c r="M1729"/>
      <c r="O1729"/>
      <c r="P1729"/>
    </row>
    <row r="1730" spans="12:16">
      <c r="L1730"/>
      <c r="M1730"/>
      <c r="O1730"/>
      <c r="P1730"/>
    </row>
    <row r="1731" spans="12:16">
      <c r="L1731"/>
      <c r="M1731"/>
      <c r="O1731"/>
      <c r="P1731"/>
    </row>
    <row r="1732" spans="12:16">
      <c r="L1732"/>
      <c r="M1732"/>
      <c r="O1732"/>
      <c r="P1732"/>
    </row>
    <row r="1733" spans="12:16">
      <c r="L1733"/>
      <c r="M1733"/>
      <c r="O1733"/>
      <c r="P1733"/>
    </row>
    <row r="1734" spans="12:16">
      <c r="L1734"/>
      <c r="M1734"/>
      <c r="O1734"/>
      <c r="P1734"/>
    </row>
    <row r="1735" spans="12:16">
      <c r="L1735"/>
      <c r="M1735"/>
      <c r="O1735"/>
      <c r="P1735"/>
    </row>
    <row r="1736" spans="12:16">
      <c r="L1736"/>
      <c r="M1736"/>
      <c r="O1736"/>
      <c r="P1736"/>
    </row>
    <row r="1737" spans="12:16">
      <c r="L1737"/>
      <c r="M1737"/>
      <c r="O1737"/>
      <c r="P1737"/>
    </row>
    <row r="1738" spans="12:16">
      <c r="L1738"/>
      <c r="M1738"/>
      <c r="O1738"/>
      <c r="P1738"/>
    </row>
    <row r="1739" spans="12:16">
      <c r="L1739"/>
      <c r="M1739"/>
      <c r="O1739"/>
      <c r="P1739"/>
    </row>
    <row r="1740" spans="12:16">
      <c r="L1740"/>
      <c r="M1740"/>
      <c r="O1740"/>
      <c r="P1740"/>
    </row>
    <row r="1741" spans="12:16">
      <c r="L1741"/>
      <c r="M1741"/>
      <c r="O1741"/>
      <c r="P1741"/>
    </row>
    <row r="1742" spans="12:16">
      <c r="L1742"/>
      <c r="M1742"/>
      <c r="O1742"/>
      <c r="P1742"/>
    </row>
    <row r="1743" spans="12:16">
      <c r="L1743"/>
      <c r="M1743"/>
      <c r="O1743"/>
      <c r="P1743"/>
    </row>
    <row r="1744" spans="12:16">
      <c r="L1744"/>
      <c r="M1744"/>
      <c r="O1744"/>
      <c r="P1744"/>
    </row>
    <row r="1745" spans="12:16">
      <c r="L1745"/>
      <c r="M1745"/>
      <c r="O1745"/>
      <c r="P1745"/>
    </row>
    <row r="1746" spans="12:16">
      <c r="L1746"/>
      <c r="M1746"/>
      <c r="O1746"/>
      <c r="P1746"/>
    </row>
    <row r="1747" spans="12:16">
      <c r="L1747"/>
      <c r="M1747"/>
      <c r="O1747"/>
      <c r="P1747"/>
    </row>
    <row r="1748" spans="12:16">
      <c r="L1748"/>
      <c r="M1748"/>
      <c r="O1748"/>
      <c r="P1748"/>
    </row>
    <row r="1749" spans="12:16">
      <c r="L1749"/>
      <c r="M1749"/>
      <c r="O1749"/>
      <c r="P1749"/>
    </row>
    <row r="1750" spans="12:16">
      <c r="L1750"/>
      <c r="M1750"/>
      <c r="O1750"/>
      <c r="P1750"/>
    </row>
    <row r="1751" spans="12:16">
      <c r="L1751"/>
      <c r="M1751"/>
      <c r="O1751"/>
      <c r="P1751"/>
    </row>
    <row r="1752" spans="12:16">
      <c r="L1752"/>
      <c r="M1752"/>
      <c r="O1752"/>
      <c r="P1752"/>
    </row>
    <row r="1753" spans="12:16">
      <c r="L1753"/>
      <c r="M1753"/>
      <c r="O1753"/>
      <c r="P1753"/>
    </row>
    <row r="1754" spans="12:16">
      <c r="L1754"/>
      <c r="M1754"/>
      <c r="O1754"/>
      <c r="P1754"/>
    </row>
    <row r="1755" spans="12:16">
      <c r="L1755"/>
      <c r="M1755"/>
      <c r="O1755"/>
      <c r="P1755"/>
    </row>
    <row r="1756" spans="12:16">
      <c r="L1756"/>
      <c r="M1756"/>
      <c r="O1756"/>
      <c r="P1756"/>
    </row>
    <row r="1757" spans="12:16">
      <c r="L1757"/>
      <c r="M1757"/>
      <c r="O1757"/>
      <c r="P1757"/>
    </row>
    <row r="1758" spans="12:16">
      <c r="L1758"/>
      <c r="M1758"/>
      <c r="O1758"/>
      <c r="P1758"/>
    </row>
    <row r="1759" spans="12:16">
      <c r="L1759"/>
      <c r="M1759"/>
      <c r="O1759"/>
      <c r="P1759"/>
    </row>
    <row r="1760" spans="12:16">
      <c r="L1760"/>
      <c r="M1760"/>
      <c r="O1760"/>
      <c r="P1760"/>
    </row>
    <row r="1761" spans="12:16">
      <c r="L1761"/>
      <c r="M1761"/>
      <c r="O1761"/>
      <c r="P1761"/>
    </row>
    <row r="1762" spans="12:16">
      <c r="L1762"/>
      <c r="M1762"/>
      <c r="O1762"/>
      <c r="P1762"/>
    </row>
    <row r="1763" spans="12:16">
      <c r="L1763"/>
      <c r="M1763"/>
      <c r="O1763"/>
      <c r="P1763"/>
    </row>
    <row r="1764" spans="12:16">
      <c r="L1764"/>
      <c r="M1764"/>
      <c r="O1764"/>
      <c r="P1764"/>
    </row>
    <row r="1765" spans="12:16">
      <c r="L1765"/>
      <c r="M1765"/>
      <c r="O1765"/>
      <c r="P1765"/>
    </row>
    <row r="1766" spans="12:16">
      <c r="L1766"/>
      <c r="M1766"/>
      <c r="O1766"/>
      <c r="P1766"/>
    </row>
    <row r="1767" spans="12:16">
      <c r="L1767"/>
      <c r="M1767"/>
      <c r="O1767"/>
      <c r="P1767"/>
    </row>
    <row r="1768" spans="12:16">
      <c r="L1768"/>
      <c r="M1768"/>
      <c r="O1768"/>
      <c r="P1768"/>
    </row>
    <row r="1769" spans="12:16">
      <c r="L1769"/>
      <c r="M1769"/>
      <c r="O1769"/>
      <c r="P1769"/>
    </row>
    <row r="1770" spans="12:16">
      <c r="L1770"/>
      <c r="M1770"/>
      <c r="O1770"/>
      <c r="P1770"/>
    </row>
    <row r="1771" spans="12:16">
      <c r="L1771"/>
      <c r="M1771"/>
      <c r="O1771"/>
      <c r="P1771"/>
    </row>
    <row r="1772" spans="12:16">
      <c r="L1772"/>
      <c r="M1772"/>
      <c r="O1772"/>
      <c r="P1772"/>
    </row>
    <row r="1773" spans="12:16">
      <c r="L1773"/>
      <c r="M1773"/>
      <c r="O1773"/>
      <c r="P1773"/>
    </row>
    <row r="1774" spans="12:16">
      <c r="L1774"/>
      <c r="M1774"/>
      <c r="O1774"/>
      <c r="P1774"/>
    </row>
    <row r="1775" spans="12:16">
      <c r="L1775"/>
      <c r="M1775"/>
      <c r="O1775"/>
      <c r="P1775"/>
    </row>
    <row r="1776" spans="12:16">
      <c r="L1776"/>
      <c r="M1776"/>
      <c r="O1776"/>
      <c r="P1776"/>
    </row>
    <row r="1777" spans="12:16">
      <c r="L1777"/>
      <c r="M1777"/>
      <c r="O1777"/>
      <c r="P1777"/>
    </row>
    <row r="1778" spans="12:16">
      <c r="L1778"/>
      <c r="M1778"/>
      <c r="O1778"/>
      <c r="P1778"/>
    </row>
    <row r="1779" spans="12:16">
      <c r="L1779"/>
      <c r="M1779"/>
      <c r="O1779"/>
      <c r="P1779"/>
    </row>
    <row r="1780" spans="12:16">
      <c r="L1780"/>
      <c r="M1780"/>
      <c r="O1780"/>
      <c r="P1780"/>
    </row>
    <row r="1781" spans="12:16">
      <c r="L1781"/>
      <c r="M1781"/>
      <c r="O1781"/>
      <c r="P1781"/>
    </row>
    <row r="1782" spans="12:16">
      <c r="L1782"/>
      <c r="M1782"/>
      <c r="O1782"/>
      <c r="P1782"/>
    </row>
    <row r="1783" spans="12:16">
      <c r="L1783"/>
      <c r="M1783"/>
      <c r="O1783"/>
      <c r="P1783"/>
    </row>
    <row r="1784" spans="12:16">
      <c r="L1784"/>
      <c r="M1784"/>
      <c r="O1784"/>
      <c r="P1784"/>
    </row>
    <row r="1785" spans="12:16">
      <c r="L1785"/>
      <c r="M1785"/>
      <c r="O1785"/>
      <c r="P1785"/>
    </row>
    <row r="1786" spans="12:16">
      <c r="L1786"/>
      <c r="M1786"/>
      <c r="O1786"/>
      <c r="P1786"/>
    </row>
    <row r="1787" spans="12:16">
      <c r="L1787"/>
      <c r="M1787"/>
      <c r="O1787"/>
      <c r="P1787"/>
    </row>
    <row r="1788" spans="12:16">
      <c r="L1788"/>
      <c r="M1788"/>
      <c r="O1788"/>
      <c r="P1788"/>
    </row>
    <row r="1789" spans="12:16">
      <c r="L1789"/>
      <c r="M1789"/>
      <c r="O1789"/>
      <c r="P1789"/>
    </row>
    <row r="1790" spans="12:16">
      <c r="L1790"/>
      <c r="M1790"/>
      <c r="O1790"/>
      <c r="P1790"/>
    </row>
    <row r="1791" spans="12:16">
      <c r="L1791"/>
      <c r="M1791"/>
      <c r="O1791"/>
      <c r="P1791"/>
    </row>
    <row r="1792" spans="12:16">
      <c r="L1792"/>
      <c r="M1792"/>
      <c r="O1792"/>
      <c r="P1792"/>
    </row>
    <row r="1793" spans="12:16">
      <c r="L1793"/>
      <c r="M1793"/>
      <c r="O1793"/>
      <c r="P1793"/>
    </row>
    <row r="1794" spans="12:16">
      <c r="L1794"/>
      <c r="M1794"/>
      <c r="O1794"/>
      <c r="P1794"/>
    </row>
    <row r="1795" spans="12:16">
      <c r="L1795"/>
      <c r="M1795"/>
      <c r="O1795"/>
      <c r="P1795"/>
    </row>
    <row r="1796" spans="12:16">
      <c r="L1796"/>
      <c r="M1796"/>
      <c r="O1796"/>
      <c r="P1796"/>
    </row>
    <row r="1797" spans="12:16">
      <c r="L1797"/>
      <c r="M1797"/>
      <c r="O1797"/>
      <c r="P1797"/>
    </row>
    <row r="1798" spans="12:16">
      <c r="L1798"/>
      <c r="M1798"/>
      <c r="O1798"/>
      <c r="P1798"/>
    </row>
    <row r="1799" spans="12:16">
      <c r="L1799"/>
      <c r="M1799"/>
      <c r="O1799"/>
      <c r="P1799"/>
    </row>
    <row r="1800" spans="12:16">
      <c r="L1800"/>
      <c r="M1800"/>
      <c r="O1800"/>
      <c r="P1800"/>
    </row>
    <row r="1801" spans="12:16">
      <c r="L1801"/>
      <c r="M1801"/>
      <c r="O1801"/>
      <c r="P1801"/>
    </row>
    <row r="1802" spans="12:16">
      <c r="L1802"/>
      <c r="M1802"/>
      <c r="O1802"/>
      <c r="P1802"/>
    </row>
    <row r="1803" spans="12:16">
      <c r="L1803"/>
      <c r="M1803"/>
      <c r="O1803"/>
      <c r="P1803"/>
    </row>
    <row r="1804" spans="12:16">
      <c r="L1804"/>
      <c r="M1804"/>
      <c r="O1804"/>
      <c r="P1804"/>
    </row>
    <row r="1805" spans="12:16">
      <c r="L1805"/>
      <c r="M1805"/>
      <c r="O1805"/>
      <c r="P1805"/>
    </row>
    <row r="1806" spans="12:16">
      <c r="L1806"/>
      <c r="M1806"/>
      <c r="O1806"/>
      <c r="P1806"/>
    </row>
    <row r="1807" spans="12:16">
      <c r="L1807"/>
      <c r="M1807"/>
      <c r="O1807"/>
      <c r="P1807"/>
    </row>
    <row r="1808" spans="12:16">
      <c r="L1808"/>
      <c r="M1808"/>
      <c r="O1808"/>
      <c r="P1808"/>
    </row>
    <row r="1809" spans="12:16">
      <c r="L1809"/>
      <c r="M1809"/>
      <c r="O1809"/>
      <c r="P1809"/>
    </row>
    <row r="1810" spans="12:16">
      <c r="L1810"/>
      <c r="M1810"/>
      <c r="O1810"/>
      <c r="P1810"/>
    </row>
    <row r="1811" spans="12:16">
      <c r="L1811"/>
      <c r="M1811"/>
      <c r="O1811"/>
      <c r="P1811"/>
    </row>
    <row r="1812" spans="12:16">
      <c r="L1812"/>
      <c r="M1812"/>
      <c r="O1812"/>
      <c r="P1812"/>
    </row>
    <row r="1813" spans="12:16">
      <c r="L1813"/>
      <c r="M1813"/>
      <c r="O1813"/>
      <c r="P1813"/>
    </row>
    <row r="1814" spans="12:16">
      <c r="L1814"/>
      <c r="M1814"/>
      <c r="O1814"/>
      <c r="P1814"/>
    </row>
    <row r="1815" spans="12:16">
      <c r="L1815"/>
      <c r="M1815"/>
      <c r="O1815"/>
      <c r="P1815"/>
    </row>
    <row r="1816" spans="12:16">
      <c r="L1816"/>
      <c r="M1816"/>
      <c r="O1816"/>
      <c r="P1816"/>
    </row>
    <row r="1817" spans="12:16">
      <c r="L1817"/>
      <c r="M1817"/>
      <c r="O1817"/>
      <c r="P1817"/>
    </row>
    <row r="1818" spans="12:16">
      <c r="L1818"/>
      <c r="M1818"/>
      <c r="O1818"/>
      <c r="P1818"/>
    </row>
    <row r="1819" spans="12:16">
      <c r="L1819"/>
      <c r="M1819"/>
      <c r="O1819"/>
      <c r="P1819"/>
    </row>
    <row r="1820" spans="12:16">
      <c r="L1820"/>
      <c r="M1820"/>
      <c r="O1820"/>
      <c r="P1820"/>
    </row>
    <row r="1821" spans="12:16">
      <c r="L1821"/>
      <c r="M1821"/>
      <c r="O1821"/>
      <c r="P1821"/>
    </row>
    <row r="1822" spans="12:16">
      <c r="L1822"/>
      <c r="M1822"/>
      <c r="O1822"/>
      <c r="P1822"/>
    </row>
    <row r="1823" spans="12:16">
      <c r="L1823"/>
      <c r="M1823"/>
      <c r="O1823"/>
      <c r="P1823"/>
    </row>
    <row r="1824" spans="12:16">
      <c r="L1824"/>
      <c r="M1824"/>
      <c r="O1824"/>
      <c r="P1824"/>
    </row>
    <row r="1825" spans="12:16">
      <c r="L1825"/>
      <c r="M1825"/>
      <c r="O1825"/>
      <c r="P1825"/>
    </row>
    <row r="1826" spans="12:16">
      <c r="L1826"/>
      <c r="M1826"/>
      <c r="O1826"/>
      <c r="P1826"/>
    </row>
    <row r="1827" spans="12:16">
      <c r="L1827"/>
      <c r="M1827"/>
      <c r="O1827"/>
      <c r="P1827"/>
    </row>
    <row r="1828" spans="12:16">
      <c r="L1828"/>
      <c r="M1828"/>
      <c r="O1828"/>
      <c r="P1828"/>
    </row>
    <row r="1829" spans="12:16">
      <c r="L1829"/>
      <c r="M1829"/>
      <c r="O1829"/>
      <c r="P1829"/>
    </row>
    <row r="1830" spans="12:16">
      <c r="L1830"/>
      <c r="M1830"/>
      <c r="O1830"/>
      <c r="P1830"/>
    </row>
    <row r="1831" spans="12:16">
      <c r="L1831"/>
      <c r="M1831"/>
      <c r="O1831"/>
      <c r="P1831"/>
    </row>
    <row r="1832" spans="12:16">
      <c r="L1832"/>
      <c r="M1832"/>
      <c r="O1832"/>
      <c r="P1832"/>
    </row>
    <row r="1833" spans="12:16">
      <c r="L1833"/>
      <c r="M1833"/>
      <c r="O1833"/>
      <c r="P1833"/>
    </row>
    <row r="1834" spans="12:16">
      <c r="L1834"/>
      <c r="M1834"/>
      <c r="O1834"/>
      <c r="P1834"/>
    </row>
    <row r="1835" spans="12:16">
      <c r="L1835"/>
      <c r="M1835"/>
      <c r="O1835"/>
      <c r="P1835"/>
    </row>
    <row r="1836" spans="12:16">
      <c r="L1836"/>
      <c r="M1836"/>
      <c r="O1836"/>
      <c r="P1836"/>
    </row>
    <row r="1837" spans="12:16">
      <c r="L1837"/>
      <c r="M1837"/>
      <c r="O1837"/>
      <c r="P1837"/>
    </row>
    <row r="1838" spans="12:16">
      <c r="L1838"/>
      <c r="M1838"/>
      <c r="O1838"/>
      <c r="P1838"/>
    </row>
    <row r="1839" spans="12:16">
      <c r="L1839"/>
      <c r="M1839"/>
      <c r="O1839"/>
      <c r="P1839"/>
    </row>
    <row r="1840" spans="12:16">
      <c r="L1840"/>
      <c r="M1840"/>
      <c r="O1840"/>
      <c r="P1840"/>
    </row>
    <row r="1841" spans="12:16">
      <c r="L1841"/>
      <c r="M1841"/>
      <c r="O1841"/>
      <c r="P1841"/>
    </row>
    <row r="1842" spans="12:16">
      <c r="L1842"/>
      <c r="M1842"/>
      <c r="O1842"/>
      <c r="P1842"/>
    </row>
    <row r="1843" spans="12:16">
      <c r="L1843"/>
      <c r="M1843"/>
      <c r="O1843"/>
      <c r="P1843"/>
    </row>
    <row r="1844" spans="12:16">
      <c r="L1844"/>
      <c r="M1844"/>
      <c r="O1844"/>
      <c r="P1844"/>
    </row>
    <row r="1845" spans="12:16">
      <c r="L1845"/>
      <c r="M1845"/>
      <c r="O1845"/>
      <c r="P1845"/>
    </row>
    <row r="1846" spans="12:16">
      <c r="L1846"/>
      <c r="M1846"/>
      <c r="O1846"/>
      <c r="P1846"/>
    </row>
    <row r="1847" spans="12:16">
      <c r="L1847"/>
      <c r="M1847"/>
      <c r="O1847"/>
      <c r="P1847"/>
    </row>
    <row r="1848" spans="12:16">
      <c r="L1848"/>
      <c r="M1848"/>
      <c r="O1848"/>
      <c r="P1848"/>
    </row>
    <row r="1849" spans="12:16">
      <c r="L1849"/>
      <c r="M1849"/>
      <c r="O1849"/>
      <c r="P1849"/>
    </row>
    <row r="1850" spans="12:16">
      <c r="L1850"/>
      <c r="M1850"/>
      <c r="O1850"/>
      <c r="P1850"/>
    </row>
    <row r="1851" spans="12:16">
      <c r="L1851"/>
      <c r="M1851"/>
      <c r="O1851"/>
      <c r="P1851"/>
    </row>
    <row r="1852" spans="12:16">
      <c r="L1852"/>
      <c r="M1852"/>
      <c r="O1852"/>
      <c r="P1852"/>
    </row>
    <row r="1853" spans="12:16">
      <c r="L1853"/>
      <c r="M1853"/>
      <c r="O1853"/>
      <c r="P1853"/>
    </row>
    <row r="1854" spans="12:16">
      <c r="L1854"/>
      <c r="M1854"/>
      <c r="O1854"/>
      <c r="P1854"/>
    </row>
    <row r="1855" spans="12:16">
      <c r="L1855"/>
      <c r="M1855"/>
      <c r="O1855"/>
      <c r="P1855"/>
    </row>
    <row r="1856" spans="12:16">
      <c r="L1856"/>
      <c r="M1856"/>
      <c r="O1856"/>
      <c r="P1856"/>
    </row>
    <row r="1857" spans="12:16">
      <c r="L1857"/>
      <c r="M1857"/>
      <c r="O1857"/>
      <c r="P1857"/>
    </row>
    <row r="1858" spans="12:16">
      <c r="L1858"/>
      <c r="M1858"/>
      <c r="O1858"/>
      <c r="P1858"/>
    </row>
    <row r="1859" spans="12:16">
      <c r="L1859"/>
      <c r="M1859"/>
      <c r="O1859"/>
      <c r="P1859"/>
    </row>
    <row r="1860" spans="12:16">
      <c r="L1860"/>
      <c r="M1860"/>
      <c r="O1860"/>
      <c r="P1860"/>
    </row>
    <row r="1861" spans="12:16">
      <c r="L1861"/>
      <c r="M1861"/>
      <c r="O1861"/>
      <c r="P1861"/>
    </row>
    <row r="1862" spans="12:16">
      <c r="L1862"/>
      <c r="M1862"/>
      <c r="O1862"/>
      <c r="P1862"/>
    </row>
    <row r="1863" spans="12:16">
      <c r="L1863"/>
      <c r="M1863"/>
      <c r="O1863"/>
      <c r="P1863"/>
    </row>
    <row r="1864" spans="12:16">
      <c r="L1864"/>
      <c r="M1864"/>
      <c r="O1864"/>
      <c r="P1864"/>
    </row>
    <row r="1865" spans="12:16">
      <c r="L1865"/>
      <c r="M1865"/>
      <c r="O1865"/>
      <c r="P1865"/>
    </row>
    <row r="1866" spans="12:16">
      <c r="L1866"/>
      <c r="M1866"/>
      <c r="O1866"/>
      <c r="P1866"/>
    </row>
    <row r="1867" spans="12:16">
      <c r="L1867"/>
      <c r="M1867"/>
      <c r="O1867"/>
      <c r="P1867"/>
    </row>
    <row r="1868" spans="12:16">
      <c r="L1868"/>
      <c r="M1868"/>
      <c r="O1868"/>
      <c r="P1868"/>
    </row>
    <row r="1869" spans="12:16">
      <c r="L1869"/>
      <c r="M1869"/>
      <c r="O1869"/>
      <c r="P1869"/>
    </row>
    <row r="1870" spans="12:16">
      <c r="L1870"/>
      <c r="M1870"/>
      <c r="O1870"/>
      <c r="P1870"/>
    </row>
    <row r="1871" spans="12:16">
      <c r="L1871"/>
      <c r="M1871"/>
      <c r="O1871"/>
      <c r="P1871"/>
    </row>
    <row r="1872" spans="12:16">
      <c r="L1872"/>
      <c r="M1872"/>
      <c r="O1872"/>
      <c r="P1872"/>
    </row>
    <row r="1873" spans="12:16">
      <c r="L1873"/>
      <c r="M1873"/>
      <c r="O1873"/>
      <c r="P1873"/>
    </row>
    <row r="1874" spans="12:16">
      <c r="L1874"/>
      <c r="M1874"/>
      <c r="O1874"/>
      <c r="P1874"/>
    </row>
    <row r="1875" spans="12:16">
      <c r="L1875"/>
      <c r="M1875"/>
      <c r="O1875"/>
      <c r="P1875"/>
    </row>
    <row r="1876" spans="12:16">
      <c r="L1876"/>
      <c r="M1876"/>
      <c r="O1876"/>
      <c r="P1876"/>
    </row>
    <row r="1877" spans="12:16">
      <c r="L1877"/>
      <c r="M1877"/>
      <c r="O1877"/>
      <c r="P1877"/>
    </row>
    <row r="1878" spans="12:16">
      <c r="L1878"/>
      <c r="M1878"/>
      <c r="O1878"/>
      <c r="P1878"/>
    </row>
    <row r="1879" spans="12:16">
      <c r="L1879"/>
      <c r="M1879"/>
      <c r="O1879"/>
      <c r="P1879"/>
    </row>
    <row r="1880" spans="12:16">
      <c r="L1880"/>
      <c r="M1880"/>
      <c r="O1880"/>
      <c r="P1880"/>
    </row>
    <row r="1881" spans="12:16">
      <c r="L1881"/>
      <c r="M1881"/>
      <c r="O1881"/>
      <c r="P1881"/>
    </row>
    <row r="1882" spans="12:16">
      <c r="L1882"/>
      <c r="M1882"/>
      <c r="O1882"/>
      <c r="P1882"/>
    </row>
    <row r="1883" spans="12:16">
      <c r="L1883"/>
      <c r="M1883"/>
      <c r="O1883"/>
      <c r="P1883"/>
    </row>
    <row r="1884" spans="12:16">
      <c r="L1884"/>
      <c r="M1884"/>
      <c r="O1884"/>
      <c r="P1884"/>
    </row>
    <row r="1885" spans="12:16">
      <c r="L1885"/>
      <c r="M1885"/>
      <c r="O1885"/>
      <c r="P1885"/>
    </row>
    <row r="1886" spans="12:16">
      <c r="L1886"/>
      <c r="M1886"/>
      <c r="O1886"/>
      <c r="P1886"/>
    </row>
    <row r="1887" spans="12:16">
      <c r="L1887"/>
      <c r="M1887"/>
      <c r="O1887"/>
      <c r="P1887"/>
    </row>
    <row r="1888" spans="12:16">
      <c r="L1888"/>
      <c r="M1888"/>
      <c r="O1888"/>
      <c r="P1888"/>
    </row>
    <row r="1889" spans="12:16">
      <c r="L1889"/>
      <c r="M1889"/>
      <c r="O1889"/>
      <c r="P1889"/>
    </row>
    <row r="1890" spans="12:16">
      <c r="L1890"/>
      <c r="M1890"/>
      <c r="O1890"/>
      <c r="P1890"/>
    </row>
    <row r="1891" spans="12:16">
      <c r="L1891"/>
      <c r="M1891"/>
      <c r="O1891"/>
      <c r="P1891"/>
    </row>
    <row r="1892" spans="12:16">
      <c r="L1892"/>
      <c r="M1892"/>
      <c r="O1892"/>
      <c r="P1892"/>
    </row>
    <row r="1893" spans="12:16">
      <c r="L1893"/>
      <c r="M1893"/>
      <c r="O1893"/>
      <c r="P1893"/>
    </row>
    <row r="1894" spans="12:16">
      <c r="L1894"/>
      <c r="M1894"/>
      <c r="O1894"/>
      <c r="P1894"/>
    </row>
    <row r="1895" spans="12:16">
      <c r="L1895"/>
      <c r="M1895"/>
      <c r="O1895"/>
      <c r="P1895"/>
    </row>
    <row r="1896" spans="12:16">
      <c r="L1896"/>
      <c r="M1896"/>
      <c r="O1896"/>
      <c r="P1896"/>
    </row>
    <row r="1897" spans="12:16">
      <c r="L1897"/>
      <c r="M1897"/>
      <c r="O1897"/>
      <c r="P1897"/>
    </row>
    <row r="1898" spans="12:16">
      <c r="L1898"/>
      <c r="M1898"/>
      <c r="O1898"/>
      <c r="P1898"/>
    </row>
    <row r="1899" spans="12:16">
      <c r="L1899"/>
      <c r="M1899"/>
      <c r="O1899"/>
      <c r="P1899"/>
    </row>
    <row r="1900" spans="12:16">
      <c r="L1900"/>
      <c r="M1900"/>
      <c r="O1900"/>
      <c r="P1900"/>
    </row>
    <row r="1901" spans="12:16">
      <c r="L1901"/>
      <c r="M1901"/>
      <c r="O1901"/>
      <c r="P1901"/>
    </row>
    <row r="1902" spans="12:16">
      <c r="L1902"/>
      <c r="M1902"/>
      <c r="O1902"/>
      <c r="P1902"/>
    </row>
    <row r="1903" spans="12:16">
      <c r="L1903"/>
      <c r="M1903"/>
      <c r="O1903"/>
      <c r="P1903"/>
    </row>
    <row r="1904" spans="12:16">
      <c r="L1904"/>
      <c r="M1904"/>
      <c r="O1904"/>
      <c r="P1904"/>
    </row>
    <row r="1905" spans="12:16">
      <c r="L1905"/>
      <c r="M1905"/>
      <c r="O1905"/>
      <c r="P1905"/>
    </row>
    <row r="1906" spans="12:16">
      <c r="L1906"/>
      <c r="M1906"/>
      <c r="O1906"/>
      <c r="P1906"/>
    </row>
    <row r="1907" spans="12:16">
      <c r="L1907"/>
      <c r="M1907"/>
      <c r="O1907"/>
      <c r="P1907"/>
    </row>
    <row r="1908" spans="12:16">
      <c r="L1908"/>
      <c r="M1908"/>
      <c r="O1908"/>
      <c r="P1908"/>
    </row>
    <row r="1909" spans="12:16">
      <c r="L1909"/>
      <c r="M1909"/>
      <c r="O1909"/>
      <c r="P1909"/>
    </row>
    <row r="1910" spans="12:16">
      <c r="L1910"/>
      <c r="M1910"/>
      <c r="O1910"/>
      <c r="P1910"/>
    </row>
    <row r="1911" spans="12:16">
      <c r="L1911"/>
      <c r="M1911"/>
      <c r="O1911"/>
      <c r="P1911"/>
    </row>
    <row r="1912" spans="12:16">
      <c r="L1912"/>
      <c r="M1912"/>
      <c r="O1912"/>
      <c r="P1912"/>
    </row>
    <row r="1913" spans="12:16">
      <c r="L1913"/>
      <c r="M1913"/>
      <c r="O1913"/>
      <c r="P1913"/>
    </row>
    <row r="1914" spans="12:16">
      <c r="L1914"/>
      <c r="M1914"/>
      <c r="O1914"/>
      <c r="P1914"/>
    </row>
    <row r="1915" spans="12:16">
      <c r="L1915"/>
      <c r="M1915"/>
      <c r="O1915"/>
      <c r="P1915"/>
    </row>
    <row r="1916" spans="12:16">
      <c r="L1916"/>
      <c r="M1916"/>
      <c r="O1916"/>
      <c r="P1916"/>
    </row>
    <row r="1917" spans="12:16">
      <c r="L1917"/>
      <c r="M1917"/>
      <c r="O1917"/>
      <c r="P1917"/>
    </row>
    <row r="1918" spans="12:16">
      <c r="L1918"/>
      <c r="M1918"/>
      <c r="O1918"/>
      <c r="P1918"/>
    </row>
    <row r="1919" spans="12:16">
      <c r="L1919"/>
      <c r="M1919"/>
      <c r="O1919"/>
      <c r="P1919"/>
    </row>
    <row r="1920" spans="12:16">
      <c r="L1920"/>
      <c r="M1920"/>
      <c r="O1920"/>
      <c r="P1920"/>
    </row>
    <row r="1921" spans="12:16">
      <c r="L1921"/>
      <c r="M1921"/>
      <c r="O1921"/>
      <c r="P1921"/>
    </row>
    <row r="1922" spans="12:16">
      <c r="L1922"/>
      <c r="M1922"/>
      <c r="O1922"/>
      <c r="P1922"/>
    </row>
    <row r="1923" spans="12:16">
      <c r="L1923"/>
      <c r="M1923"/>
      <c r="O1923"/>
      <c r="P1923"/>
    </row>
    <row r="1924" spans="12:16">
      <c r="L1924"/>
      <c r="M1924"/>
      <c r="O1924"/>
      <c r="P1924"/>
    </row>
    <row r="1925" spans="12:16">
      <c r="L1925"/>
      <c r="M1925"/>
      <c r="O1925"/>
      <c r="P1925"/>
    </row>
    <row r="1926" spans="12:16">
      <c r="L1926"/>
      <c r="M1926"/>
      <c r="O1926"/>
      <c r="P1926"/>
    </row>
    <row r="1927" spans="12:16">
      <c r="L1927"/>
      <c r="M1927"/>
      <c r="O1927"/>
      <c r="P1927"/>
    </row>
    <row r="1928" spans="12:16">
      <c r="L1928"/>
      <c r="M1928"/>
      <c r="O1928"/>
      <c r="P1928"/>
    </row>
    <row r="1929" spans="12:16">
      <c r="L1929"/>
      <c r="M1929"/>
      <c r="O1929"/>
      <c r="P1929"/>
    </row>
    <row r="1930" spans="12:16">
      <c r="L1930"/>
      <c r="M1930"/>
      <c r="O1930"/>
      <c r="P1930"/>
    </row>
    <row r="1931" spans="12:16">
      <c r="L1931"/>
      <c r="M1931"/>
      <c r="O1931"/>
      <c r="P1931"/>
    </row>
    <row r="1932" spans="12:16">
      <c r="L1932"/>
      <c r="M1932"/>
      <c r="O1932"/>
      <c r="P1932"/>
    </row>
    <row r="1933" spans="12:16">
      <c r="L1933"/>
      <c r="M1933"/>
      <c r="O1933"/>
      <c r="P1933"/>
    </row>
    <row r="1934" spans="12:16">
      <c r="L1934"/>
      <c r="M1934"/>
      <c r="O1934"/>
      <c r="P1934"/>
    </row>
    <row r="1935" spans="12:16">
      <c r="L1935"/>
      <c r="M1935"/>
      <c r="O1935"/>
      <c r="P1935"/>
    </row>
    <row r="1936" spans="12:16">
      <c r="L1936"/>
      <c r="M1936"/>
      <c r="O1936"/>
      <c r="P1936"/>
    </row>
    <row r="1937" spans="12:16">
      <c r="L1937"/>
      <c r="M1937"/>
      <c r="O1937"/>
      <c r="P1937"/>
    </row>
    <row r="1938" spans="12:16">
      <c r="L1938"/>
      <c r="M1938"/>
      <c r="O1938"/>
      <c r="P1938"/>
    </row>
    <row r="1939" spans="12:16">
      <c r="L1939"/>
      <c r="M1939"/>
      <c r="O1939"/>
      <c r="P1939"/>
    </row>
    <row r="1940" spans="12:16">
      <c r="L1940"/>
      <c r="M1940"/>
      <c r="O1940"/>
      <c r="P1940"/>
    </row>
    <row r="1941" spans="12:16">
      <c r="L1941"/>
      <c r="M1941"/>
      <c r="O1941"/>
      <c r="P1941"/>
    </row>
    <row r="1942" spans="12:16">
      <c r="L1942"/>
      <c r="M1942"/>
      <c r="O1942"/>
      <c r="P1942"/>
    </row>
    <row r="1943" spans="12:16">
      <c r="L1943"/>
      <c r="M1943"/>
      <c r="O1943"/>
      <c r="P1943"/>
    </row>
    <row r="1944" spans="12:16">
      <c r="L1944"/>
      <c r="M1944"/>
      <c r="O1944"/>
      <c r="P1944"/>
    </row>
    <row r="1945" spans="12:16">
      <c r="L1945"/>
      <c r="M1945"/>
      <c r="O1945"/>
      <c r="P1945"/>
    </row>
    <row r="1946" spans="12:16">
      <c r="L1946"/>
      <c r="M1946"/>
      <c r="O1946"/>
      <c r="P1946"/>
    </row>
    <row r="1947" spans="12:16">
      <c r="L1947"/>
      <c r="M1947"/>
      <c r="O1947"/>
      <c r="P1947"/>
    </row>
    <row r="1948" spans="12:16">
      <c r="L1948"/>
      <c r="M1948"/>
      <c r="O1948"/>
      <c r="P1948"/>
    </row>
    <row r="1949" spans="12:16">
      <c r="L1949"/>
      <c r="M1949"/>
      <c r="O1949"/>
      <c r="P1949"/>
    </row>
    <row r="1950" spans="12:16">
      <c r="L1950"/>
      <c r="M1950"/>
      <c r="O1950"/>
      <c r="P1950"/>
    </row>
    <row r="1951" spans="12:16">
      <c r="L1951"/>
      <c r="M1951"/>
      <c r="O1951"/>
      <c r="P1951"/>
    </row>
    <row r="1952" spans="12:16">
      <c r="L1952"/>
      <c r="M1952"/>
      <c r="O1952"/>
      <c r="P1952"/>
    </row>
    <row r="1953" spans="12:16">
      <c r="L1953"/>
      <c r="M1953"/>
      <c r="O1953"/>
      <c r="P1953"/>
    </row>
    <row r="1954" spans="12:16">
      <c r="L1954"/>
      <c r="M1954"/>
      <c r="O1954"/>
      <c r="P1954"/>
    </row>
    <row r="1955" spans="12:16">
      <c r="L1955"/>
      <c r="M1955"/>
      <c r="O1955"/>
      <c r="P1955"/>
    </row>
    <row r="1956" spans="12:16">
      <c r="L1956"/>
      <c r="M1956"/>
      <c r="O1956"/>
      <c r="P1956"/>
    </row>
    <row r="1957" spans="12:16">
      <c r="L1957"/>
      <c r="M1957"/>
      <c r="O1957"/>
      <c r="P1957"/>
    </row>
    <row r="1958" spans="12:16">
      <c r="L1958"/>
      <c r="M1958"/>
      <c r="O1958"/>
      <c r="P1958"/>
    </row>
    <row r="1959" spans="12:16">
      <c r="L1959"/>
      <c r="M1959"/>
      <c r="O1959"/>
      <c r="P1959"/>
    </row>
    <row r="1960" spans="12:16">
      <c r="L1960"/>
      <c r="M1960"/>
      <c r="O1960"/>
      <c r="P1960"/>
    </row>
    <row r="1961" spans="12:16">
      <c r="L1961"/>
      <c r="M1961"/>
      <c r="O1961"/>
      <c r="P1961"/>
    </row>
    <row r="1962" spans="12:16">
      <c r="L1962"/>
      <c r="M1962"/>
      <c r="O1962"/>
      <c r="P1962"/>
    </row>
    <row r="1963" spans="12:16">
      <c r="L1963"/>
      <c r="M1963"/>
      <c r="O1963"/>
      <c r="P1963"/>
    </row>
    <row r="1964" spans="12:16">
      <c r="L1964"/>
      <c r="M1964"/>
      <c r="O1964"/>
      <c r="P1964"/>
    </row>
    <row r="1965" spans="12:16">
      <c r="L1965"/>
      <c r="M1965"/>
      <c r="O1965"/>
      <c r="P1965"/>
    </row>
    <row r="1966" spans="12:16">
      <c r="L1966"/>
      <c r="M1966"/>
      <c r="O1966"/>
      <c r="P1966"/>
    </row>
    <row r="1967" spans="12:16">
      <c r="L1967"/>
      <c r="M1967"/>
      <c r="O1967"/>
      <c r="P1967"/>
    </row>
    <row r="1968" spans="12:16">
      <c r="L1968"/>
      <c r="M1968"/>
      <c r="O1968"/>
      <c r="P1968"/>
    </row>
    <row r="1969" spans="12:16">
      <c r="L1969"/>
      <c r="M1969"/>
      <c r="O1969"/>
      <c r="P1969"/>
    </row>
    <row r="1970" spans="12:16">
      <c r="L1970"/>
      <c r="M1970"/>
      <c r="O1970"/>
      <c r="P1970"/>
    </row>
    <row r="1971" spans="12:16">
      <c r="L1971"/>
      <c r="M1971"/>
      <c r="O1971"/>
      <c r="P1971"/>
    </row>
    <row r="1972" spans="12:16">
      <c r="L1972"/>
      <c r="M1972"/>
      <c r="O1972"/>
      <c r="P1972"/>
    </row>
    <row r="1973" spans="12:16">
      <c r="L1973"/>
      <c r="M1973"/>
      <c r="O1973"/>
      <c r="P1973"/>
    </row>
    <row r="1974" spans="12:16">
      <c r="L1974"/>
      <c r="M1974"/>
      <c r="O1974"/>
      <c r="P1974"/>
    </row>
    <row r="1975" spans="12:16">
      <c r="L1975"/>
      <c r="M1975"/>
      <c r="O1975"/>
      <c r="P1975"/>
    </row>
    <row r="1976" spans="12:16">
      <c r="L1976"/>
      <c r="M1976"/>
      <c r="O1976"/>
      <c r="P1976"/>
    </row>
    <row r="1977" spans="12:16">
      <c r="L1977"/>
      <c r="M1977"/>
      <c r="O1977"/>
      <c r="P1977"/>
    </row>
    <row r="1978" spans="12:16">
      <c r="L1978"/>
      <c r="M1978"/>
      <c r="O1978"/>
      <c r="P1978"/>
    </row>
    <row r="1979" spans="12:16">
      <c r="L1979"/>
      <c r="M1979"/>
      <c r="O1979"/>
      <c r="P1979"/>
    </row>
    <row r="1980" spans="12:16">
      <c r="L1980"/>
      <c r="M1980"/>
      <c r="O1980"/>
      <c r="P1980"/>
    </row>
    <row r="1981" spans="12:16">
      <c r="L1981"/>
      <c r="M1981"/>
      <c r="O1981"/>
      <c r="P1981"/>
    </row>
    <row r="1982" spans="12:16">
      <c r="L1982"/>
      <c r="M1982"/>
      <c r="O1982"/>
      <c r="P1982"/>
    </row>
    <row r="1983" spans="12:16">
      <c r="L1983"/>
      <c r="M1983"/>
      <c r="O1983"/>
      <c r="P1983"/>
    </row>
    <row r="1984" spans="12:16">
      <c r="L1984"/>
      <c r="M1984"/>
      <c r="O1984"/>
      <c r="P1984"/>
    </row>
    <row r="1985" spans="12:16">
      <c r="L1985"/>
      <c r="M1985"/>
      <c r="O1985"/>
      <c r="P1985"/>
    </row>
    <row r="1986" spans="12:16">
      <c r="L1986"/>
      <c r="M1986"/>
      <c r="O1986"/>
      <c r="P1986"/>
    </row>
    <row r="1987" spans="12:16">
      <c r="L1987"/>
      <c r="M1987"/>
      <c r="O1987"/>
      <c r="P1987"/>
    </row>
    <row r="1988" spans="12:16">
      <c r="L1988"/>
      <c r="M1988"/>
      <c r="O1988"/>
      <c r="P1988"/>
    </row>
    <row r="1989" spans="12:16">
      <c r="L1989"/>
      <c r="M1989"/>
      <c r="O1989"/>
      <c r="P1989"/>
    </row>
    <row r="1990" spans="12:16">
      <c r="L1990"/>
      <c r="M1990"/>
      <c r="O1990"/>
      <c r="P1990"/>
    </row>
    <row r="1991" spans="12:16">
      <c r="L1991"/>
      <c r="M1991"/>
      <c r="O1991"/>
      <c r="P1991"/>
    </row>
    <row r="1992" spans="12:16">
      <c r="L1992"/>
      <c r="M1992"/>
      <c r="O1992"/>
      <c r="P1992"/>
    </row>
    <row r="1993" spans="12:16">
      <c r="L1993"/>
      <c r="M1993"/>
      <c r="O1993"/>
      <c r="P1993"/>
    </row>
    <row r="1994" spans="12:16">
      <c r="L1994"/>
      <c r="M1994"/>
      <c r="O1994"/>
      <c r="P1994"/>
    </row>
    <row r="1995" spans="12:16">
      <c r="L1995"/>
      <c r="M1995"/>
      <c r="O1995"/>
      <c r="P1995"/>
    </row>
    <row r="1996" spans="12:16">
      <c r="L1996"/>
      <c r="M1996"/>
      <c r="O1996"/>
      <c r="P1996"/>
    </row>
    <row r="1997" spans="12:16">
      <c r="L1997"/>
      <c r="M1997"/>
      <c r="O1997"/>
      <c r="P1997"/>
    </row>
    <row r="1998" spans="12:16">
      <c r="L1998"/>
      <c r="M1998"/>
      <c r="O1998"/>
      <c r="P1998"/>
    </row>
    <row r="1999" spans="12:16">
      <c r="L1999"/>
      <c r="M1999"/>
      <c r="O1999"/>
      <c r="P1999"/>
    </row>
    <row r="2000" spans="12:16">
      <c r="L2000"/>
      <c r="M2000"/>
      <c r="O2000"/>
      <c r="P2000"/>
    </row>
    <row r="2001" spans="12:16">
      <c r="L2001"/>
      <c r="M2001"/>
      <c r="O2001"/>
      <c r="P2001"/>
    </row>
    <row r="2002" spans="12:16">
      <c r="L2002"/>
      <c r="M2002"/>
      <c r="O2002"/>
      <c r="P2002"/>
    </row>
    <row r="2003" spans="12:16">
      <c r="L2003"/>
      <c r="M2003"/>
      <c r="O2003"/>
      <c r="P2003"/>
    </row>
    <row r="2004" spans="12:16">
      <c r="L2004"/>
      <c r="M2004"/>
      <c r="O2004"/>
      <c r="P2004"/>
    </row>
    <row r="2005" spans="12:16">
      <c r="L2005"/>
      <c r="M2005"/>
      <c r="O2005"/>
      <c r="P2005"/>
    </row>
    <row r="2006" spans="12:16">
      <c r="L2006"/>
      <c r="M2006"/>
      <c r="O2006"/>
      <c r="P2006"/>
    </row>
    <row r="2007" spans="12:16">
      <c r="L2007"/>
      <c r="M2007"/>
      <c r="O2007"/>
      <c r="P2007"/>
    </row>
    <row r="2008" spans="12:16">
      <c r="L2008"/>
      <c r="M2008"/>
      <c r="O2008"/>
      <c r="P2008"/>
    </row>
    <row r="2009" spans="12:16">
      <c r="L2009"/>
      <c r="M2009"/>
      <c r="O2009"/>
      <c r="P2009"/>
    </row>
    <row r="2010" spans="12:16">
      <c r="L2010"/>
      <c r="M2010"/>
      <c r="O2010"/>
      <c r="P2010"/>
    </row>
    <row r="2011" spans="12:16">
      <c r="L2011"/>
      <c r="M2011"/>
      <c r="O2011"/>
      <c r="P2011"/>
    </row>
    <row r="2012" spans="12:16">
      <c r="L2012"/>
      <c r="M2012"/>
      <c r="O2012"/>
      <c r="P2012"/>
    </row>
    <row r="2013" spans="12:16">
      <c r="L2013"/>
      <c r="M2013"/>
      <c r="O2013"/>
      <c r="P2013"/>
    </row>
    <row r="2014" spans="12:16">
      <c r="L2014"/>
      <c r="M2014"/>
      <c r="O2014"/>
      <c r="P2014"/>
    </row>
    <row r="2015" spans="12:16">
      <c r="L2015"/>
      <c r="M2015"/>
      <c r="O2015"/>
      <c r="P2015"/>
    </row>
    <row r="2016" spans="12:16">
      <c r="L2016"/>
      <c r="M2016"/>
      <c r="O2016"/>
      <c r="P2016"/>
    </row>
    <row r="2017" spans="12:16">
      <c r="L2017"/>
      <c r="M2017"/>
      <c r="O2017"/>
      <c r="P2017"/>
    </row>
    <row r="2018" spans="12:16">
      <c r="L2018"/>
      <c r="M2018"/>
      <c r="O2018"/>
      <c r="P2018"/>
    </row>
    <row r="2019" spans="12:16">
      <c r="L2019"/>
      <c r="M2019"/>
      <c r="O2019"/>
      <c r="P2019"/>
    </row>
    <row r="2020" spans="12:16">
      <c r="L2020"/>
      <c r="M2020"/>
      <c r="O2020"/>
      <c r="P2020"/>
    </row>
    <row r="2021" spans="12:16">
      <c r="L2021"/>
      <c r="M2021"/>
      <c r="O2021"/>
      <c r="P2021"/>
    </row>
    <row r="2022" spans="12:16">
      <c r="L2022"/>
      <c r="M2022"/>
      <c r="O2022"/>
      <c r="P2022"/>
    </row>
    <row r="2023" spans="12:16">
      <c r="L2023"/>
      <c r="M2023"/>
      <c r="O2023"/>
      <c r="P2023"/>
    </row>
    <row r="2024" spans="12:16">
      <c r="L2024"/>
      <c r="M2024"/>
      <c r="O2024"/>
      <c r="P2024"/>
    </row>
    <row r="2025" spans="12:16">
      <c r="L2025"/>
      <c r="M2025"/>
      <c r="O2025"/>
      <c r="P2025"/>
    </row>
    <row r="2026" spans="12:16">
      <c r="L2026"/>
      <c r="M2026"/>
      <c r="O2026"/>
      <c r="P2026"/>
    </row>
    <row r="2027" spans="12:16">
      <c r="L2027"/>
      <c r="M2027"/>
      <c r="O2027"/>
      <c r="P2027"/>
    </row>
    <row r="2028" spans="12:16">
      <c r="L2028"/>
      <c r="M2028"/>
      <c r="O2028"/>
      <c r="P2028"/>
    </row>
    <row r="2029" spans="12:16">
      <c r="L2029"/>
      <c r="M2029"/>
      <c r="O2029"/>
      <c r="P2029"/>
    </row>
    <row r="2030" spans="12:16">
      <c r="L2030"/>
      <c r="M2030"/>
      <c r="O2030"/>
      <c r="P2030"/>
    </row>
    <row r="2031" spans="12:16">
      <c r="L2031"/>
      <c r="M2031"/>
      <c r="O2031"/>
      <c r="P2031"/>
    </row>
    <row r="2032" spans="12:16">
      <c r="L2032"/>
      <c r="M2032"/>
      <c r="O2032"/>
      <c r="P2032"/>
    </row>
    <row r="2033" spans="12:16">
      <c r="L2033"/>
      <c r="M2033"/>
      <c r="O2033"/>
      <c r="P2033"/>
    </row>
    <row r="2034" spans="12:16">
      <c r="L2034"/>
      <c r="M2034"/>
      <c r="O2034"/>
      <c r="P2034"/>
    </row>
    <row r="2035" spans="12:16">
      <c r="L2035"/>
      <c r="M2035"/>
      <c r="O2035"/>
      <c r="P2035"/>
    </row>
    <row r="2036" spans="12:16">
      <c r="L2036"/>
      <c r="M2036"/>
      <c r="O2036"/>
      <c r="P2036"/>
    </row>
    <row r="2037" spans="12:16">
      <c r="L2037"/>
      <c r="M2037"/>
      <c r="O2037"/>
      <c r="P2037"/>
    </row>
    <row r="2038" spans="12:16">
      <c r="L2038"/>
      <c r="M2038"/>
      <c r="O2038"/>
      <c r="P2038"/>
    </row>
    <row r="2039" spans="12:16">
      <c r="L2039"/>
      <c r="M2039"/>
      <c r="O2039"/>
      <c r="P2039"/>
    </row>
    <row r="2040" spans="12:16">
      <c r="L2040"/>
      <c r="M2040"/>
      <c r="O2040"/>
      <c r="P2040"/>
    </row>
    <row r="2041" spans="12:16">
      <c r="L2041"/>
      <c r="M2041"/>
      <c r="O2041"/>
      <c r="P2041"/>
    </row>
    <row r="2042" spans="12:16">
      <c r="L2042"/>
      <c r="M2042"/>
      <c r="O2042"/>
      <c r="P2042"/>
    </row>
    <row r="2043" spans="12:16">
      <c r="L2043"/>
      <c r="M2043"/>
      <c r="O2043"/>
      <c r="P2043"/>
    </row>
    <row r="2044" spans="12:16">
      <c r="L2044"/>
      <c r="M2044"/>
      <c r="O2044"/>
      <c r="P2044"/>
    </row>
    <row r="2045" spans="12:16">
      <c r="L2045"/>
      <c r="M2045"/>
      <c r="O2045"/>
      <c r="P2045"/>
    </row>
    <row r="2046" spans="12:16">
      <c r="L2046"/>
      <c r="M2046"/>
      <c r="O2046"/>
      <c r="P2046"/>
    </row>
    <row r="2047" spans="12:16">
      <c r="L2047"/>
      <c r="M2047"/>
      <c r="O2047"/>
      <c r="P2047"/>
    </row>
    <row r="2048" spans="12:16">
      <c r="L2048"/>
      <c r="M2048"/>
      <c r="O2048"/>
      <c r="P2048"/>
    </row>
    <row r="2049" spans="12:16">
      <c r="L2049"/>
      <c r="M2049"/>
      <c r="O2049"/>
      <c r="P2049"/>
    </row>
    <row r="2050" spans="12:16">
      <c r="L2050"/>
      <c r="M2050"/>
      <c r="O2050"/>
      <c r="P2050"/>
    </row>
    <row r="2051" spans="12:16">
      <c r="L2051"/>
      <c r="M2051"/>
      <c r="O2051"/>
      <c r="P2051"/>
    </row>
    <row r="2052" spans="12:16">
      <c r="L2052"/>
      <c r="M2052"/>
      <c r="O2052"/>
      <c r="P2052"/>
    </row>
    <row r="2053" spans="12:16">
      <c r="L2053"/>
      <c r="M2053"/>
      <c r="O2053"/>
      <c r="P2053"/>
    </row>
    <row r="2054" spans="12:16">
      <c r="L2054"/>
      <c r="M2054"/>
      <c r="O2054"/>
      <c r="P2054"/>
    </row>
    <row r="2055" spans="12:16">
      <c r="L2055"/>
      <c r="M2055"/>
      <c r="O2055"/>
      <c r="P2055"/>
    </row>
    <row r="2056" spans="12:16">
      <c r="L2056"/>
      <c r="M2056"/>
      <c r="O2056"/>
      <c r="P2056"/>
    </row>
    <row r="2057" spans="12:16">
      <c r="L2057"/>
      <c r="M2057"/>
      <c r="O2057"/>
      <c r="P2057"/>
    </row>
    <row r="2058" spans="12:16">
      <c r="L2058"/>
      <c r="M2058"/>
      <c r="O2058"/>
      <c r="P2058"/>
    </row>
    <row r="2059" spans="12:16">
      <c r="L2059"/>
      <c r="M2059"/>
      <c r="O2059"/>
      <c r="P2059"/>
    </row>
    <row r="2060" spans="12:16">
      <c r="L2060"/>
      <c r="M2060"/>
      <c r="O2060"/>
      <c r="P2060"/>
    </row>
    <row r="2061" spans="12:16">
      <c r="L2061"/>
      <c r="M2061"/>
      <c r="O2061"/>
      <c r="P2061"/>
    </row>
    <row r="2062" spans="12:16">
      <c r="L2062"/>
      <c r="M2062"/>
      <c r="O2062"/>
      <c r="P2062"/>
    </row>
    <row r="2063" spans="12:16">
      <c r="L2063"/>
      <c r="M2063"/>
      <c r="O2063"/>
      <c r="P2063"/>
    </row>
    <row r="2064" spans="12:16">
      <c r="L2064"/>
      <c r="M2064"/>
      <c r="O2064"/>
      <c r="P2064"/>
    </row>
    <row r="2065" spans="12:16">
      <c r="L2065"/>
      <c r="M2065"/>
      <c r="O2065"/>
      <c r="P2065"/>
    </row>
    <row r="2066" spans="12:16">
      <c r="L2066"/>
      <c r="M2066"/>
      <c r="O2066"/>
      <c r="P2066"/>
    </row>
    <row r="2067" spans="12:16">
      <c r="L2067"/>
      <c r="M2067"/>
      <c r="O2067"/>
      <c r="P2067"/>
    </row>
    <row r="2068" spans="12:16">
      <c r="L2068"/>
      <c r="M2068"/>
      <c r="O2068"/>
      <c r="P2068"/>
    </row>
    <row r="2069" spans="12:16">
      <c r="L2069"/>
      <c r="M2069"/>
      <c r="O2069"/>
      <c r="P2069"/>
    </row>
    <row r="2070" spans="12:16">
      <c r="L2070"/>
      <c r="M2070"/>
      <c r="O2070"/>
      <c r="P2070"/>
    </row>
    <row r="2071" spans="12:16">
      <c r="L2071"/>
      <c r="M2071"/>
      <c r="O2071"/>
      <c r="P2071"/>
    </row>
    <row r="2072" spans="12:16">
      <c r="L2072"/>
      <c r="M2072"/>
      <c r="O2072"/>
      <c r="P2072"/>
    </row>
    <row r="2073" spans="12:16">
      <c r="L2073"/>
      <c r="M2073"/>
      <c r="O2073"/>
      <c r="P2073"/>
    </row>
    <row r="2074" spans="12:16">
      <c r="L2074"/>
      <c r="M2074"/>
      <c r="O2074"/>
      <c r="P2074"/>
    </row>
    <row r="2075" spans="12:16">
      <c r="L2075"/>
      <c r="M2075"/>
      <c r="O2075"/>
      <c r="P2075"/>
    </row>
    <row r="2076" spans="12:16">
      <c r="L2076"/>
      <c r="M2076"/>
      <c r="O2076"/>
      <c r="P2076"/>
    </row>
    <row r="2077" spans="12:16">
      <c r="L2077"/>
      <c r="M2077"/>
      <c r="O2077"/>
      <c r="P2077"/>
    </row>
    <row r="2078" spans="12:16">
      <c r="L2078"/>
      <c r="M2078"/>
      <c r="O2078"/>
      <c r="P2078"/>
    </row>
    <row r="2079" spans="12:16">
      <c r="L2079"/>
      <c r="M2079"/>
      <c r="O2079"/>
      <c r="P2079"/>
    </row>
    <row r="2080" spans="12:16">
      <c r="L2080"/>
      <c r="M2080"/>
      <c r="O2080"/>
      <c r="P2080"/>
    </row>
    <row r="2081" spans="12:16">
      <c r="L2081"/>
      <c r="M2081"/>
      <c r="O2081"/>
      <c r="P2081"/>
    </row>
    <row r="2082" spans="12:16">
      <c r="L2082"/>
      <c r="M2082"/>
      <c r="O2082"/>
      <c r="P2082"/>
    </row>
    <row r="2083" spans="12:16">
      <c r="L2083"/>
      <c r="M2083"/>
      <c r="O2083"/>
      <c r="P2083"/>
    </row>
    <row r="2084" spans="12:16">
      <c r="L2084"/>
      <c r="M2084"/>
      <c r="O2084"/>
      <c r="P2084"/>
    </row>
    <row r="2085" spans="12:16">
      <c r="L2085"/>
      <c r="M2085"/>
      <c r="O2085"/>
      <c r="P2085"/>
    </row>
    <row r="2086" spans="12:16">
      <c r="L2086"/>
      <c r="M2086"/>
      <c r="O2086"/>
      <c r="P2086"/>
    </row>
    <row r="2087" spans="12:16">
      <c r="L2087"/>
      <c r="M2087"/>
      <c r="O2087"/>
      <c r="P2087"/>
    </row>
    <row r="2088" spans="12:16">
      <c r="L2088"/>
      <c r="M2088"/>
      <c r="O2088"/>
      <c r="P2088"/>
    </row>
    <row r="2089" spans="12:16">
      <c r="L2089"/>
      <c r="M2089"/>
      <c r="O2089"/>
      <c r="P2089"/>
    </row>
    <row r="2090" spans="12:16">
      <c r="L2090"/>
      <c r="M2090"/>
      <c r="O2090"/>
      <c r="P2090"/>
    </row>
    <row r="2091" spans="12:16">
      <c r="L2091"/>
      <c r="M2091"/>
      <c r="O2091"/>
      <c r="P2091"/>
    </row>
    <row r="2092" spans="12:16">
      <c r="L2092"/>
      <c r="M2092"/>
      <c r="O2092"/>
      <c r="P2092"/>
    </row>
    <row r="2093" spans="12:16">
      <c r="L2093"/>
      <c r="M2093"/>
      <c r="O2093"/>
      <c r="P2093"/>
    </row>
    <row r="2094" spans="12:16">
      <c r="L2094"/>
      <c r="M2094"/>
      <c r="O2094"/>
      <c r="P2094"/>
    </row>
    <row r="2095" spans="12:16">
      <c r="L2095"/>
      <c r="M2095"/>
      <c r="O2095"/>
      <c r="P2095"/>
    </row>
    <row r="2096" spans="12:16">
      <c r="L2096"/>
      <c r="M2096"/>
      <c r="O2096"/>
      <c r="P2096"/>
    </row>
    <row r="2097" spans="12:16">
      <c r="L2097"/>
      <c r="M2097"/>
      <c r="O2097"/>
      <c r="P2097"/>
    </row>
    <row r="2098" spans="12:16">
      <c r="L2098"/>
      <c r="M2098"/>
      <c r="O2098"/>
      <c r="P2098"/>
    </row>
    <row r="2099" spans="12:16">
      <c r="L2099"/>
      <c r="M2099"/>
      <c r="O2099"/>
      <c r="P2099"/>
    </row>
    <row r="2100" spans="12:16">
      <c r="L2100"/>
      <c r="M2100"/>
      <c r="O2100"/>
      <c r="P2100"/>
    </row>
    <row r="2101" spans="12:16">
      <c r="L2101"/>
      <c r="M2101"/>
      <c r="O2101"/>
      <c r="P2101"/>
    </row>
    <row r="2102" spans="12:16">
      <c r="L2102"/>
      <c r="M2102"/>
      <c r="O2102"/>
      <c r="P2102"/>
    </row>
    <row r="2103" spans="12:16">
      <c r="L2103"/>
      <c r="M2103"/>
      <c r="O2103"/>
      <c r="P2103"/>
    </row>
    <row r="2104" spans="12:16">
      <c r="L2104"/>
      <c r="M2104"/>
      <c r="O2104"/>
      <c r="P2104"/>
    </row>
    <row r="2105" spans="12:16">
      <c r="L2105"/>
      <c r="M2105"/>
      <c r="O2105"/>
      <c r="P2105"/>
    </row>
    <row r="2106" spans="12:16">
      <c r="L2106"/>
      <c r="M2106"/>
      <c r="O2106"/>
      <c r="P2106"/>
    </row>
    <row r="2107" spans="12:16">
      <c r="L2107"/>
      <c r="M2107"/>
      <c r="O2107"/>
      <c r="P2107"/>
    </row>
    <row r="2108" spans="12:16">
      <c r="L2108"/>
      <c r="M2108"/>
      <c r="O2108"/>
      <c r="P2108"/>
    </row>
    <row r="2109" spans="12:16">
      <c r="L2109"/>
      <c r="M2109"/>
      <c r="O2109"/>
      <c r="P2109"/>
    </row>
    <row r="2110" spans="12:16">
      <c r="L2110"/>
      <c r="M2110"/>
      <c r="O2110"/>
      <c r="P2110"/>
    </row>
    <row r="2111" spans="12:16">
      <c r="L2111"/>
      <c r="M2111"/>
      <c r="O2111"/>
      <c r="P2111"/>
    </row>
    <row r="2112" spans="12:16">
      <c r="L2112"/>
      <c r="M2112"/>
      <c r="O2112"/>
      <c r="P2112"/>
    </row>
    <row r="2113" spans="12:16">
      <c r="L2113"/>
      <c r="M2113"/>
      <c r="O2113"/>
      <c r="P2113"/>
    </row>
    <row r="2114" spans="12:16">
      <c r="L2114"/>
      <c r="M2114"/>
      <c r="O2114"/>
      <c r="P2114"/>
    </row>
    <row r="2115" spans="12:16">
      <c r="L2115"/>
      <c r="M2115"/>
      <c r="O2115"/>
      <c r="P2115"/>
    </row>
    <row r="2116" spans="12:16">
      <c r="L2116"/>
      <c r="M2116"/>
      <c r="O2116"/>
      <c r="P2116"/>
    </row>
    <row r="2117" spans="12:16">
      <c r="L2117"/>
      <c r="M2117"/>
      <c r="O2117"/>
      <c r="P2117"/>
    </row>
    <row r="2118" spans="12:16">
      <c r="L2118"/>
      <c r="M2118"/>
      <c r="O2118"/>
      <c r="P2118"/>
    </row>
    <row r="2119" spans="12:16">
      <c r="L2119"/>
      <c r="M2119"/>
      <c r="O2119"/>
      <c r="P2119"/>
    </row>
    <row r="2120" spans="12:16">
      <c r="L2120"/>
      <c r="M2120"/>
      <c r="O2120"/>
      <c r="P2120"/>
    </row>
    <row r="2121" spans="12:16">
      <c r="L2121"/>
      <c r="M2121"/>
      <c r="O2121"/>
      <c r="P2121"/>
    </row>
    <row r="2122" spans="12:16">
      <c r="L2122"/>
      <c r="M2122"/>
      <c r="O2122"/>
      <c r="P2122"/>
    </row>
    <row r="2123" spans="12:16">
      <c r="L2123"/>
      <c r="M2123"/>
      <c r="O2123"/>
      <c r="P2123"/>
    </row>
    <row r="2124" spans="12:16">
      <c r="L2124"/>
      <c r="M2124"/>
      <c r="O2124"/>
      <c r="P2124"/>
    </row>
    <row r="2125" spans="12:16">
      <c r="L2125"/>
      <c r="M2125"/>
      <c r="O2125"/>
      <c r="P2125"/>
    </row>
    <row r="2126" spans="12:16">
      <c r="L2126"/>
      <c r="M2126"/>
      <c r="O2126"/>
      <c r="P2126"/>
    </row>
    <row r="2127" spans="12:16">
      <c r="L2127"/>
      <c r="M2127"/>
      <c r="O2127"/>
      <c r="P2127"/>
    </row>
    <row r="2128" spans="12:16">
      <c r="L2128"/>
      <c r="M2128"/>
      <c r="O2128"/>
      <c r="P2128"/>
    </row>
    <row r="2129" spans="12:16">
      <c r="L2129"/>
      <c r="M2129"/>
      <c r="O2129"/>
      <c r="P2129"/>
    </row>
    <row r="2130" spans="12:16">
      <c r="L2130"/>
      <c r="M2130"/>
      <c r="O2130"/>
      <c r="P2130"/>
    </row>
    <row r="2131" spans="12:16">
      <c r="L2131"/>
      <c r="M2131"/>
      <c r="O2131"/>
      <c r="P2131"/>
    </row>
    <row r="2132" spans="12:16">
      <c r="L2132"/>
      <c r="M2132"/>
      <c r="O2132"/>
      <c r="P2132"/>
    </row>
    <row r="2133" spans="12:16">
      <c r="L2133"/>
      <c r="M2133"/>
      <c r="O2133"/>
      <c r="P2133"/>
    </row>
    <row r="2134" spans="12:16">
      <c r="L2134"/>
      <c r="M2134"/>
      <c r="O2134"/>
      <c r="P2134"/>
    </row>
    <row r="2135" spans="12:16">
      <c r="L2135"/>
      <c r="M2135"/>
      <c r="O2135"/>
      <c r="P2135"/>
    </row>
    <row r="2136" spans="12:16">
      <c r="L2136"/>
      <c r="M2136"/>
      <c r="O2136"/>
      <c r="P2136"/>
    </row>
    <row r="2137" spans="12:16">
      <c r="L2137"/>
      <c r="M2137"/>
      <c r="O2137"/>
      <c r="P2137"/>
    </row>
    <row r="2138" spans="12:16">
      <c r="L2138"/>
      <c r="M2138"/>
      <c r="O2138"/>
      <c r="P2138"/>
    </row>
    <row r="2139" spans="12:16">
      <c r="L2139"/>
      <c r="M2139"/>
      <c r="O2139"/>
      <c r="P2139"/>
    </row>
    <row r="2140" spans="12:16">
      <c r="L2140"/>
      <c r="M2140"/>
      <c r="O2140"/>
      <c r="P2140"/>
    </row>
    <row r="2141" spans="12:16">
      <c r="L2141"/>
      <c r="M2141"/>
      <c r="O2141"/>
      <c r="P2141"/>
    </row>
    <row r="2142" spans="12:16">
      <c r="L2142"/>
      <c r="M2142"/>
      <c r="O2142"/>
      <c r="P2142"/>
    </row>
    <row r="2143" spans="12:16">
      <c r="L2143"/>
      <c r="M2143"/>
      <c r="O2143"/>
      <c r="P2143"/>
    </row>
    <row r="2144" spans="12:16">
      <c r="L2144"/>
      <c r="M2144"/>
      <c r="O2144"/>
      <c r="P2144"/>
    </row>
    <row r="2145" spans="12:16">
      <c r="L2145"/>
      <c r="M2145"/>
      <c r="O2145"/>
      <c r="P2145"/>
    </row>
    <row r="2146" spans="12:16">
      <c r="L2146"/>
      <c r="M2146"/>
      <c r="O2146"/>
      <c r="P2146"/>
    </row>
    <row r="2147" spans="12:16">
      <c r="L2147"/>
      <c r="M2147"/>
      <c r="O2147"/>
      <c r="P2147"/>
    </row>
    <row r="2148" spans="12:16">
      <c r="L2148"/>
      <c r="M2148"/>
      <c r="O2148"/>
      <c r="P2148"/>
    </row>
    <row r="2149" spans="12:16">
      <c r="L2149"/>
      <c r="M2149"/>
      <c r="O2149"/>
      <c r="P2149"/>
    </row>
    <row r="2150" spans="12:16">
      <c r="L2150"/>
      <c r="M2150"/>
      <c r="O2150"/>
      <c r="P2150"/>
    </row>
    <row r="2151" spans="12:16">
      <c r="L2151"/>
      <c r="M2151"/>
      <c r="O2151"/>
      <c r="P2151"/>
    </row>
    <row r="2152" spans="12:16">
      <c r="L2152"/>
      <c r="M2152"/>
      <c r="O2152"/>
      <c r="P2152"/>
    </row>
    <row r="2153" spans="12:16">
      <c r="L2153"/>
      <c r="M2153"/>
      <c r="O2153"/>
      <c r="P2153"/>
    </row>
    <row r="2154" spans="12:16">
      <c r="L2154"/>
      <c r="M2154"/>
      <c r="O2154"/>
      <c r="P2154"/>
    </row>
    <row r="2155" spans="12:16">
      <c r="L2155"/>
      <c r="M2155"/>
      <c r="O2155"/>
      <c r="P2155"/>
    </row>
    <row r="2156" spans="12:16">
      <c r="L2156"/>
      <c r="M2156"/>
      <c r="O2156"/>
      <c r="P2156"/>
    </row>
    <row r="2157" spans="12:16">
      <c r="L2157"/>
      <c r="M2157"/>
      <c r="O2157"/>
      <c r="P2157"/>
    </row>
    <row r="2158" spans="12:16">
      <c r="L2158"/>
      <c r="M2158"/>
      <c r="O2158"/>
      <c r="P2158"/>
    </row>
    <row r="2159" spans="12:16">
      <c r="L2159"/>
      <c r="M2159"/>
      <c r="O2159"/>
      <c r="P2159"/>
    </row>
    <row r="2160" spans="12:16">
      <c r="L2160"/>
      <c r="M2160"/>
      <c r="O2160"/>
      <c r="P2160"/>
    </row>
    <row r="2161" spans="12:16">
      <c r="L2161"/>
      <c r="M2161"/>
      <c r="O2161"/>
      <c r="P2161"/>
    </row>
    <row r="2162" spans="12:16">
      <c r="L2162"/>
      <c r="M2162"/>
      <c r="O2162"/>
      <c r="P2162"/>
    </row>
    <row r="2163" spans="12:16">
      <c r="L2163"/>
      <c r="M2163"/>
      <c r="O2163"/>
      <c r="P2163"/>
    </row>
    <row r="2164" spans="12:16">
      <c r="L2164"/>
      <c r="M2164"/>
      <c r="O2164"/>
      <c r="P2164"/>
    </row>
    <row r="2165" spans="12:16">
      <c r="L2165"/>
      <c r="M2165"/>
      <c r="O2165"/>
      <c r="P2165"/>
    </row>
    <row r="2166" spans="12:16">
      <c r="L2166"/>
      <c r="M2166"/>
      <c r="O2166"/>
      <c r="P2166"/>
    </row>
    <row r="2167" spans="12:16">
      <c r="L2167"/>
      <c r="M2167"/>
      <c r="O2167"/>
      <c r="P2167"/>
    </row>
    <row r="2168" spans="12:16">
      <c r="L2168"/>
      <c r="M2168"/>
      <c r="O2168"/>
      <c r="P2168"/>
    </row>
    <row r="2169" spans="12:16">
      <c r="L2169"/>
      <c r="M2169"/>
      <c r="O2169"/>
      <c r="P2169"/>
    </row>
    <row r="2170" spans="12:16">
      <c r="L2170"/>
      <c r="M2170"/>
      <c r="O2170"/>
      <c r="P2170"/>
    </row>
    <row r="2171" spans="12:16">
      <c r="L2171"/>
      <c r="M2171"/>
      <c r="O2171"/>
      <c r="P2171"/>
    </row>
    <row r="2172" spans="12:16">
      <c r="L2172"/>
      <c r="M2172"/>
      <c r="O2172"/>
      <c r="P2172"/>
    </row>
    <row r="2173" spans="12:16">
      <c r="L2173"/>
      <c r="M2173"/>
      <c r="O2173"/>
      <c r="P2173"/>
    </row>
    <row r="2174" spans="12:16">
      <c r="L2174"/>
      <c r="M2174"/>
      <c r="O2174"/>
      <c r="P2174"/>
    </row>
    <row r="2175" spans="12:16">
      <c r="L2175"/>
      <c r="M2175"/>
      <c r="O2175"/>
      <c r="P2175"/>
    </row>
    <row r="2176" spans="12:16">
      <c r="L2176"/>
      <c r="M2176"/>
      <c r="O2176"/>
      <c r="P2176"/>
    </row>
    <row r="2177" spans="12:16">
      <c r="L2177"/>
      <c r="M2177"/>
      <c r="O2177"/>
      <c r="P2177"/>
    </row>
    <row r="2178" spans="12:16">
      <c r="L2178"/>
      <c r="M2178"/>
      <c r="O2178"/>
      <c r="P2178"/>
    </row>
    <row r="2179" spans="12:16">
      <c r="L2179"/>
      <c r="M2179"/>
      <c r="O2179"/>
      <c r="P2179"/>
    </row>
    <row r="2180" spans="12:16">
      <c r="L2180"/>
      <c r="M2180"/>
      <c r="O2180"/>
      <c r="P2180"/>
    </row>
    <row r="2181" spans="12:16">
      <c r="L2181"/>
      <c r="M2181"/>
      <c r="O2181"/>
      <c r="P2181"/>
    </row>
    <row r="2182" spans="12:16">
      <c r="L2182"/>
      <c r="M2182"/>
      <c r="O2182"/>
      <c r="P2182"/>
    </row>
    <row r="2183" spans="12:16">
      <c r="L2183"/>
      <c r="M2183"/>
      <c r="O2183"/>
      <c r="P2183"/>
    </row>
    <row r="2184" spans="12:16">
      <c r="L2184"/>
      <c r="M2184"/>
      <c r="O2184"/>
      <c r="P2184"/>
    </row>
    <row r="2185" spans="12:16">
      <c r="L2185"/>
      <c r="M2185"/>
      <c r="O2185"/>
      <c r="P2185"/>
    </row>
    <row r="2186" spans="12:16">
      <c r="L2186"/>
      <c r="M2186"/>
      <c r="O2186"/>
      <c r="P2186"/>
    </row>
    <row r="2187" spans="12:16">
      <c r="L2187"/>
      <c r="M2187"/>
      <c r="O2187"/>
      <c r="P2187"/>
    </row>
    <row r="2188" spans="12:16">
      <c r="L2188"/>
      <c r="M2188"/>
      <c r="O2188"/>
      <c r="P2188"/>
    </row>
    <row r="2189" spans="12:16">
      <c r="L2189"/>
      <c r="M2189"/>
      <c r="O2189"/>
      <c r="P2189"/>
    </row>
    <row r="2190" spans="12:16">
      <c r="L2190"/>
      <c r="M2190"/>
      <c r="O2190"/>
      <c r="P2190"/>
    </row>
    <row r="2191" spans="12:16">
      <c r="L2191"/>
      <c r="M2191"/>
      <c r="O2191"/>
      <c r="P2191"/>
    </row>
    <row r="2192" spans="12:16">
      <c r="L2192"/>
      <c r="M2192"/>
      <c r="O2192"/>
      <c r="P2192"/>
    </row>
    <row r="2193" spans="12:16">
      <c r="L2193"/>
      <c r="M2193"/>
      <c r="O2193"/>
      <c r="P2193"/>
    </row>
    <row r="2194" spans="12:16">
      <c r="L2194"/>
      <c r="M2194"/>
      <c r="O2194"/>
      <c r="P2194"/>
    </row>
    <row r="2195" spans="12:16">
      <c r="L2195"/>
      <c r="M2195"/>
      <c r="O2195"/>
      <c r="P2195"/>
    </row>
    <row r="2196" spans="12:16">
      <c r="L2196"/>
      <c r="M2196"/>
      <c r="O2196"/>
      <c r="P2196"/>
    </row>
    <row r="2197" spans="12:16">
      <c r="L2197"/>
      <c r="M2197"/>
      <c r="O2197"/>
      <c r="P2197"/>
    </row>
    <row r="2198" spans="12:16">
      <c r="L2198"/>
      <c r="M2198"/>
      <c r="O2198"/>
      <c r="P2198"/>
    </row>
    <row r="2199" spans="12:16">
      <c r="L2199"/>
      <c r="M2199"/>
      <c r="O2199"/>
      <c r="P2199"/>
    </row>
    <row r="2200" spans="12:16">
      <c r="L2200"/>
      <c r="M2200"/>
      <c r="O2200"/>
      <c r="P2200"/>
    </row>
    <row r="2201" spans="12:16">
      <c r="L2201"/>
      <c r="M2201"/>
      <c r="O2201"/>
      <c r="P2201"/>
    </row>
    <row r="2202" spans="12:16">
      <c r="L2202"/>
      <c r="M2202"/>
      <c r="O2202"/>
      <c r="P2202"/>
    </row>
    <row r="2203" spans="12:16">
      <c r="L2203"/>
      <c r="M2203"/>
      <c r="O2203"/>
      <c r="P2203"/>
    </row>
    <row r="2204" spans="12:16">
      <c r="L2204"/>
      <c r="M2204"/>
      <c r="O2204"/>
      <c r="P2204"/>
    </row>
    <row r="2205" spans="12:16">
      <c r="L2205"/>
      <c r="M2205"/>
      <c r="O2205"/>
      <c r="P2205"/>
    </row>
    <row r="2206" spans="12:16">
      <c r="L2206"/>
      <c r="M2206"/>
      <c r="O2206"/>
      <c r="P2206"/>
    </row>
    <row r="2207" spans="12:16">
      <c r="L2207"/>
      <c r="M2207"/>
      <c r="O2207"/>
      <c r="P2207"/>
    </row>
    <row r="2208" spans="12:16">
      <c r="L2208"/>
      <c r="M2208"/>
      <c r="O2208"/>
      <c r="P2208"/>
    </row>
    <row r="2209" spans="12:16">
      <c r="L2209"/>
      <c r="M2209"/>
      <c r="O2209"/>
      <c r="P2209"/>
    </row>
    <row r="2210" spans="12:16">
      <c r="L2210"/>
      <c r="M2210"/>
      <c r="O2210"/>
      <c r="P2210"/>
    </row>
    <row r="2211" spans="12:16">
      <c r="L2211"/>
      <c r="M2211"/>
      <c r="O2211"/>
      <c r="P2211"/>
    </row>
    <row r="2212" spans="12:16">
      <c r="L2212"/>
      <c r="M2212"/>
      <c r="O2212"/>
      <c r="P2212"/>
    </row>
    <row r="2213" spans="12:16">
      <c r="L2213"/>
      <c r="M2213"/>
      <c r="O2213"/>
      <c r="P2213"/>
    </row>
    <row r="2214" spans="12:16">
      <c r="L2214"/>
      <c r="M2214"/>
      <c r="O2214"/>
      <c r="P2214"/>
    </row>
    <row r="2215" spans="12:16">
      <c r="L2215"/>
      <c r="M2215"/>
      <c r="O2215"/>
      <c r="P2215"/>
    </row>
    <row r="2216" spans="12:16">
      <c r="L2216"/>
      <c r="M2216"/>
      <c r="O2216"/>
      <c r="P2216"/>
    </row>
    <row r="2217" spans="12:16">
      <c r="L2217"/>
      <c r="M2217"/>
      <c r="O2217"/>
      <c r="P2217"/>
    </row>
    <row r="2218" spans="12:16">
      <c r="L2218"/>
      <c r="M2218"/>
      <c r="O2218"/>
      <c r="P2218"/>
    </row>
    <row r="2219" spans="12:16">
      <c r="L2219"/>
      <c r="M2219"/>
      <c r="O2219"/>
      <c r="P2219"/>
    </row>
    <row r="2220" spans="12:16">
      <c r="L2220"/>
      <c r="M2220"/>
      <c r="O2220"/>
      <c r="P2220"/>
    </row>
    <row r="2221" spans="12:16">
      <c r="L2221"/>
      <c r="M2221"/>
      <c r="O2221"/>
      <c r="P2221"/>
    </row>
    <row r="2222" spans="12:16">
      <c r="L2222"/>
      <c r="M2222"/>
      <c r="O2222"/>
      <c r="P2222"/>
    </row>
    <row r="2223" spans="12:16">
      <c r="L2223"/>
      <c r="M2223"/>
      <c r="O2223"/>
      <c r="P2223"/>
    </row>
    <row r="2224" spans="12:16">
      <c r="L2224"/>
      <c r="M2224"/>
      <c r="O2224"/>
      <c r="P2224"/>
    </row>
    <row r="2225" spans="12:16">
      <c r="L2225"/>
      <c r="M2225"/>
      <c r="O2225"/>
      <c r="P2225"/>
    </row>
    <row r="2226" spans="12:16">
      <c r="L2226"/>
      <c r="M2226"/>
      <c r="O2226"/>
      <c r="P2226"/>
    </row>
    <row r="2227" spans="12:16">
      <c r="L2227"/>
      <c r="M2227"/>
      <c r="O2227"/>
      <c r="P2227"/>
    </row>
    <row r="2228" spans="12:16">
      <c r="L2228"/>
      <c r="M2228"/>
      <c r="O2228"/>
      <c r="P2228"/>
    </row>
    <row r="2229" spans="12:16">
      <c r="L2229"/>
      <c r="M2229"/>
      <c r="O2229"/>
      <c r="P2229"/>
    </row>
    <row r="2230" spans="12:16">
      <c r="L2230"/>
      <c r="M2230"/>
      <c r="O2230"/>
      <c r="P2230"/>
    </row>
    <row r="2231" spans="12:16">
      <c r="L2231"/>
      <c r="M2231"/>
      <c r="O2231"/>
      <c r="P2231"/>
    </row>
    <row r="2232" spans="12:16">
      <c r="L2232"/>
      <c r="M2232"/>
      <c r="O2232"/>
      <c r="P2232"/>
    </row>
    <row r="2233" spans="12:16">
      <c r="L2233"/>
      <c r="M2233"/>
      <c r="O2233"/>
      <c r="P2233"/>
    </row>
    <row r="2234" spans="12:16">
      <c r="L2234"/>
      <c r="M2234"/>
      <c r="O2234"/>
      <c r="P2234"/>
    </row>
    <row r="2235" spans="12:16">
      <c r="L2235"/>
      <c r="M2235"/>
      <c r="O2235"/>
      <c r="P2235"/>
    </row>
    <row r="2236" spans="12:16">
      <c r="L2236"/>
      <c r="M2236"/>
      <c r="O2236"/>
      <c r="P2236"/>
    </row>
    <row r="2237" spans="12:16">
      <c r="L2237"/>
      <c r="M2237"/>
      <c r="O2237"/>
      <c r="P2237"/>
    </row>
    <row r="2238" spans="12:16">
      <c r="L2238"/>
      <c r="M2238"/>
      <c r="O2238"/>
      <c r="P2238"/>
    </row>
    <row r="2239" spans="12:16">
      <c r="L2239"/>
      <c r="M2239"/>
      <c r="O2239"/>
      <c r="P2239"/>
    </row>
    <row r="2240" spans="12:16">
      <c r="L2240"/>
      <c r="M2240"/>
      <c r="O2240"/>
      <c r="P2240"/>
    </row>
    <row r="2241" spans="12:16">
      <c r="L2241"/>
      <c r="M2241"/>
      <c r="O2241"/>
      <c r="P2241"/>
    </row>
    <row r="2242" spans="12:16">
      <c r="L2242"/>
      <c r="M2242"/>
      <c r="O2242"/>
      <c r="P2242"/>
    </row>
    <row r="2243" spans="12:16">
      <c r="L2243"/>
      <c r="M2243"/>
      <c r="O2243"/>
      <c r="P2243"/>
    </row>
    <row r="2244" spans="12:16">
      <c r="L2244"/>
      <c r="M2244"/>
      <c r="O2244"/>
      <c r="P2244"/>
    </row>
    <row r="2245" spans="12:16">
      <c r="L2245"/>
      <c r="M2245"/>
      <c r="O2245"/>
      <c r="P2245"/>
    </row>
    <row r="2246" spans="12:16">
      <c r="L2246"/>
      <c r="M2246"/>
      <c r="O2246"/>
      <c r="P2246"/>
    </row>
    <row r="2247" spans="12:16">
      <c r="L2247"/>
      <c r="M2247"/>
      <c r="O2247"/>
      <c r="P2247"/>
    </row>
    <row r="2248" spans="12:16">
      <c r="L2248"/>
      <c r="M2248"/>
      <c r="O2248"/>
      <c r="P2248"/>
    </row>
    <row r="2249" spans="12:16">
      <c r="L2249"/>
      <c r="M2249"/>
      <c r="O2249"/>
      <c r="P2249"/>
    </row>
    <row r="2250" spans="12:16">
      <c r="L2250"/>
      <c r="M2250"/>
      <c r="O2250"/>
      <c r="P2250"/>
    </row>
    <row r="2251" spans="12:16">
      <c r="L2251"/>
      <c r="M2251"/>
      <c r="O2251"/>
      <c r="P2251"/>
    </row>
    <row r="2252" spans="12:16">
      <c r="L2252"/>
      <c r="M2252"/>
      <c r="O2252"/>
      <c r="P2252"/>
    </row>
    <row r="2253" spans="12:16">
      <c r="L2253"/>
      <c r="M2253"/>
      <c r="O2253"/>
      <c r="P2253"/>
    </row>
    <row r="2254" spans="12:16">
      <c r="L2254"/>
      <c r="M2254"/>
      <c r="O2254"/>
      <c r="P2254"/>
    </row>
    <row r="2255" spans="12:16">
      <c r="L2255"/>
      <c r="M2255"/>
      <c r="O2255"/>
      <c r="P2255"/>
    </row>
    <row r="2256" spans="12:16">
      <c r="L2256"/>
      <c r="M2256"/>
      <c r="O2256"/>
      <c r="P2256"/>
    </row>
    <row r="2257" spans="12:16">
      <c r="L2257"/>
      <c r="M2257"/>
      <c r="O2257"/>
      <c r="P2257"/>
    </row>
    <row r="2258" spans="12:16">
      <c r="L2258"/>
      <c r="M2258"/>
      <c r="O2258"/>
      <c r="P2258"/>
    </row>
    <row r="2259" spans="12:16">
      <c r="L2259"/>
      <c r="M2259"/>
      <c r="O2259"/>
      <c r="P2259"/>
    </row>
    <row r="2260" spans="12:16">
      <c r="L2260"/>
      <c r="M2260"/>
      <c r="O2260"/>
      <c r="P2260"/>
    </row>
    <row r="2261" spans="12:16">
      <c r="L2261"/>
      <c r="M2261"/>
      <c r="O2261"/>
      <c r="P2261"/>
    </row>
    <row r="2262" spans="12:16">
      <c r="L2262"/>
      <c r="M2262"/>
      <c r="O2262"/>
      <c r="P2262"/>
    </row>
    <row r="2263" spans="12:16">
      <c r="L2263"/>
      <c r="M2263"/>
      <c r="O2263"/>
      <c r="P2263"/>
    </row>
    <row r="2264" spans="12:16">
      <c r="L2264"/>
      <c r="M2264"/>
      <c r="O2264"/>
      <c r="P2264"/>
    </row>
    <row r="2265" spans="12:16">
      <c r="L2265"/>
      <c r="M2265"/>
      <c r="O2265"/>
      <c r="P2265"/>
    </row>
    <row r="2266" spans="12:16">
      <c r="L2266"/>
      <c r="M2266"/>
      <c r="O2266"/>
      <c r="P2266"/>
    </row>
    <row r="2267" spans="12:16">
      <c r="L2267"/>
      <c r="M2267"/>
      <c r="O2267"/>
      <c r="P2267"/>
    </row>
    <row r="2268" spans="12:16">
      <c r="L2268"/>
      <c r="M2268"/>
      <c r="O2268"/>
      <c r="P2268"/>
    </row>
    <row r="2269" spans="12:16">
      <c r="L2269"/>
      <c r="M2269"/>
      <c r="O2269"/>
      <c r="P2269"/>
    </row>
    <row r="2270" spans="12:16">
      <c r="L2270"/>
      <c r="M2270"/>
      <c r="O2270"/>
      <c r="P2270"/>
    </row>
    <row r="2271" spans="12:16">
      <c r="L2271"/>
      <c r="M2271"/>
      <c r="O2271"/>
      <c r="P2271"/>
    </row>
    <row r="2272" spans="12:16">
      <c r="L2272"/>
      <c r="M2272"/>
      <c r="O2272"/>
      <c r="P2272"/>
    </row>
    <row r="2273" spans="12:16">
      <c r="L2273"/>
      <c r="M2273"/>
      <c r="O2273"/>
      <c r="P2273"/>
    </row>
    <row r="2274" spans="12:16">
      <c r="L2274"/>
      <c r="M2274"/>
      <c r="O2274"/>
      <c r="P2274"/>
    </row>
    <row r="2275" spans="12:16">
      <c r="L2275"/>
      <c r="M2275"/>
      <c r="O2275"/>
      <c r="P2275"/>
    </row>
    <row r="2276" spans="12:16">
      <c r="L2276"/>
      <c r="M2276"/>
      <c r="O2276"/>
      <c r="P2276"/>
    </row>
    <row r="2277" spans="12:16">
      <c r="L2277"/>
      <c r="M2277"/>
      <c r="O2277"/>
      <c r="P2277"/>
    </row>
    <row r="2278" spans="12:16">
      <c r="L2278"/>
      <c r="M2278"/>
      <c r="O2278"/>
      <c r="P2278"/>
    </row>
    <row r="2279" spans="12:16">
      <c r="L2279"/>
      <c r="M2279"/>
      <c r="O2279"/>
      <c r="P2279"/>
    </row>
    <row r="2280" spans="12:16">
      <c r="L2280"/>
      <c r="M2280"/>
      <c r="O2280"/>
      <c r="P2280"/>
    </row>
    <row r="2281" spans="12:16">
      <c r="L2281"/>
      <c r="M2281"/>
      <c r="O2281"/>
      <c r="P2281"/>
    </row>
    <row r="2282" spans="12:16">
      <c r="L2282"/>
      <c r="M2282"/>
      <c r="O2282"/>
      <c r="P2282"/>
    </row>
    <row r="2283" spans="12:16">
      <c r="L2283"/>
      <c r="M2283"/>
      <c r="O2283"/>
      <c r="P2283"/>
    </row>
    <row r="2284" spans="12:16">
      <c r="L2284"/>
      <c r="M2284"/>
      <c r="O2284"/>
      <c r="P2284"/>
    </row>
    <row r="2285" spans="12:16">
      <c r="L2285"/>
      <c r="M2285"/>
      <c r="O2285"/>
      <c r="P2285"/>
    </row>
    <row r="2286" spans="12:16">
      <c r="L2286"/>
      <c r="M2286"/>
      <c r="O2286"/>
      <c r="P2286"/>
    </row>
    <row r="2287" spans="12:16">
      <c r="L2287"/>
      <c r="M2287"/>
      <c r="O2287"/>
      <c r="P2287"/>
    </row>
    <row r="2288" spans="12:16">
      <c r="L2288"/>
      <c r="M2288"/>
      <c r="O2288"/>
      <c r="P2288"/>
    </row>
    <row r="2289" spans="12:16">
      <c r="L2289"/>
      <c r="M2289"/>
      <c r="O2289"/>
      <c r="P2289"/>
    </row>
    <row r="2290" spans="12:16">
      <c r="L2290"/>
      <c r="M2290"/>
      <c r="O2290"/>
      <c r="P2290"/>
    </row>
    <row r="2291" spans="12:16">
      <c r="L2291"/>
      <c r="M2291"/>
      <c r="O2291"/>
      <c r="P2291"/>
    </row>
    <row r="2292" spans="12:16">
      <c r="L2292"/>
      <c r="M2292"/>
      <c r="O2292"/>
      <c r="P2292"/>
    </row>
    <row r="2293" spans="12:16">
      <c r="L2293"/>
      <c r="M2293"/>
      <c r="O2293"/>
      <c r="P2293"/>
    </row>
    <row r="2294" spans="12:16">
      <c r="L2294"/>
      <c r="M2294"/>
      <c r="O2294"/>
      <c r="P2294"/>
    </row>
    <row r="2295" spans="12:16">
      <c r="L2295"/>
      <c r="M2295"/>
      <c r="O2295"/>
      <c r="P2295"/>
    </row>
    <row r="2296" spans="12:16">
      <c r="L2296"/>
      <c r="M2296"/>
      <c r="O2296"/>
      <c r="P2296"/>
    </row>
    <row r="2297" spans="12:16">
      <c r="L2297"/>
      <c r="M2297"/>
      <c r="O2297"/>
      <c r="P2297"/>
    </row>
    <row r="2298" spans="12:16">
      <c r="L2298"/>
      <c r="M2298"/>
      <c r="O2298"/>
      <c r="P2298"/>
    </row>
    <row r="2299" spans="12:16">
      <c r="L2299"/>
      <c r="M2299"/>
      <c r="O2299"/>
      <c r="P2299"/>
    </row>
    <row r="2300" spans="12:16">
      <c r="L2300"/>
      <c r="M2300"/>
      <c r="O2300"/>
      <c r="P2300"/>
    </row>
    <row r="2301" spans="12:16">
      <c r="L2301"/>
      <c r="M2301"/>
      <c r="O2301"/>
      <c r="P2301"/>
    </row>
    <row r="2302" spans="12:16">
      <c r="L2302"/>
      <c r="M2302"/>
      <c r="O2302"/>
      <c r="P2302"/>
    </row>
    <row r="2303" spans="12:16">
      <c r="L2303"/>
      <c r="M2303"/>
      <c r="O2303"/>
      <c r="P2303"/>
    </row>
    <row r="2304" spans="12:16">
      <c r="L2304"/>
      <c r="M2304"/>
      <c r="O2304"/>
      <c r="P2304"/>
    </row>
    <row r="2305" spans="12:16">
      <c r="L2305"/>
      <c r="M2305"/>
      <c r="O2305"/>
      <c r="P2305"/>
    </row>
    <row r="2306" spans="12:16">
      <c r="L2306"/>
      <c r="M2306"/>
      <c r="O2306"/>
      <c r="P2306"/>
    </row>
    <row r="2307" spans="12:16">
      <c r="L2307"/>
      <c r="M2307"/>
      <c r="O2307"/>
      <c r="P2307"/>
    </row>
    <row r="2308" spans="12:16">
      <c r="L2308"/>
      <c r="M2308"/>
      <c r="O2308"/>
      <c r="P2308"/>
    </row>
    <row r="2309" spans="12:16">
      <c r="L2309"/>
      <c r="M2309"/>
      <c r="O2309"/>
      <c r="P2309"/>
    </row>
    <row r="2310" spans="12:16">
      <c r="L2310"/>
      <c r="M2310"/>
      <c r="O2310"/>
      <c r="P2310"/>
    </row>
    <row r="2311" spans="12:16">
      <c r="L2311"/>
      <c r="M2311"/>
      <c r="O2311"/>
      <c r="P2311"/>
    </row>
    <row r="2312" spans="12:16">
      <c r="L2312"/>
      <c r="M2312"/>
      <c r="O2312"/>
      <c r="P2312"/>
    </row>
    <row r="2313" spans="12:16">
      <c r="L2313"/>
      <c r="M2313"/>
      <c r="O2313"/>
      <c r="P2313"/>
    </row>
    <row r="2314" spans="12:16">
      <c r="L2314"/>
      <c r="M2314"/>
      <c r="O2314"/>
      <c r="P2314"/>
    </row>
    <row r="2315" spans="12:16">
      <c r="L2315"/>
      <c r="M2315"/>
      <c r="O2315"/>
      <c r="P2315"/>
    </row>
    <row r="2316" spans="12:16">
      <c r="L2316"/>
      <c r="M2316"/>
      <c r="O2316"/>
      <c r="P2316"/>
    </row>
    <row r="2317" spans="12:16">
      <c r="L2317"/>
      <c r="M2317"/>
      <c r="O2317"/>
      <c r="P2317"/>
    </row>
    <row r="2318" spans="12:16">
      <c r="L2318"/>
      <c r="M2318"/>
      <c r="O2318"/>
      <c r="P2318"/>
    </row>
    <row r="2319" spans="12:16">
      <c r="L2319"/>
      <c r="M2319"/>
      <c r="O2319"/>
      <c r="P2319"/>
    </row>
    <row r="2320" spans="12:16">
      <c r="L2320"/>
      <c r="M2320"/>
      <c r="O2320"/>
      <c r="P2320"/>
    </row>
    <row r="2321" spans="12:16">
      <c r="L2321"/>
      <c r="M2321"/>
      <c r="O2321"/>
      <c r="P2321"/>
    </row>
    <row r="2322" spans="12:16">
      <c r="L2322"/>
      <c r="M2322"/>
      <c r="O2322"/>
      <c r="P2322"/>
    </row>
    <row r="2323" spans="12:16">
      <c r="L2323"/>
      <c r="M2323"/>
      <c r="O2323"/>
      <c r="P2323"/>
    </row>
    <row r="2324" spans="12:16">
      <c r="L2324"/>
      <c r="M2324"/>
      <c r="O2324"/>
      <c r="P2324"/>
    </row>
    <row r="2325" spans="12:16">
      <c r="L2325"/>
      <c r="M2325"/>
      <c r="O2325"/>
      <c r="P2325"/>
    </row>
    <row r="2326" spans="12:16">
      <c r="L2326"/>
      <c r="M2326"/>
      <c r="O2326"/>
      <c r="P2326"/>
    </row>
    <row r="2327" spans="12:16">
      <c r="L2327"/>
      <c r="M2327"/>
      <c r="O2327"/>
      <c r="P2327"/>
    </row>
    <row r="2328" spans="12:16">
      <c r="L2328"/>
      <c r="M2328"/>
      <c r="O2328"/>
      <c r="P2328"/>
    </row>
    <row r="2329" spans="12:16">
      <c r="L2329"/>
      <c r="M2329"/>
      <c r="O2329"/>
      <c r="P2329"/>
    </row>
    <row r="2330" spans="12:16">
      <c r="L2330"/>
      <c r="M2330"/>
      <c r="O2330"/>
      <c r="P2330"/>
    </row>
    <row r="2331" spans="12:16">
      <c r="L2331"/>
      <c r="M2331"/>
      <c r="O2331"/>
      <c r="P2331"/>
    </row>
    <row r="2332" spans="12:16">
      <c r="L2332"/>
      <c r="M2332"/>
      <c r="O2332"/>
      <c r="P2332"/>
    </row>
    <row r="2333" spans="12:16">
      <c r="L2333"/>
      <c r="M2333"/>
      <c r="O2333"/>
      <c r="P2333"/>
    </row>
    <row r="2334" spans="12:16">
      <c r="L2334"/>
      <c r="M2334"/>
      <c r="O2334"/>
      <c r="P2334"/>
    </row>
    <row r="2335" spans="12:16">
      <c r="L2335"/>
      <c r="M2335"/>
      <c r="O2335"/>
      <c r="P2335"/>
    </row>
    <row r="2336" spans="12:16">
      <c r="L2336"/>
      <c r="M2336"/>
      <c r="O2336"/>
      <c r="P2336"/>
    </row>
    <row r="2337" spans="12:16">
      <c r="L2337"/>
      <c r="M2337"/>
      <c r="O2337"/>
      <c r="P2337"/>
    </row>
    <row r="2338" spans="12:16">
      <c r="L2338"/>
      <c r="M2338"/>
      <c r="O2338"/>
      <c r="P2338"/>
    </row>
    <row r="2339" spans="12:16">
      <c r="L2339"/>
      <c r="M2339"/>
      <c r="O2339"/>
      <c r="P2339"/>
    </row>
    <row r="2340" spans="12:16">
      <c r="L2340"/>
      <c r="M2340"/>
      <c r="O2340"/>
      <c r="P2340"/>
    </row>
    <row r="2341" spans="12:16">
      <c r="L2341"/>
      <c r="M2341"/>
      <c r="O2341"/>
      <c r="P2341"/>
    </row>
    <row r="2342" spans="12:16">
      <c r="L2342"/>
      <c r="M2342"/>
      <c r="O2342"/>
      <c r="P2342"/>
    </row>
    <row r="2343" spans="12:16">
      <c r="L2343"/>
      <c r="M2343"/>
      <c r="O2343"/>
      <c r="P2343"/>
    </row>
    <row r="2344" spans="12:16">
      <c r="L2344"/>
      <c r="M2344"/>
      <c r="O2344"/>
      <c r="P2344"/>
    </row>
    <row r="2345" spans="12:16">
      <c r="L2345"/>
      <c r="M2345"/>
      <c r="O2345"/>
      <c r="P2345"/>
    </row>
    <row r="2346" spans="12:16">
      <c r="L2346"/>
      <c r="M2346"/>
      <c r="O2346"/>
      <c r="P2346"/>
    </row>
    <row r="2347" spans="12:16">
      <c r="L2347"/>
      <c r="M2347"/>
      <c r="O2347"/>
      <c r="P2347"/>
    </row>
    <row r="2348" spans="12:16">
      <c r="L2348"/>
      <c r="M2348"/>
      <c r="O2348"/>
      <c r="P2348"/>
    </row>
    <row r="2349" spans="12:16">
      <c r="L2349"/>
      <c r="M2349"/>
      <c r="O2349"/>
      <c r="P2349"/>
    </row>
    <row r="2350" spans="12:16">
      <c r="L2350"/>
      <c r="M2350"/>
      <c r="O2350"/>
      <c r="P2350"/>
    </row>
    <row r="2351" spans="12:16">
      <c r="L2351"/>
      <c r="M2351"/>
      <c r="O2351"/>
      <c r="P2351"/>
    </row>
    <row r="2352" spans="12:16">
      <c r="L2352"/>
      <c r="M2352"/>
      <c r="O2352"/>
      <c r="P2352"/>
    </row>
    <row r="2353" spans="12:16">
      <c r="L2353"/>
      <c r="M2353"/>
      <c r="O2353"/>
      <c r="P2353"/>
    </row>
    <row r="2354" spans="12:16">
      <c r="L2354"/>
      <c r="M2354"/>
      <c r="O2354"/>
      <c r="P2354"/>
    </row>
    <row r="2355" spans="12:16">
      <c r="L2355"/>
      <c r="M2355"/>
      <c r="O2355"/>
      <c r="P2355"/>
    </row>
    <row r="2356" spans="12:16">
      <c r="L2356"/>
      <c r="M2356"/>
      <c r="O2356"/>
      <c r="P2356"/>
    </row>
    <row r="2357" spans="12:16">
      <c r="L2357"/>
      <c r="M2357"/>
      <c r="O2357"/>
      <c r="P2357"/>
    </row>
    <row r="2358" spans="12:16">
      <c r="L2358"/>
      <c r="M2358"/>
      <c r="O2358"/>
      <c r="P2358"/>
    </row>
    <row r="2359" spans="12:16">
      <c r="L2359"/>
      <c r="M2359"/>
      <c r="O2359"/>
      <c r="P2359"/>
    </row>
    <row r="2360" spans="12:16">
      <c r="L2360"/>
      <c r="M2360"/>
      <c r="O2360"/>
      <c r="P2360"/>
    </row>
    <row r="2361" spans="12:16">
      <c r="L2361"/>
      <c r="M2361"/>
      <c r="O2361"/>
      <c r="P2361"/>
    </row>
    <row r="2362" spans="12:16">
      <c r="L2362"/>
      <c r="M2362"/>
      <c r="O2362"/>
      <c r="P2362"/>
    </row>
    <row r="2363" spans="12:16">
      <c r="L2363"/>
      <c r="M2363"/>
      <c r="O2363"/>
      <c r="P2363"/>
    </row>
    <row r="2364" spans="12:16">
      <c r="L2364"/>
      <c r="M2364"/>
      <c r="O2364"/>
      <c r="P2364"/>
    </row>
    <row r="2365" spans="12:16">
      <c r="L2365"/>
      <c r="M2365"/>
      <c r="O2365"/>
      <c r="P2365"/>
    </row>
    <row r="2366" spans="12:16">
      <c r="L2366"/>
      <c r="M2366"/>
      <c r="O2366"/>
      <c r="P2366"/>
    </row>
    <row r="2367" spans="12:16">
      <c r="L2367"/>
      <c r="M2367"/>
      <c r="O2367"/>
      <c r="P2367"/>
    </row>
    <row r="2368" spans="12:16">
      <c r="L2368"/>
      <c r="M2368"/>
      <c r="O2368"/>
      <c r="P2368"/>
    </row>
    <row r="2369" spans="12:16">
      <c r="L2369"/>
      <c r="M2369"/>
      <c r="O2369"/>
      <c r="P2369"/>
    </row>
    <row r="2370" spans="12:16">
      <c r="L2370"/>
      <c r="M2370"/>
      <c r="O2370"/>
      <c r="P2370"/>
    </row>
    <row r="2371" spans="12:16">
      <c r="L2371"/>
      <c r="M2371"/>
      <c r="O2371"/>
      <c r="P2371"/>
    </row>
    <row r="2372" spans="12:16">
      <c r="L2372"/>
      <c r="M2372"/>
      <c r="O2372"/>
      <c r="P2372"/>
    </row>
    <row r="2373" spans="12:16">
      <c r="L2373"/>
      <c r="M2373"/>
      <c r="O2373"/>
      <c r="P2373"/>
    </row>
    <row r="2374" spans="12:16">
      <c r="L2374"/>
      <c r="M2374"/>
      <c r="O2374"/>
      <c r="P2374"/>
    </row>
    <row r="2375" spans="12:16">
      <c r="L2375"/>
      <c r="M2375"/>
      <c r="O2375"/>
      <c r="P2375"/>
    </row>
    <row r="2376" spans="12:16">
      <c r="L2376"/>
      <c r="M2376"/>
      <c r="O2376"/>
      <c r="P2376"/>
    </row>
    <row r="2377" spans="12:16">
      <c r="L2377"/>
      <c r="M2377"/>
      <c r="O2377"/>
      <c r="P2377"/>
    </row>
    <row r="2378" spans="12:16">
      <c r="L2378"/>
      <c r="M2378"/>
      <c r="O2378"/>
      <c r="P2378"/>
    </row>
    <row r="2379" spans="12:16">
      <c r="L2379"/>
      <c r="M2379"/>
      <c r="O2379"/>
      <c r="P2379"/>
    </row>
    <row r="2380" spans="12:16">
      <c r="L2380"/>
      <c r="M2380"/>
      <c r="O2380"/>
      <c r="P2380"/>
    </row>
    <row r="2381" spans="12:16">
      <c r="L2381"/>
      <c r="M2381"/>
      <c r="O2381"/>
      <c r="P2381"/>
    </row>
    <row r="2382" spans="12:16">
      <c r="L2382"/>
      <c r="M2382"/>
      <c r="O2382"/>
      <c r="P2382"/>
    </row>
    <row r="2383" spans="12:16">
      <c r="L2383"/>
      <c r="M2383"/>
      <c r="O2383"/>
      <c r="P2383"/>
    </row>
    <row r="2384" spans="12:16">
      <c r="L2384"/>
      <c r="M2384"/>
      <c r="O2384"/>
      <c r="P2384"/>
    </row>
    <row r="2385" spans="12:16">
      <c r="L2385"/>
      <c r="M2385"/>
      <c r="O2385"/>
      <c r="P2385"/>
    </row>
    <row r="2386" spans="12:16">
      <c r="L2386"/>
      <c r="M2386"/>
      <c r="O2386"/>
      <c r="P2386"/>
    </row>
    <row r="2387" spans="12:16">
      <c r="L2387"/>
      <c r="M2387"/>
      <c r="O2387"/>
      <c r="P2387"/>
    </row>
    <row r="2388" spans="12:16">
      <c r="L2388"/>
      <c r="M2388"/>
      <c r="O2388"/>
      <c r="P2388"/>
    </row>
    <row r="2389" spans="12:16">
      <c r="L2389"/>
      <c r="M2389"/>
      <c r="O2389"/>
      <c r="P2389"/>
    </row>
    <row r="2390" spans="12:16">
      <c r="L2390"/>
      <c r="M2390"/>
      <c r="O2390"/>
      <c r="P2390"/>
    </row>
    <row r="2391" spans="12:16">
      <c r="L2391"/>
      <c r="M2391"/>
      <c r="O2391"/>
      <c r="P2391"/>
    </row>
    <row r="2392" spans="12:16">
      <c r="L2392"/>
      <c r="M2392"/>
      <c r="O2392"/>
      <c r="P2392"/>
    </row>
    <row r="2393" spans="12:16">
      <c r="L2393"/>
      <c r="M2393"/>
      <c r="O2393"/>
      <c r="P2393"/>
    </row>
    <row r="2394" spans="12:16">
      <c r="L2394"/>
      <c r="M2394"/>
      <c r="O2394"/>
      <c r="P2394"/>
    </row>
    <row r="2395" spans="12:16">
      <c r="L2395"/>
      <c r="M2395"/>
      <c r="O2395"/>
      <c r="P2395"/>
    </row>
    <row r="2396" spans="12:16">
      <c r="L2396"/>
      <c r="M2396"/>
      <c r="O2396"/>
      <c r="P2396"/>
    </row>
    <row r="2397" spans="12:16">
      <c r="L2397"/>
      <c r="M2397"/>
      <c r="O2397"/>
      <c r="P2397"/>
    </row>
    <row r="2398" spans="12:16">
      <c r="L2398"/>
      <c r="M2398"/>
      <c r="O2398"/>
      <c r="P2398"/>
    </row>
    <row r="2399" spans="12:16">
      <c r="L2399"/>
      <c r="M2399"/>
      <c r="O2399"/>
      <c r="P2399"/>
    </row>
    <row r="2400" spans="12:16">
      <c r="L2400"/>
      <c r="M2400"/>
      <c r="O2400"/>
      <c r="P2400"/>
    </row>
    <row r="2401" spans="12:16">
      <c r="L2401"/>
      <c r="M2401"/>
      <c r="O2401"/>
      <c r="P2401"/>
    </row>
    <row r="2402" spans="12:16">
      <c r="L2402"/>
      <c r="M2402"/>
      <c r="O2402"/>
      <c r="P2402"/>
    </row>
    <row r="2403" spans="12:16">
      <c r="L2403"/>
      <c r="M2403"/>
      <c r="O2403"/>
      <c r="P2403"/>
    </row>
    <row r="2404" spans="12:16">
      <c r="L2404"/>
      <c r="M2404"/>
      <c r="O2404"/>
      <c r="P2404"/>
    </row>
    <row r="2405" spans="12:16">
      <c r="L2405"/>
      <c r="M2405"/>
      <c r="O2405"/>
      <c r="P2405"/>
    </row>
    <row r="2406" spans="12:16">
      <c r="L2406"/>
      <c r="M2406"/>
      <c r="O2406"/>
      <c r="P2406"/>
    </row>
    <row r="2407" spans="12:16">
      <c r="L2407"/>
      <c r="M2407"/>
      <c r="O2407"/>
      <c r="P2407"/>
    </row>
    <row r="2408" spans="12:16">
      <c r="L2408"/>
      <c r="M2408"/>
      <c r="O2408"/>
      <c r="P2408"/>
    </row>
    <row r="2409" spans="12:16">
      <c r="L2409"/>
      <c r="M2409"/>
      <c r="O2409"/>
      <c r="P2409"/>
    </row>
    <row r="2410" spans="12:16">
      <c r="L2410"/>
      <c r="M2410"/>
      <c r="O2410"/>
      <c r="P2410"/>
    </row>
    <row r="2411" spans="12:16">
      <c r="L2411"/>
      <c r="M2411"/>
      <c r="O2411"/>
      <c r="P2411"/>
    </row>
    <row r="2412" spans="12:16">
      <c r="L2412"/>
      <c r="M2412"/>
      <c r="O2412"/>
      <c r="P2412"/>
    </row>
    <row r="2413" spans="12:16">
      <c r="L2413"/>
      <c r="M2413"/>
      <c r="O2413"/>
      <c r="P2413"/>
    </row>
    <row r="2414" spans="12:16">
      <c r="L2414"/>
      <c r="M2414"/>
      <c r="O2414"/>
      <c r="P2414"/>
    </row>
    <row r="2415" spans="12:16">
      <c r="L2415"/>
      <c r="M2415"/>
      <c r="O2415"/>
      <c r="P2415"/>
    </row>
    <row r="2416" spans="12:16">
      <c r="L2416"/>
      <c r="M2416"/>
      <c r="O2416"/>
      <c r="P2416"/>
    </row>
    <row r="2417" spans="12:16">
      <c r="L2417"/>
      <c r="M2417"/>
      <c r="O2417"/>
      <c r="P2417"/>
    </row>
    <row r="2418" spans="12:16">
      <c r="L2418"/>
      <c r="M2418"/>
      <c r="O2418"/>
      <c r="P2418"/>
    </row>
    <row r="2419" spans="12:16">
      <c r="L2419"/>
      <c r="M2419"/>
      <c r="O2419"/>
      <c r="P2419"/>
    </row>
    <row r="2420" spans="12:16">
      <c r="L2420"/>
      <c r="M2420"/>
      <c r="O2420"/>
      <c r="P2420"/>
    </row>
    <row r="2421" spans="12:16">
      <c r="L2421"/>
      <c r="M2421"/>
      <c r="O2421"/>
      <c r="P2421"/>
    </row>
    <row r="2422" spans="12:16">
      <c r="L2422"/>
      <c r="M2422"/>
      <c r="O2422"/>
      <c r="P2422"/>
    </row>
    <row r="2423" spans="12:16">
      <c r="L2423"/>
      <c r="M2423"/>
      <c r="O2423"/>
      <c r="P2423"/>
    </row>
    <row r="2424" spans="12:16">
      <c r="L2424"/>
      <c r="M2424"/>
      <c r="O2424"/>
      <c r="P2424"/>
    </row>
    <row r="2425" spans="12:16">
      <c r="L2425"/>
      <c r="M2425"/>
      <c r="O2425"/>
      <c r="P2425"/>
    </row>
    <row r="2426" spans="12:16">
      <c r="L2426"/>
      <c r="M2426"/>
      <c r="O2426"/>
      <c r="P2426"/>
    </row>
    <row r="2427" spans="12:16">
      <c r="L2427"/>
      <c r="M2427"/>
      <c r="O2427"/>
      <c r="P2427"/>
    </row>
    <row r="2428" spans="12:16">
      <c r="L2428"/>
      <c r="M2428"/>
      <c r="O2428"/>
      <c r="P2428"/>
    </row>
    <row r="2429" spans="12:16">
      <c r="L2429"/>
      <c r="M2429"/>
      <c r="O2429"/>
      <c r="P2429"/>
    </row>
    <row r="2430" spans="12:16">
      <c r="L2430"/>
      <c r="M2430"/>
      <c r="O2430"/>
      <c r="P2430"/>
    </row>
    <row r="2431" spans="12:16">
      <c r="L2431"/>
      <c r="M2431"/>
      <c r="O2431"/>
      <c r="P2431"/>
    </row>
    <row r="2432" spans="12:16">
      <c r="L2432"/>
      <c r="M2432"/>
      <c r="O2432"/>
      <c r="P2432"/>
    </row>
    <row r="2433" spans="12:16">
      <c r="L2433"/>
      <c r="M2433"/>
      <c r="O2433"/>
      <c r="P2433"/>
    </row>
    <row r="2434" spans="12:16">
      <c r="L2434"/>
      <c r="M2434"/>
      <c r="O2434"/>
      <c r="P2434"/>
    </row>
    <row r="2435" spans="12:16">
      <c r="L2435"/>
      <c r="M2435"/>
      <c r="O2435"/>
      <c r="P2435"/>
    </row>
    <row r="2436" spans="12:16">
      <c r="L2436"/>
      <c r="M2436"/>
      <c r="O2436"/>
      <c r="P2436"/>
    </row>
    <row r="2437" spans="12:16">
      <c r="L2437"/>
      <c r="M2437"/>
      <c r="O2437"/>
      <c r="P2437"/>
    </row>
    <row r="2438" spans="12:16">
      <c r="L2438"/>
      <c r="M2438"/>
      <c r="O2438"/>
      <c r="P2438"/>
    </row>
    <row r="2439" spans="12:16">
      <c r="L2439"/>
      <c r="M2439"/>
      <c r="O2439"/>
      <c r="P2439"/>
    </row>
    <row r="2440" spans="12:16">
      <c r="L2440"/>
      <c r="M2440"/>
      <c r="O2440"/>
      <c r="P2440"/>
    </row>
    <row r="2441" spans="12:16">
      <c r="L2441"/>
      <c r="M2441"/>
      <c r="O2441"/>
      <c r="P2441"/>
    </row>
    <row r="2442" spans="12:16">
      <c r="L2442"/>
      <c r="M2442"/>
      <c r="O2442"/>
      <c r="P2442"/>
    </row>
    <row r="2443" spans="12:16">
      <c r="L2443"/>
      <c r="M2443"/>
      <c r="O2443"/>
      <c r="P2443"/>
    </row>
    <row r="2444" spans="12:16">
      <c r="L2444"/>
      <c r="M2444"/>
      <c r="O2444"/>
      <c r="P2444"/>
    </row>
    <row r="2445" spans="12:16">
      <c r="L2445"/>
      <c r="M2445"/>
      <c r="O2445"/>
      <c r="P2445"/>
    </row>
    <row r="2446" spans="12:16">
      <c r="L2446"/>
      <c r="M2446"/>
      <c r="O2446"/>
      <c r="P2446"/>
    </row>
    <row r="2447" spans="12:16">
      <c r="L2447"/>
      <c r="M2447"/>
      <c r="O2447"/>
      <c r="P2447"/>
    </row>
    <row r="2448" spans="12:16">
      <c r="L2448"/>
      <c r="M2448"/>
      <c r="O2448"/>
      <c r="P2448"/>
    </row>
    <row r="2449" spans="12:16">
      <c r="L2449"/>
      <c r="M2449"/>
      <c r="O2449"/>
      <c r="P2449"/>
    </row>
    <row r="2450" spans="12:16">
      <c r="L2450"/>
      <c r="M2450"/>
      <c r="O2450"/>
      <c r="P2450"/>
    </row>
    <row r="2451" spans="12:16">
      <c r="L2451"/>
      <c r="M2451"/>
      <c r="O2451"/>
      <c r="P2451"/>
    </row>
    <row r="2452" spans="12:16">
      <c r="L2452"/>
      <c r="M2452"/>
      <c r="O2452"/>
      <c r="P2452"/>
    </row>
    <row r="2453" spans="12:16">
      <c r="L2453"/>
      <c r="M2453"/>
      <c r="O2453"/>
      <c r="P2453"/>
    </row>
    <row r="2454" spans="12:16">
      <c r="L2454"/>
      <c r="M2454"/>
      <c r="O2454"/>
      <c r="P2454"/>
    </row>
    <row r="2455" spans="12:16">
      <c r="L2455"/>
      <c r="M2455"/>
      <c r="O2455"/>
      <c r="P2455"/>
    </row>
    <row r="2456" spans="12:16">
      <c r="L2456"/>
      <c r="M2456"/>
      <c r="O2456"/>
      <c r="P2456"/>
    </row>
    <row r="2457" spans="12:16">
      <c r="L2457"/>
      <c r="M2457"/>
      <c r="O2457"/>
      <c r="P2457"/>
    </row>
    <row r="2458" spans="12:16">
      <c r="L2458"/>
      <c r="M2458"/>
      <c r="O2458"/>
      <c r="P2458"/>
    </row>
    <row r="2459" spans="12:16">
      <c r="L2459"/>
      <c r="M2459"/>
      <c r="O2459"/>
      <c r="P2459"/>
    </row>
    <row r="2460" spans="12:16">
      <c r="L2460"/>
      <c r="M2460"/>
      <c r="O2460"/>
      <c r="P2460"/>
    </row>
    <row r="2461" spans="12:16">
      <c r="L2461"/>
      <c r="M2461"/>
      <c r="O2461"/>
      <c r="P2461"/>
    </row>
    <row r="2462" spans="12:16">
      <c r="L2462"/>
      <c r="M2462"/>
      <c r="O2462"/>
      <c r="P2462"/>
    </row>
    <row r="2463" spans="12:16">
      <c r="L2463"/>
      <c r="M2463"/>
      <c r="O2463"/>
      <c r="P2463"/>
    </row>
    <row r="2464" spans="12:16">
      <c r="L2464"/>
      <c r="M2464"/>
      <c r="O2464"/>
      <c r="P2464"/>
    </row>
    <row r="2465" spans="12:16">
      <c r="L2465"/>
      <c r="M2465"/>
      <c r="O2465"/>
      <c r="P2465"/>
    </row>
    <row r="2466" spans="12:16">
      <c r="L2466"/>
      <c r="M2466"/>
      <c r="O2466"/>
      <c r="P2466"/>
    </row>
    <row r="2467" spans="12:16">
      <c r="L2467"/>
      <c r="M2467"/>
      <c r="O2467"/>
      <c r="P2467"/>
    </row>
    <row r="2468" spans="12:16">
      <c r="L2468"/>
      <c r="M2468"/>
      <c r="O2468"/>
      <c r="P2468"/>
    </row>
    <row r="2469" spans="12:16">
      <c r="L2469"/>
      <c r="M2469"/>
      <c r="O2469"/>
      <c r="P2469"/>
    </row>
    <row r="2470" spans="12:16">
      <c r="L2470"/>
      <c r="M2470"/>
      <c r="O2470"/>
      <c r="P2470"/>
    </row>
    <row r="2471" spans="12:16">
      <c r="L2471"/>
      <c r="M2471"/>
      <c r="O2471"/>
      <c r="P2471"/>
    </row>
    <row r="2472" spans="12:16">
      <c r="L2472"/>
      <c r="M2472"/>
      <c r="O2472"/>
      <c r="P2472"/>
    </row>
    <row r="2473" spans="12:16">
      <c r="L2473"/>
      <c r="M2473"/>
      <c r="O2473"/>
      <c r="P2473"/>
    </row>
    <row r="2474" spans="12:16">
      <c r="L2474"/>
      <c r="M2474"/>
      <c r="O2474"/>
      <c r="P2474"/>
    </row>
    <row r="2475" spans="12:16">
      <c r="L2475"/>
      <c r="M2475"/>
      <c r="O2475"/>
      <c r="P2475"/>
    </row>
    <row r="2476" spans="12:16">
      <c r="L2476"/>
      <c r="M2476"/>
      <c r="O2476"/>
      <c r="P2476"/>
    </row>
    <row r="2477" spans="12:16">
      <c r="L2477"/>
      <c r="M2477"/>
      <c r="O2477"/>
      <c r="P2477"/>
    </row>
    <row r="2478" spans="12:16">
      <c r="L2478"/>
      <c r="M2478"/>
      <c r="O2478"/>
      <c r="P2478"/>
    </row>
    <row r="2479" spans="12:16">
      <c r="L2479"/>
      <c r="M2479"/>
      <c r="O2479"/>
      <c r="P2479"/>
    </row>
    <row r="2480" spans="12:16">
      <c r="L2480"/>
      <c r="M2480"/>
      <c r="O2480"/>
      <c r="P2480"/>
    </row>
    <row r="2481" spans="12:16">
      <c r="L2481"/>
      <c r="M2481"/>
      <c r="O2481"/>
      <c r="P2481"/>
    </row>
    <row r="2482" spans="12:16">
      <c r="L2482"/>
      <c r="M2482"/>
      <c r="O2482"/>
      <c r="P2482"/>
    </row>
    <row r="2483" spans="12:16">
      <c r="L2483"/>
      <c r="M2483"/>
      <c r="O2483"/>
      <c r="P2483"/>
    </row>
    <row r="2484" spans="12:16">
      <c r="L2484"/>
      <c r="M2484"/>
      <c r="O2484"/>
      <c r="P2484"/>
    </row>
    <row r="2485" spans="12:16">
      <c r="L2485"/>
      <c r="M2485"/>
      <c r="O2485"/>
      <c r="P2485"/>
    </row>
    <row r="2486" spans="12:16">
      <c r="L2486"/>
      <c r="M2486"/>
      <c r="O2486"/>
      <c r="P2486"/>
    </row>
    <row r="2487" spans="12:16">
      <c r="L2487"/>
      <c r="M2487"/>
      <c r="O2487"/>
      <c r="P2487"/>
    </row>
    <row r="2488" spans="12:16">
      <c r="L2488"/>
      <c r="M2488"/>
      <c r="O2488"/>
      <c r="P2488"/>
    </row>
    <row r="2489" spans="12:16">
      <c r="L2489"/>
      <c r="M2489"/>
      <c r="O2489"/>
      <c r="P2489"/>
    </row>
    <row r="2490" spans="12:16">
      <c r="L2490"/>
      <c r="M2490"/>
      <c r="O2490"/>
      <c r="P2490"/>
    </row>
    <row r="2491" spans="12:16">
      <c r="L2491"/>
      <c r="M2491"/>
      <c r="O2491"/>
      <c r="P2491"/>
    </row>
    <row r="2492" spans="12:16">
      <c r="L2492"/>
      <c r="M2492"/>
      <c r="O2492"/>
      <c r="P2492"/>
    </row>
    <row r="2493" spans="12:16">
      <c r="L2493"/>
      <c r="M2493"/>
      <c r="O2493"/>
      <c r="P2493"/>
    </row>
    <row r="2494" spans="12:16">
      <c r="L2494"/>
      <c r="M2494"/>
      <c r="O2494"/>
      <c r="P2494"/>
    </row>
    <row r="2495" spans="12:16">
      <c r="L2495"/>
      <c r="M2495"/>
      <c r="O2495"/>
      <c r="P2495"/>
    </row>
    <row r="2496" spans="12:16">
      <c r="L2496"/>
      <c r="M2496"/>
      <c r="O2496"/>
      <c r="P2496"/>
    </row>
    <row r="2497" spans="12:16">
      <c r="L2497"/>
      <c r="M2497"/>
      <c r="O2497"/>
      <c r="P2497"/>
    </row>
    <row r="2498" spans="12:16">
      <c r="L2498"/>
      <c r="M2498"/>
      <c r="O2498"/>
      <c r="P2498"/>
    </row>
    <row r="2499" spans="12:16">
      <c r="L2499"/>
      <c r="M2499"/>
      <c r="O2499"/>
      <c r="P2499"/>
    </row>
    <row r="2500" spans="12:16">
      <c r="L2500"/>
      <c r="M2500"/>
      <c r="O2500"/>
      <c r="P2500"/>
    </row>
    <row r="2501" spans="12:16">
      <c r="L2501"/>
      <c r="M2501"/>
      <c r="O2501"/>
      <c r="P2501"/>
    </row>
    <row r="2502" spans="12:16">
      <c r="L2502"/>
      <c r="M2502"/>
      <c r="O2502"/>
      <c r="P2502"/>
    </row>
    <row r="2503" spans="12:16">
      <c r="L2503"/>
      <c r="M2503"/>
      <c r="O2503"/>
      <c r="P2503"/>
    </row>
    <row r="2504" spans="12:16">
      <c r="L2504"/>
      <c r="M2504"/>
      <c r="O2504"/>
      <c r="P2504"/>
    </row>
    <row r="2505" spans="12:16">
      <c r="L2505"/>
      <c r="M2505"/>
      <c r="O2505"/>
      <c r="P2505"/>
    </row>
    <row r="2506" spans="12:16">
      <c r="L2506"/>
      <c r="M2506"/>
      <c r="O2506"/>
      <c r="P2506"/>
    </row>
    <row r="2507" spans="12:16">
      <c r="L2507"/>
      <c r="M2507"/>
      <c r="O2507"/>
      <c r="P2507"/>
    </row>
    <row r="2508" spans="12:16">
      <c r="L2508"/>
      <c r="M2508"/>
      <c r="O2508"/>
      <c r="P2508"/>
    </row>
    <row r="2509" spans="12:16">
      <c r="L2509"/>
      <c r="M2509"/>
      <c r="O2509"/>
      <c r="P2509"/>
    </row>
    <row r="2510" spans="12:16">
      <c r="L2510"/>
      <c r="M2510"/>
      <c r="O2510"/>
      <c r="P2510"/>
    </row>
    <row r="2511" spans="12:16">
      <c r="L2511"/>
      <c r="M2511"/>
      <c r="O2511"/>
      <c r="P2511"/>
    </row>
    <row r="2512" spans="12:16">
      <c r="L2512"/>
      <c r="M2512"/>
      <c r="O2512"/>
      <c r="P2512"/>
    </row>
    <row r="2513" spans="12:16">
      <c r="L2513"/>
      <c r="M2513"/>
      <c r="O2513"/>
      <c r="P2513"/>
    </row>
    <row r="2514" spans="12:16">
      <c r="L2514"/>
      <c r="M2514"/>
      <c r="O2514"/>
      <c r="P2514"/>
    </row>
    <row r="2515" spans="12:16">
      <c r="L2515"/>
      <c r="M2515"/>
      <c r="O2515"/>
      <c r="P2515"/>
    </row>
    <row r="2516" spans="12:16">
      <c r="L2516"/>
      <c r="M2516"/>
      <c r="O2516"/>
      <c r="P2516"/>
    </row>
    <row r="2517" spans="12:16">
      <c r="L2517"/>
      <c r="M2517"/>
      <c r="O2517"/>
      <c r="P2517"/>
    </row>
    <row r="2518" spans="12:16">
      <c r="L2518"/>
      <c r="M2518"/>
      <c r="O2518"/>
      <c r="P2518"/>
    </row>
    <row r="2519" spans="12:16">
      <c r="L2519"/>
      <c r="M2519"/>
      <c r="O2519"/>
      <c r="P2519"/>
    </row>
    <row r="2520" spans="12:16">
      <c r="L2520"/>
      <c r="M2520"/>
      <c r="O2520"/>
      <c r="P2520"/>
    </row>
    <row r="2521" spans="12:16">
      <c r="L2521"/>
      <c r="M2521"/>
      <c r="O2521"/>
      <c r="P2521"/>
    </row>
    <row r="2522" spans="12:16">
      <c r="L2522"/>
      <c r="M2522"/>
      <c r="O2522"/>
      <c r="P2522"/>
    </row>
    <row r="2523" spans="12:16">
      <c r="L2523"/>
      <c r="M2523"/>
      <c r="O2523"/>
      <c r="P2523"/>
    </row>
    <row r="2524" spans="12:16">
      <c r="L2524"/>
      <c r="M2524"/>
      <c r="O2524"/>
      <c r="P2524"/>
    </row>
    <row r="2525" spans="12:16">
      <c r="L2525"/>
      <c r="M2525"/>
      <c r="O2525"/>
      <c r="P2525"/>
    </row>
    <row r="2526" spans="12:16">
      <c r="L2526"/>
      <c r="M2526"/>
      <c r="O2526"/>
      <c r="P2526"/>
    </row>
    <row r="2527" spans="12:16">
      <c r="L2527"/>
      <c r="M2527"/>
      <c r="O2527"/>
      <c r="P2527"/>
    </row>
    <row r="2528" spans="12:16">
      <c r="L2528"/>
      <c r="M2528"/>
      <c r="O2528"/>
      <c r="P2528"/>
    </row>
    <row r="2529" spans="12:16">
      <c r="L2529"/>
      <c r="M2529"/>
      <c r="O2529"/>
      <c r="P2529"/>
    </row>
    <row r="2530" spans="12:16">
      <c r="L2530"/>
      <c r="M2530"/>
      <c r="O2530"/>
      <c r="P2530"/>
    </row>
    <row r="2531" spans="12:16">
      <c r="L2531"/>
      <c r="M2531"/>
      <c r="O2531"/>
      <c r="P2531"/>
    </row>
    <row r="2532" spans="12:16">
      <c r="L2532"/>
      <c r="M2532"/>
      <c r="O2532"/>
      <c r="P2532"/>
    </row>
    <row r="2533" spans="12:16">
      <c r="L2533"/>
      <c r="M2533"/>
      <c r="O2533"/>
      <c r="P2533"/>
    </row>
    <row r="2534" spans="12:16">
      <c r="L2534"/>
      <c r="M2534"/>
      <c r="O2534"/>
      <c r="P2534"/>
    </row>
    <row r="2535" spans="12:16">
      <c r="L2535"/>
      <c r="M2535"/>
      <c r="O2535"/>
      <c r="P2535"/>
    </row>
    <row r="2536" spans="12:16">
      <c r="L2536"/>
      <c r="M2536"/>
      <c r="O2536"/>
      <c r="P2536"/>
    </row>
    <row r="2537" spans="12:16">
      <c r="L2537"/>
      <c r="M2537"/>
      <c r="O2537"/>
      <c r="P2537"/>
    </row>
    <row r="2538" spans="12:16">
      <c r="L2538"/>
      <c r="M2538"/>
      <c r="O2538"/>
      <c r="P2538"/>
    </row>
    <row r="2539" spans="12:16">
      <c r="L2539"/>
      <c r="M2539"/>
      <c r="O2539"/>
      <c r="P2539"/>
    </row>
    <row r="2540" spans="12:16">
      <c r="L2540"/>
      <c r="M2540"/>
      <c r="O2540"/>
      <c r="P2540"/>
    </row>
    <row r="2541" spans="12:16">
      <c r="L2541"/>
      <c r="M2541"/>
      <c r="O2541"/>
      <c r="P2541"/>
    </row>
    <row r="2542" spans="12:16">
      <c r="L2542"/>
      <c r="M2542"/>
      <c r="O2542"/>
      <c r="P2542"/>
    </row>
    <row r="2543" spans="12:16">
      <c r="L2543"/>
      <c r="M2543"/>
      <c r="O2543"/>
      <c r="P2543"/>
    </row>
    <row r="2544" spans="12:16">
      <c r="L2544"/>
      <c r="M2544"/>
      <c r="O2544"/>
      <c r="P2544"/>
    </row>
    <row r="2545" spans="12:16">
      <c r="L2545"/>
      <c r="M2545"/>
      <c r="O2545"/>
      <c r="P2545"/>
    </row>
    <row r="2546" spans="12:16">
      <c r="L2546"/>
      <c r="M2546"/>
      <c r="O2546"/>
      <c r="P2546"/>
    </row>
    <row r="2547" spans="12:16">
      <c r="L2547"/>
      <c r="M2547"/>
      <c r="O2547"/>
      <c r="P2547"/>
    </row>
    <row r="2548" spans="12:16">
      <c r="L2548"/>
      <c r="M2548"/>
      <c r="O2548"/>
      <c r="P2548"/>
    </row>
    <row r="2549" spans="12:16">
      <c r="L2549"/>
      <c r="M2549"/>
      <c r="O2549"/>
      <c r="P2549"/>
    </row>
    <row r="2550" spans="12:16">
      <c r="L2550"/>
      <c r="M2550"/>
      <c r="O2550"/>
      <c r="P2550"/>
    </row>
    <row r="2551" spans="12:16">
      <c r="L2551"/>
      <c r="M2551"/>
      <c r="O2551"/>
      <c r="P2551"/>
    </row>
    <row r="2552" spans="12:16">
      <c r="L2552"/>
      <c r="M2552"/>
      <c r="O2552"/>
      <c r="P2552"/>
    </row>
    <row r="2553" spans="12:16">
      <c r="L2553"/>
      <c r="M2553"/>
      <c r="O2553"/>
      <c r="P2553"/>
    </row>
    <row r="2554" spans="12:16">
      <c r="L2554"/>
      <c r="M2554"/>
      <c r="O2554"/>
      <c r="P2554"/>
    </row>
    <row r="2555" spans="12:16">
      <c r="L2555"/>
      <c r="M2555"/>
      <c r="O2555"/>
      <c r="P2555"/>
    </row>
    <row r="2556" spans="12:16">
      <c r="L2556"/>
      <c r="M2556"/>
      <c r="O2556"/>
      <c r="P2556"/>
    </row>
    <row r="2557" spans="12:16">
      <c r="L2557"/>
      <c r="M2557"/>
      <c r="O2557"/>
      <c r="P2557"/>
    </row>
    <row r="2558" spans="12:16">
      <c r="L2558"/>
      <c r="M2558"/>
      <c r="O2558"/>
      <c r="P2558"/>
    </row>
    <row r="2559" spans="12:16">
      <c r="L2559"/>
      <c r="M2559"/>
      <c r="O2559"/>
      <c r="P2559"/>
    </row>
    <row r="2560" spans="12:16">
      <c r="L2560"/>
      <c r="M2560"/>
      <c r="O2560"/>
      <c r="P2560"/>
    </row>
    <row r="2561" spans="12:16">
      <c r="L2561"/>
      <c r="M2561"/>
      <c r="O2561"/>
      <c r="P2561"/>
    </row>
    <row r="2562" spans="12:16">
      <c r="L2562"/>
      <c r="M2562"/>
      <c r="O2562"/>
      <c r="P2562"/>
    </row>
    <row r="2563" spans="12:16">
      <c r="L2563"/>
      <c r="M2563"/>
      <c r="O2563"/>
      <c r="P2563"/>
    </row>
    <row r="2564" spans="12:16">
      <c r="L2564"/>
      <c r="M2564"/>
      <c r="O2564"/>
      <c r="P2564"/>
    </row>
    <row r="2565" spans="12:16">
      <c r="L2565"/>
      <c r="M2565"/>
      <c r="O2565"/>
      <c r="P2565"/>
    </row>
    <row r="2566" spans="12:16">
      <c r="L2566"/>
      <c r="M2566"/>
      <c r="O2566"/>
      <c r="P2566"/>
    </row>
    <row r="2567" spans="12:16">
      <c r="L2567"/>
      <c r="M2567"/>
      <c r="O2567"/>
      <c r="P2567"/>
    </row>
    <row r="2568" spans="12:16">
      <c r="L2568"/>
      <c r="M2568"/>
      <c r="O2568"/>
      <c r="P2568"/>
    </row>
    <row r="2569" spans="12:16">
      <c r="L2569"/>
      <c r="M2569"/>
      <c r="O2569"/>
      <c r="P2569"/>
    </row>
    <row r="2570" spans="12:16">
      <c r="L2570"/>
      <c r="M2570"/>
      <c r="O2570"/>
      <c r="P2570"/>
    </row>
    <row r="2571" spans="12:16">
      <c r="L2571"/>
      <c r="M2571"/>
      <c r="O2571"/>
      <c r="P2571"/>
    </row>
    <row r="2572" spans="12:16">
      <c r="L2572"/>
      <c r="M2572"/>
      <c r="O2572"/>
      <c r="P2572"/>
    </row>
    <row r="2573" spans="12:16">
      <c r="L2573"/>
      <c r="M2573"/>
      <c r="O2573"/>
      <c r="P2573"/>
    </row>
    <row r="2574" spans="12:16">
      <c r="L2574"/>
      <c r="M2574"/>
      <c r="O2574"/>
      <c r="P2574"/>
    </row>
    <row r="2575" spans="12:16">
      <c r="L2575"/>
      <c r="M2575"/>
      <c r="O2575"/>
      <c r="P2575"/>
    </row>
    <row r="2576" spans="12:16">
      <c r="L2576"/>
      <c r="M2576"/>
      <c r="O2576"/>
      <c r="P2576"/>
    </row>
    <row r="2577" spans="12:16">
      <c r="L2577"/>
      <c r="M2577"/>
      <c r="O2577"/>
      <c r="P2577"/>
    </row>
    <row r="2578" spans="12:16">
      <c r="L2578"/>
      <c r="M2578"/>
      <c r="O2578"/>
      <c r="P2578"/>
    </row>
    <row r="2579" spans="12:16">
      <c r="L2579"/>
      <c r="M2579"/>
      <c r="O2579"/>
      <c r="P2579"/>
    </row>
    <row r="2580" spans="12:16">
      <c r="L2580"/>
      <c r="M2580"/>
      <c r="O2580"/>
      <c r="P2580"/>
    </row>
    <row r="2581" spans="12:16">
      <c r="L2581"/>
      <c r="M2581"/>
      <c r="O2581"/>
      <c r="P2581"/>
    </row>
    <row r="2582" spans="12:16">
      <c r="L2582"/>
      <c r="M2582"/>
      <c r="O2582"/>
      <c r="P2582"/>
    </row>
    <row r="2583" spans="12:16">
      <c r="L2583"/>
      <c r="M2583"/>
      <c r="O2583"/>
      <c r="P2583"/>
    </row>
    <row r="2584" spans="12:16">
      <c r="L2584"/>
      <c r="M2584"/>
      <c r="O2584"/>
      <c r="P2584"/>
    </row>
    <row r="2585" spans="12:16">
      <c r="L2585"/>
      <c r="M2585"/>
      <c r="O2585"/>
      <c r="P2585"/>
    </row>
    <row r="2586" spans="12:16">
      <c r="L2586"/>
      <c r="M2586"/>
      <c r="O2586"/>
      <c r="P2586"/>
    </row>
    <row r="2587" spans="12:16">
      <c r="L2587"/>
      <c r="M2587"/>
      <c r="O2587"/>
      <c r="P2587"/>
    </row>
    <row r="2588" spans="12:16">
      <c r="L2588"/>
      <c r="M2588"/>
      <c r="O2588"/>
      <c r="P2588"/>
    </row>
    <row r="2589" spans="12:16">
      <c r="L2589"/>
      <c r="M2589"/>
      <c r="O2589"/>
      <c r="P2589"/>
    </row>
    <row r="2590" spans="12:16">
      <c r="L2590"/>
      <c r="M2590"/>
      <c r="O2590"/>
      <c r="P2590"/>
    </row>
    <row r="2591" spans="12:16">
      <c r="L2591"/>
      <c r="M2591"/>
      <c r="O2591"/>
      <c r="P2591"/>
    </row>
    <row r="2592" spans="12:16">
      <c r="L2592"/>
      <c r="M2592"/>
      <c r="O2592"/>
      <c r="P2592"/>
    </row>
    <row r="2593" spans="12:16">
      <c r="L2593"/>
      <c r="M2593"/>
      <c r="O2593"/>
      <c r="P2593"/>
    </row>
    <row r="2594" spans="12:16">
      <c r="L2594"/>
      <c r="M2594"/>
      <c r="O2594"/>
      <c r="P2594"/>
    </row>
    <row r="2595" spans="12:16">
      <c r="L2595"/>
      <c r="M2595"/>
      <c r="O2595"/>
      <c r="P2595"/>
    </row>
    <row r="2596" spans="12:16">
      <c r="L2596"/>
      <c r="M2596"/>
      <c r="O2596"/>
      <c r="P2596"/>
    </row>
    <row r="2597" spans="12:16">
      <c r="L2597"/>
      <c r="M2597"/>
      <c r="O2597"/>
      <c r="P2597"/>
    </row>
    <row r="2598" spans="12:16">
      <c r="L2598"/>
      <c r="M2598"/>
      <c r="O2598"/>
      <c r="P2598"/>
    </row>
    <row r="2599" spans="12:16">
      <c r="L2599"/>
      <c r="M2599"/>
      <c r="O2599"/>
      <c r="P2599"/>
    </row>
    <row r="2600" spans="12:16">
      <c r="L2600"/>
      <c r="M2600"/>
      <c r="O2600"/>
      <c r="P2600"/>
    </row>
    <row r="2601" spans="12:16">
      <c r="L2601"/>
      <c r="M2601"/>
      <c r="O2601"/>
      <c r="P2601"/>
    </row>
    <row r="2602" spans="12:16">
      <c r="L2602"/>
      <c r="M2602"/>
      <c r="O2602"/>
      <c r="P2602"/>
    </row>
    <row r="2603" spans="12:16">
      <c r="L2603"/>
      <c r="M2603"/>
      <c r="O2603"/>
      <c r="P2603"/>
    </row>
    <row r="2604" spans="12:16">
      <c r="L2604"/>
      <c r="M2604"/>
      <c r="O2604"/>
      <c r="P2604"/>
    </row>
    <row r="2605" spans="12:16">
      <c r="L2605"/>
      <c r="M2605"/>
      <c r="O2605"/>
      <c r="P2605"/>
    </row>
    <row r="2606" spans="12:16">
      <c r="L2606"/>
      <c r="M2606"/>
      <c r="O2606"/>
      <c r="P2606"/>
    </row>
    <row r="2607" spans="12:16">
      <c r="L2607"/>
      <c r="M2607"/>
      <c r="O2607"/>
      <c r="P2607"/>
    </row>
    <row r="2608" spans="12:16">
      <c r="L2608"/>
      <c r="M2608"/>
      <c r="O2608"/>
      <c r="P2608"/>
    </row>
    <row r="2609" spans="12:16">
      <c r="L2609"/>
      <c r="M2609"/>
      <c r="O2609"/>
      <c r="P2609"/>
    </row>
    <row r="2610" spans="12:16">
      <c r="L2610"/>
      <c r="M2610"/>
      <c r="O2610"/>
      <c r="P2610"/>
    </row>
    <row r="2611" spans="12:16">
      <c r="L2611"/>
      <c r="M2611"/>
      <c r="O2611"/>
      <c r="P2611"/>
    </row>
    <row r="2612" spans="12:16">
      <c r="L2612"/>
      <c r="M2612"/>
      <c r="O2612"/>
      <c r="P2612"/>
    </row>
    <row r="2613" spans="12:16">
      <c r="L2613"/>
      <c r="M2613"/>
      <c r="O2613"/>
      <c r="P2613"/>
    </row>
    <row r="2614" spans="12:16">
      <c r="L2614"/>
      <c r="M2614"/>
      <c r="O2614"/>
      <c r="P2614"/>
    </row>
    <row r="2615" spans="12:16">
      <c r="L2615"/>
      <c r="M2615"/>
      <c r="O2615"/>
      <c r="P2615"/>
    </row>
    <row r="2616" spans="12:16">
      <c r="L2616"/>
      <c r="M2616"/>
      <c r="O2616"/>
      <c r="P2616"/>
    </row>
    <row r="2617" spans="12:16">
      <c r="L2617"/>
      <c r="M2617"/>
      <c r="O2617"/>
      <c r="P2617"/>
    </row>
    <row r="2618" spans="12:16">
      <c r="L2618"/>
      <c r="M2618"/>
      <c r="O2618"/>
      <c r="P2618"/>
    </row>
    <row r="2619" spans="12:16">
      <c r="L2619"/>
      <c r="M2619"/>
      <c r="O2619"/>
      <c r="P2619"/>
    </row>
    <row r="2620" spans="12:16">
      <c r="L2620"/>
      <c r="M2620"/>
      <c r="O2620"/>
      <c r="P2620"/>
    </row>
    <row r="2621" spans="12:16">
      <c r="L2621"/>
      <c r="M2621"/>
      <c r="O2621"/>
      <c r="P2621"/>
    </row>
    <row r="2622" spans="12:16">
      <c r="L2622"/>
      <c r="M2622"/>
      <c r="O2622"/>
      <c r="P2622"/>
    </row>
    <row r="2623" spans="12:16">
      <c r="L2623"/>
      <c r="M2623"/>
      <c r="O2623"/>
      <c r="P2623"/>
    </row>
    <row r="2624" spans="12:16">
      <c r="L2624"/>
      <c r="M2624"/>
      <c r="O2624"/>
      <c r="P2624"/>
    </row>
    <row r="2625" spans="12:16">
      <c r="L2625"/>
      <c r="M2625"/>
      <c r="O2625"/>
      <c r="P2625"/>
    </row>
    <row r="2626" spans="12:16">
      <c r="L2626"/>
      <c r="M2626"/>
      <c r="O2626"/>
      <c r="P2626"/>
    </row>
    <row r="2627" spans="12:16">
      <c r="L2627"/>
      <c r="M2627"/>
      <c r="O2627"/>
      <c r="P2627"/>
    </row>
    <row r="2628" spans="12:16">
      <c r="L2628"/>
      <c r="M2628"/>
      <c r="O2628"/>
      <c r="P2628"/>
    </row>
    <row r="2629" spans="12:16">
      <c r="L2629"/>
      <c r="M2629"/>
      <c r="O2629"/>
      <c r="P2629"/>
    </row>
    <row r="2630" spans="12:16">
      <c r="L2630"/>
      <c r="M2630"/>
      <c r="O2630"/>
      <c r="P2630"/>
    </row>
    <row r="2631" spans="12:16">
      <c r="L2631"/>
      <c r="M2631"/>
      <c r="O2631"/>
      <c r="P2631"/>
    </row>
    <row r="2632" spans="12:16">
      <c r="L2632"/>
      <c r="M2632"/>
      <c r="O2632"/>
      <c r="P2632"/>
    </row>
    <row r="2633" spans="12:16">
      <c r="L2633"/>
      <c r="M2633"/>
      <c r="O2633"/>
      <c r="P2633"/>
    </row>
    <row r="2634" spans="12:16">
      <c r="L2634"/>
      <c r="M2634"/>
      <c r="O2634"/>
      <c r="P2634"/>
    </row>
    <row r="2635" spans="12:16">
      <c r="L2635"/>
      <c r="M2635"/>
      <c r="O2635"/>
      <c r="P2635"/>
    </row>
    <row r="2636" spans="12:16">
      <c r="L2636"/>
      <c r="M2636"/>
      <c r="O2636"/>
      <c r="P2636"/>
    </row>
    <row r="2637" spans="12:16">
      <c r="L2637"/>
      <c r="M2637"/>
      <c r="O2637"/>
      <c r="P2637"/>
    </row>
    <row r="2638" spans="12:16">
      <c r="L2638"/>
      <c r="M2638"/>
      <c r="O2638"/>
      <c r="P2638"/>
    </row>
    <row r="2639" spans="12:16">
      <c r="L2639"/>
      <c r="M2639"/>
      <c r="O2639"/>
      <c r="P2639"/>
    </row>
    <row r="2640" spans="12:16">
      <c r="L2640"/>
      <c r="M2640"/>
      <c r="O2640"/>
      <c r="P2640"/>
    </row>
    <row r="2641" spans="12:16">
      <c r="L2641"/>
      <c r="M2641"/>
      <c r="O2641"/>
      <c r="P2641"/>
    </row>
    <row r="2642" spans="12:16">
      <c r="L2642"/>
      <c r="M2642"/>
      <c r="O2642"/>
      <c r="P2642"/>
    </row>
    <row r="2643" spans="12:16">
      <c r="L2643"/>
      <c r="M2643"/>
      <c r="O2643"/>
      <c r="P2643"/>
    </row>
    <row r="2644" spans="12:16">
      <c r="L2644"/>
      <c r="M2644"/>
      <c r="O2644"/>
      <c r="P2644"/>
    </row>
    <row r="2645" spans="12:16">
      <c r="L2645"/>
      <c r="M2645"/>
      <c r="O2645"/>
      <c r="P2645"/>
    </row>
    <row r="2646" spans="12:16">
      <c r="L2646"/>
      <c r="M2646"/>
      <c r="O2646"/>
      <c r="P2646"/>
    </row>
    <row r="2647" spans="12:16">
      <c r="L2647"/>
      <c r="M2647"/>
      <c r="O2647"/>
      <c r="P2647"/>
    </row>
    <row r="2648" spans="12:16">
      <c r="L2648"/>
      <c r="M2648"/>
      <c r="O2648"/>
      <c r="P2648"/>
    </row>
    <row r="2649" spans="12:16">
      <c r="L2649"/>
      <c r="M2649"/>
      <c r="O2649"/>
      <c r="P2649"/>
    </row>
    <row r="2650" spans="12:16">
      <c r="L2650"/>
      <c r="M2650"/>
      <c r="O2650"/>
      <c r="P2650"/>
    </row>
    <row r="2651" spans="12:16">
      <c r="L2651"/>
      <c r="M2651"/>
      <c r="O2651"/>
      <c r="P2651"/>
    </row>
    <row r="2652" spans="12:16">
      <c r="L2652"/>
      <c r="M2652"/>
      <c r="O2652"/>
      <c r="P2652"/>
    </row>
    <row r="2653" spans="12:16">
      <c r="L2653"/>
      <c r="M2653"/>
      <c r="O2653"/>
      <c r="P2653"/>
    </row>
    <row r="2654" spans="12:16">
      <c r="L2654"/>
      <c r="M2654"/>
      <c r="O2654"/>
      <c r="P2654"/>
    </row>
    <row r="2655" spans="12:16">
      <c r="L2655"/>
      <c r="M2655"/>
      <c r="O2655"/>
      <c r="P2655"/>
    </row>
    <row r="2656" spans="12:16">
      <c r="L2656"/>
      <c r="M2656"/>
      <c r="O2656"/>
      <c r="P2656"/>
    </row>
    <row r="2657" spans="12:16">
      <c r="L2657"/>
      <c r="M2657"/>
      <c r="O2657"/>
      <c r="P2657"/>
    </row>
    <row r="2658" spans="12:16">
      <c r="L2658"/>
      <c r="M2658"/>
      <c r="O2658"/>
      <c r="P2658"/>
    </row>
    <row r="2659" spans="12:16">
      <c r="L2659"/>
      <c r="M2659"/>
      <c r="O2659"/>
      <c r="P2659"/>
    </row>
    <row r="2660" spans="12:16">
      <c r="L2660"/>
      <c r="M2660"/>
      <c r="O2660"/>
      <c r="P2660"/>
    </row>
    <row r="2661" spans="12:16">
      <c r="L2661"/>
      <c r="M2661"/>
      <c r="O2661"/>
      <c r="P2661"/>
    </row>
    <row r="2662" spans="12:16">
      <c r="L2662"/>
      <c r="M2662"/>
      <c r="O2662"/>
      <c r="P2662"/>
    </row>
    <row r="2663" spans="12:16">
      <c r="L2663"/>
      <c r="M2663"/>
      <c r="O2663"/>
      <c r="P2663"/>
    </row>
    <row r="2664" spans="12:16">
      <c r="L2664"/>
      <c r="M2664"/>
      <c r="O2664"/>
      <c r="P2664"/>
    </row>
    <row r="2665" spans="12:16">
      <c r="L2665"/>
      <c r="M2665"/>
      <c r="O2665"/>
      <c r="P2665"/>
    </row>
    <row r="2666" spans="12:16">
      <c r="L2666"/>
      <c r="M2666"/>
      <c r="O2666"/>
      <c r="P2666"/>
    </row>
    <row r="2667" spans="12:16">
      <c r="L2667"/>
      <c r="M2667"/>
      <c r="O2667"/>
      <c r="P2667"/>
    </row>
    <row r="2668" spans="12:16">
      <c r="L2668"/>
      <c r="M2668"/>
      <c r="O2668"/>
      <c r="P2668"/>
    </row>
    <row r="2669" spans="12:16">
      <c r="L2669"/>
      <c r="M2669"/>
      <c r="O2669"/>
      <c r="P2669"/>
    </row>
    <row r="2670" spans="12:16">
      <c r="L2670"/>
      <c r="M2670"/>
      <c r="O2670"/>
      <c r="P2670"/>
    </row>
    <row r="2671" spans="12:16">
      <c r="L2671"/>
      <c r="M2671"/>
      <c r="O2671"/>
      <c r="P2671"/>
    </row>
    <row r="2672" spans="12:16">
      <c r="L2672"/>
      <c r="M2672"/>
      <c r="O2672"/>
      <c r="P2672"/>
    </row>
    <row r="2673" spans="12:16">
      <c r="L2673"/>
      <c r="M2673"/>
      <c r="O2673"/>
      <c r="P2673"/>
    </row>
    <row r="2674" spans="12:16">
      <c r="L2674"/>
      <c r="M2674"/>
      <c r="O2674"/>
      <c r="P2674"/>
    </row>
    <row r="2675" spans="12:16">
      <c r="L2675"/>
      <c r="M2675"/>
      <c r="O2675"/>
      <c r="P2675"/>
    </row>
    <row r="2676" spans="12:16">
      <c r="L2676"/>
      <c r="M2676"/>
      <c r="O2676"/>
      <c r="P2676"/>
    </row>
    <row r="2677" spans="12:16">
      <c r="L2677"/>
      <c r="M2677"/>
      <c r="O2677"/>
      <c r="P2677"/>
    </row>
    <row r="2678" spans="12:16">
      <c r="L2678"/>
      <c r="M2678"/>
      <c r="O2678"/>
      <c r="P2678"/>
    </row>
    <row r="2679" spans="12:16">
      <c r="L2679"/>
      <c r="M2679"/>
      <c r="O2679"/>
      <c r="P2679"/>
    </row>
    <row r="2680" spans="12:16">
      <c r="L2680"/>
      <c r="M2680"/>
      <c r="O2680"/>
      <c r="P2680"/>
    </row>
    <row r="2681" spans="12:16">
      <c r="L2681"/>
      <c r="M2681"/>
      <c r="O2681"/>
      <c r="P2681"/>
    </row>
    <row r="2682" spans="12:16">
      <c r="L2682"/>
      <c r="M2682"/>
      <c r="O2682"/>
      <c r="P2682"/>
    </row>
    <row r="2683" spans="12:16">
      <c r="L2683"/>
      <c r="M2683"/>
      <c r="O2683"/>
      <c r="P2683"/>
    </row>
    <row r="2684" spans="12:16">
      <c r="L2684"/>
      <c r="M2684"/>
      <c r="O2684"/>
      <c r="P2684"/>
    </row>
    <row r="2685" spans="12:16">
      <c r="L2685"/>
      <c r="M2685"/>
      <c r="O2685"/>
      <c r="P2685"/>
    </row>
    <row r="2686" spans="12:16">
      <c r="L2686"/>
      <c r="M2686"/>
      <c r="O2686"/>
      <c r="P2686"/>
    </row>
    <row r="2687" spans="12:16">
      <c r="L2687"/>
      <c r="M2687"/>
      <c r="O2687"/>
      <c r="P2687"/>
    </row>
    <row r="2688" spans="12:16">
      <c r="L2688"/>
      <c r="M2688"/>
      <c r="O2688"/>
      <c r="P2688"/>
    </row>
    <row r="2689" spans="12:16">
      <c r="L2689"/>
      <c r="M2689"/>
      <c r="O2689"/>
      <c r="P2689"/>
    </row>
    <row r="2690" spans="12:16">
      <c r="L2690"/>
      <c r="M2690"/>
      <c r="O2690"/>
      <c r="P2690"/>
    </row>
    <row r="2691" spans="12:16">
      <c r="L2691"/>
      <c r="M2691"/>
      <c r="O2691"/>
      <c r="P2691"/>
    </row>
    <row r="2692" spans="12:16">
      <c r="L2692"/>
      <c r="M2692"/>
      <c r="O2692"/>
      <c r="P2692"/>
    </row>
    <row r="2693" spans="12:16">
      <c r="L2693"/>
      <c r="M2693"/>
      <c r="O2693"/>
      <c r="P2693"/>
    </row>
    <row r="2694" spans="12:16">
      <c r="L2694"/>
      <c r="M2694"/>
      <c r="O2694"/>
      <c r="P2694"/>
    </row>
    <row r="2695" spans="12:16">
      <c r="L2695"/>
      <c r="M2695"/>
      <c r="O2695"/>
      <c r="P2695"/>
    </row>
    <row r="2696" spans="12:16">
      <c r="L2696"/>
      <c r="M2696"/>
      <c r="O2696"/>
      <c r="P2696"/>
    </row>
    <row r="2697" spans="12:16">
      <c r="L2697"/>
      <c r="M2697"/>
      <c r="O2697"/>
      <c r="P2697"/>
    </row>
    <row r="2698" spans="12:16">
      <c r="L2698"/>
      <c r="M2698"/>
      <c r="O2698"/>
      <c r="P2698"/>
    </row>
    <row r="2699" spans="12:16">
      <c r="L2699"/>
      <c r="M2699"/>
      <c r="O2699"/>
      <c r="P2699"/>
    </row>
    <row r="2700" spans="12:16">
      <c r="L2700"/>
      <c r="M2700"/>
      <c r="O2700"/>
      <c r="P2700"/>
    </row>
    <row r="2701" spans="12:16">
      <c r="L2701"/>
      <c r="M2701"/>
      <c r="O2701"/>
      <c r="P2701"/>
    </row>
    <row r="2702" spans="12:16">
      <c r="L2702"/>
      <c r="M2702"/>
      <c r="O2702"/>
      <c r="P2702"/>
    </row>
    <row r="2703" spans="12:16">
      <c r="L2703"/>
      <c r="M2703"/>
      <c r="O2703"/>
      <c r="P2703"/>
    </row>
    <row r="2704" spans="12:16">
      <c r="L2704"/>
      <c r="M2704"/>
      <c r="O2704"/>
      <c r="P2704"/>
    </row>
    <row r="2705" spans="12:16">
      <c r="L2705"/>
      <c r="M2705"/>
      <c r="O2705"/>
      <c r="P2705"/>
    </row>
    <row r="2706" spans="12:16">
      <c r="L2706"/>
      <c r="M2706"/>
      <c r="O2706"/>
      <c r="P2706"/>
    </row>
    <row r="2707" spans="12:16">
      <c r="L2707"/>
      <c r="M2707"/>
      <c r="O2707"/>
      <c r="P2707"/>
    </row>
    <row r="2708" spans="12:16">
      <c r="L2708"/>
      <c r="M2708"/>
      <c r="O2708"/>
      <c r="P2708"/>
    </row>
    <row r="2709" spans="12:16">
      <c r="L2709"/>
      <c r="M2709"/>
      <c r="O2709"/>
      <c r="P2709"/>
    </row>
    <row r="2710" spans="12:16">
      <c r="L2710"/>
      <c r="M2710"/>
      <c r="O2710"/>
      <c r="P2710"/>
    </row>
    <row r="2711" spans="12:16">
      <c r="L2711"/>
      <c r="M2711"/>
      <c r="O2711"/>
      <c r="P2711"/>
    </row>
    <row r="2712" spans="12:16">
      <c r="L2712"/>
      <c r="M2712"/>
      <c r="O2712"/>
      <c r="P2712"/>
    </row>
    <row r="2713" spans="12:16">
      <c r="L2713"/>
      <c r="M2713"/>
      <c r="O2713"/>
      <c r="P2713"/>
    </row>
    <row r="2714" spans="12:16">
      <c r="L2714"/>
      <c r="M2714"/>
      <c r="O2714"/>
      <c r="P2714"/>
    </row>
    <row r="2715" spans="12:16">
      <c r="L2715"/>
      <c r="M2715"/>
      <c r="O2715"/>
      <c r="P2715"/>
    </row>
    <row r="2716" spans="12:16">
      <c r="L2716"/>
      <c r="M2716"/>
      <c r="O2716"/>
      <c r="P2716"/>
    </row>
    <row r="2717" spans="12:16">
      <c r="L2717"/>
      <c r="M2717"/>
      <c r="O2717"/>
      <c r="P2717"/>
    </row>
    <row r="2718" spans="12:16">
      <c r="L2718"/>
      <c r="M2718"/>
      <c r="O2718"/>
      <c r="P2718"/>
    </row>
    <row r="2719" spans="12:16">
      <c r="L2719"/>
      <c r="M2719"/>
      <c r="O2719"/>
      <c r="P2719"/>
    </row>
    <row r="2720" spans="12:16">
      <c r="L2720"/>
      <c r="M2720"/>
      <c r="O2720"/>
      <c r="P2720"/>
    </row>
    <row r="2721" spans="12:16">
      <c r="L2721"/>
      <c r="M2721"/>
      <c r="O2721"/>
      <c r="P2721"/>
    </row>
    <row r="2722" spans="12:16">
      <c r="L2722"/>
      <c r="M2722"/>
      <c r="O2722"/>
      <c r="P2722"/>
    </row>
    <row r="2723" spans="12:16">
      <c r="L2723"/>
      <c r="M2723"/>
      <c r="O2723"/>
      <c r="P2723"/>
    </row>
    <row r="2724" spans="12:16">
      <c r="L2724"/>
      <c r="M2724"/>
      <c r="O2724"/>
      <c r="P2724"/>
    </row>
    <row r="2725" spans="12:16">
      <c r="L2725"/>
      <c r="M2725"/>
      <c r="O2725"/>
      <c r="P2725"/>
    </row>
    <row r="2726" spans="12:16">
      <c r="L2726"/>
      <c r="M2726"/>
      <c r="O2726"/>
      <c r="P2726"/>
    </row>
    <row r="2727" spans="12:16">
      <c r="L2727"/>
      <c r="M2727"/>
      <c r="O2727"/>
      <c r="P2727"/>
    </row>
    <row r="2728" spans="12:16">
      <c r="L2728"/>
      <c r="M2728"/>
      <c r="O2728"/>
      <c r="P2728"/>
    </row>
    <row r="2729" spans="12:16">
      <c r="L2729"/>
      <c r="M2729"/>
      <c r="O2729"/>
      <c r="P2729"/>
    </row>
    <row r="2730" spans="12:16">
      <c r="L2730"/>
      <c r="M2730"/>
      <c r="O2730"/>
      <c r="P2730"/>
    </row>
    <row r="2731" spans="12:16">
      <c r="L2731"/>
      <c r="M2731"/>
      <c r="O2731"/>
      <c r="P2731"/>
    </row>
    <row r="2732" spans="12:16">
      <c r="L2732"/>
      <c r="M2732"/>
      <c r="O2732"/>
      <c r="P2732"/>
    </row>
    <row r="2733" spans="12:16">
      <c r="L2733"/>
      <c r="M2733"/>
      <c r="O2733"/>
      <c r="P2733"/>
    </row>
    <row r="2734" spans="12:16">
      <c r="L2734"/>
      <c r="M2734"/>
      <c r="O2734"/>
      <c r="P2734"/>
    </row>
    <row r="2735" spans="12:16">
      <c r="L2735"/>
      <c r="M2735"/>
      <c r="O2735"/>
      <c r="P2735"/>
    </row>
    <row r="2736" spans="12:16">
      <c r="L2736"/>
      <c r="M2736"/>
      <c r="O2736"/>
      <c r="P2736"/>
    </row>
    <row r="2737" spans="12:16">
      <c r="L2737"/>
      <c r="M2737"/>
      <c r="O2737"/>
      <c r="P2737"/>
    </row>
    <row r="2738" spans="12:16">
      <c r="L2738"/>
      <c r="M2738"/>
      <c r="O2738"/>
      <c r="P2738"/>
    </row>
    <row r="2739" spans="12:16">
      <c r="L2739"/>
      <c r="M2739"/>
      <c r="O2739"/>
      <c r="P2739"/>
    </row>
    <row r="2740" spans="12:16">
      <c r="L2740"/>
      <c r="M2740"/>
      <c r="O2740"/>
      <c r="P2740"/>
    </row>
    <row r="2741" spans="12:16">
      <c r="L2741"/>
      <c r="M2741"/>
      <c r="O2741"/>
      <c r="P2741"/>
    </row>
    <row r="2742" spans="12:16">
      <c r="L2742"/>
      <c r="M2742"/>
      <c r="O2742"/>
      <c r="P2742"/>
    </row>
    <row r="2743" spans="12:16">
      <c r="L2743"/>
      <c r="M2743"/>
      <c r="O2743"/>
      <c r="P2743"/>
    </row>
    <row r="2744" spans="12:16">
      <c r="L2744"/>
      <c r="M2744"/>
      <c r="O2744"/>
      <c r="P2744"/>
    </row>
    <row r="2745" spans="12:16">
      <c r="L2745"/>
      <c r="M2745"/>
      <c r="O2745"/>
      <c r="P2745"/>
    </row>
    <row r="2746" spans="12:16">
      <c r="L2746"/>
      <c r="M2746"/>
      <c r="O2746"/>
      <c r="P2746"/>
    </row>
    <row r="2747" spans="12:16">
      <c r="L2747"/>
      <c r="M2747"/>
      <c r="O2747"/>
      <c r="P2747"/>
    </row>
    <row r="2748" spans="12:16">
      <c r="L2748"/>
      <c r="M2748"/>
      <c r="O2748"/>
      <c r="P2748"/>
    </row>
    <row r="2749" spans="12:16">
      <c r="L2749"/>
      <c r="M2749"/>
      <c r="O2749"/>
      <c r="P2749"/>
    </row>
    <row r="2750" spans="12:16">
      <c r="L2750"/>
      <c r="M2750"/>
      <c r="O2750"/>
      <c r="P2750"/>
    </row>
    <row r="2751" spans="12:16">
      <c r="L2751"/>
      <c r="M2751"/>
      <c r="O2751"/>
      <c r="P2751"/>
    </row>
    <row r="2752" spans="12:16">
      <c r="L2752"/>
      <c r="M2752"/>
      <c r="O2752"/>
      <c r="P2752"/>
    </row>
    <row r="2753" spans="12:16">
      <c r="L2753"/>
      <c r="M2753"/>
      <c r="O2753"/>
      <c r="P2753"/>
    </row>
    <row r="2754" spans="12:16">
      <c r="L2754"/>
      <c r="M2754"/>
      <c r="O2754"/>
      <c r="P2754"/>
    </row>
    <row r="2755" spans="12:16">
      <c r="L2755"/>
      <c r="M2755"/>
      <c r="O2755"/>
      <c r="P2755"/>
    </row>
    <row r="2756" spans="12:16">
      <c r="L2756"/>
      <c r="M2756"/>
      <c r="O2756"/>
      <c r="P2756"/>
    </row>
    <row r="2757" spans="12:16">
      <c r="L2757"/>
      <c r="M2757"/>
      <c r="O2757"/>
      <c r="P2757"/>
    </row>
    <row r="2758" spans="12:16">
      <c r="L2758"/>
      <c r="M2758"/>
      <c r="O2758"/>
      <c r="P2758"/>
    </row>
    <row r="2759" spans="12:16">
      <c r="L2759"/>
      <c r="M2759"/>
      <c r="O2759"/>
      <c r="P2759"/>
    </row>
    <row r="2760" spans="12:16">
      <c r="L2760"/>
      <c r="M2760"/>
      <c r="O2760"/>
      <c r="P2760"/>
    </row>
    <row r="2761" spans="12:16">
      <c r="L2761"/>
      <c r="M2761"/>
      <c r="O2761"/>
      <c r="P2761"/>
    </row>
    <row r="2762" spans="12:16">
      <c r="L2762"/>
      <c r="M2762"/>
      <c r="O2762"/>
      <c r="P2762"/>
    </row>
    <row r="2763" spans="12:16">
      <c r="L2763"/>
      <c r="M2763"/>
      <c r="O2763"/>
      <c r="P2763"/>
    </row>
    <row r="2764" spans="12:16">
      <c r="L2764"/>
      <c r="M2764"/>
      <c r="O2764"/>
      <c r="P2764"/>
    </row>
    <row r="2765" spans="12:16">
      <c r="L2765"/>
      <c r="M2765"/>
      <c r="O2765"/>
      <c r="P2765"/>
    </row>
    <row r="2766" spans="12:16">
      <c r="L2766"/>
      <c r="M2766"/>
      <c r="O2766"/>
      <c r="P2766"/>
    </row>
    <row r="2767" spans="12:16">
      <c r="L2767"/>
      <c r="M2767"/>
      <c r="O2767"/>
      <c r="P2767"/>
    </row>
    <row r="2768" spans="12:16">
      <c r="L2768"/>
      <c r="M2768"/>
      <c r="O2768"/>
      <c r="P2768"/>
    </row>
    <row r="2769" spans="12:16">
      <c r="L2769"/>
      <c r="M2769"/>
      <c r="O2769"/>
      <c r="P2769"/>
    </row>
    <row r="2770" spans="12:16">
      <c r="L2770"/>
      <c r="M2770"/>
      <c r="O2770"/>
      <c r="P2770"/>
    </row>
    <row r="2771" spans="12:16">
      <c r="L2771"/>
      <c r="M2771"/>
      <c r="O2771"/>
      <c r="P2771"/>
    </row>
    <row r="2772" spans="12:16">
      <c r="L2772"/>
      <c r="M2772"/>
      <c r="O2772"/>
      <c r="P2772"/>
    </row>
    <row r="2773" spans="12:16">
      <c r="L2773"/>
      <c r="M2773"/>
      <c r="O2773"/>
      <c r="P2773"/>
    </row>
    <row r="2774" spans="12:16">
      <c r="L2774"/>
      <c r="M2774"/>
      <c r="O2774"/>
      <c r="P2774"/>
    </row>
    <row r="2775" spans="12:16">
      <c r="L2775"/>
      <c r="M2775"/>
      <c r="O2775"/>
      <c r="P2775"/>
    </row>
    <row r="2776" spans="12:16">
      <c r="L2776"/>
      <c r="M2776"/>
      <c r="O2776"/>
      <c r="P2776"/>
    </row>
    <row r="2777" spans="12:16">
      <c r="L2777"/>
      <c r="M2777"/>
      <c r="O2777"/>
      <c r="P2777"/>
    </row>
    <row r="2778" spans="12:16">
      <c r="L2778"/>
      <c r="M2778"/>
      <c r="O2778"/>
      <c r="P2778"/>
    </row>
    <row r="2779" spans="12:16">
      <c r="L2779"/>
      <c r="M2779"/>
      <c r="O2779"/>
      <c r="P2779"/>
    </row>
    <row r="2780" spans="12:16">
      <c r="L2780"/>
      <c r="M2780"/>
      <c r="O2780"/>
      <c r="P2780"/>
    </row>
    <row r="2781" spans="12:16">
      <c r="L2781"/>
      <c r="M2781"/>
      <c r="O2781"/>
      <c r="P2781"/>
    </row>
    <row r="2782" spans="12:16">
      <c r="L2782"/>
      <c r="M2782"/>
      <c r="O2782"/>
      <c r="P2782"/>
    </row>
    <row r="2783" spans="12:16">
      <c r="L2783"/>
      <c r="M2783"/>
      <c r="O2783"/>
      <c r="P2783"/>
    </row>
    <row r="2784" spans="12:16">
      <c r="L2784"/>
      <c r="M2784"/>
      <c r="O2784"/>
      <c r="P2784"/>
    </row>
    <row r="2785" spans="12:16">
      <c r="L2785"/>
      <c r="M2785"/>
      <c r="O2785"/>
      <c r="P2785"/>
    </row>
    <row r="2786" spans="12:16">
      <c r="L2786"/>
      <c r="M2786"/>
      <c r="O2786"/>
      <c r="P2786"/>
    </row>
    <row r="2787" spans="12:16">
      <c r="L2787"/>
      <c r="M2787"/>
      <c r="O2787"/>
      <c r="P2787"/>
    </row>
    <row r="2788" spans="12:16">
      <c r="L2788"/>
      <c r="M2788"/>
      <c r="O2788"/>
      <c r="P2788"/>
    </row>
    <row r="2789" spans="12:16">
      <c r="L2789"/>
      <c r="M2789"/>
      <c r="O2789"/>
      <c r="P2789"/>
    </row>
    <row r="2790" spans="12:16">
      <c r="L2790"/>
      <c r="M2790"/>
      <c r="O2790"/>
      <c r="P2790"/>
    </row>
    <row r="2791" spans="12:16">
      <c r="L2791"/>
      <c r="M2791"/>
      <c r="O2791"/>
      <c r="P2791"/>
    </row>
    <row r="2792" spans="12:16">
      <c r="L2792"/>
      <c r="M2792"/>
      <c r="O2792"/>
      <c r="P2792"/>
    </row>
    <row r="2793" spans="12:16">
      <c r="L2793"/>
      <c r="M2793"/>
      <c r="O2793"/>
      <c r="P2793"/>
    </row>
    <row r="2794" spans="12:16">
      <c r="L2794"/>
      <c r="M2794"/>
      <c r="O2794"/>
      <c r="P2794"/>
    </row>
    <row r="2795" spans="12:16">
      <c r="L2795"/>
      <c r="M2795"/>
      <c r="O2795"/>
      <c r="P2795"/>
    </row>
    <row r="2796" spans="12:16">
      <c r="L2796"/>
      <c r="M2796"/>
      <c r="O2796"/>
      <c r="P2796"/>
    </row>
    <row r="2797" spans="12:16">
      <c r="L2797"/>
      <c r="M2797"/>
      <c r="O2797"/>
      <c r="P2797"/>
    </row>
    <row r="2798" spans="12:16">
      <c r="L2798"/>
      <c r="M2798"/>
      <c r="O2798"/>
      <c r="P2798"/>
    </row>
    <row r="2799" spans="12:16">
      <c r="L2799"/>
      <c r="M2799"/>
      <c r="O2799"/>
      <c r="P2799"/>
    </row>
    <row r="2800" spans="12:16">
      <c r="L2800"/>
      <c r="M2800"/>
      <c r="O2800"/>
      <c r="P2800"/>
    </row>
    <row r="2801" spans="12:16">
      <c r="L2801"/>
      <c r="M2801"/>
      <c r="O2801"/>
      <c r="P2801"/>
    </row>
    <row r="2802" spans="12:16">
      <c r="L2802"/>
      <c r="M2802"/>
      <c r="O2802"/>
      <c r="P2802"/>
    </row>
    <row r="2803" spans="12:16">
      <c r="L2803"/>
      <c r="M2803"/>
      <c r="O2803"/>
      <c r="P2803"/>
    </row>
    <row r="2804" spans="12:16">
      <c r="L2804"/>
      <c r="M2804"/>
      <c r="O2804"/>
      <c r="P2804"/>
    </row>
    <row r="2805" spans="12:16">
      <c r="L2805"/>
      <c r="M2805"/>
      <c r="O2805"/>
      <c r="P2805"/>
    </row>
    <row r="2806" spans="12:16">
      <c r="L2806"/>
      <c r="M2806"/>
      <c r="O2806"/>
      <c r="P2806"/>
    </row>
    <row r="2807" spans="12:16">
      <c r="L2807"/>
      <c r="M2807"/>
      <c r="O2807"/>
      <c r="P2807"/>
    </row>
    <row r="2808" spans="12:16">
      <c r="L2808"/>
      <c r="M2808"/>
      <c r="O2808"/>
      <c r="P2808"/>
    </row>
    <row r="2809" spans="12:16">
      <c r="L2809"/>
      <c r="M2809"/>
      <c r="O2809"/>
      <c r="P2809"/>
    </row>
    <row r="2810" spans="12:16">
      <c r="L2810"/>
      <c r="M2810"/>
      <c r="O2810"/>
      <c r="P2810"/>
    </row>
    <row r="2811" spans="12:16">
      <c r="L2811"/>
      <c r="M2811"/>
      <c r="O2811"/>
      <c r="P2811"/>
    </row>
    <row r="2812" spans="12:16">
      <c r="L2812"/>
      <c r="M2812"/>
      <c r="O2812"/>
      <c r="P2812"/>
    </row>
    <row r="2813" spans="12:16">
      <c r="L2813"/>
      <c r="M2813"/>
      <c r="O2813"/>
      <c r="P2813"/>
    </row>
    <row r="2814" spans="12:16">
      <c r="L2814"/>
      <c r="M2814"/>
      <c r="O2814"/>
      <c r="P2814"/>
    </row>
    <row r="2815" spans="12:16">
      <c r="L2815"/>
      <c r="M2815"/>
      <c r="O2815"/>
      <c r="P2815"/>
    </row>
    <row r="2816" spans="12:16">
      <c r="L2816"/>
      <c r="M2816"/>
      <c r="O2816"/>
      <c r="P2816"/>
    </row>
    <row r="2817" spans="12:16">
      <c r="L2817"/>
      <c r="M2817"/>
      <c r="O2817"/>
      <c r="P2817"/>
    </row>
    <row r="2818" spans="12:16">
      <c r="L2818"/>
      <c r="M2818"/>
      <c r="O2818"/>
      <c r="P2818"/>
    </row>
    <row r="2819" spans="12:16">
      <c r="L2819"/>
      <c r="M2819"/>
      <c r="O2819"/>
      <c r="P2819"/>
    </row>
    <row r="2820" spans="12:16">
      <c r="L2820"/>
      <c r="M2820"/>
      <c r="O2820"/>
      <c r="P2820"/>
    </row>
    <row r="2821" spans="12:16">
      <c r="L2821"/>
      <c r="M2821"/>
      <c r="O2821"/>
      <c r="P2821"/>
    </row>
    <row r="2822" spans="12:16">
      <c r="L2822"/>
      <c r="M2822"/>
      <c r="O2822"/>
      <c r="P2822"/>
    </row>
    <row r="2823" spans="12:16">
      <c r="L2823"/>
      <c r="M2823"/>
      <c r="O2823"/>
      <c r="P2823"/>
    </row>
    <row r="2824" spans="12:16">
      <c r="L2824"/>
      <c r="M2824"/>
      <c r="O2824"/>
      <c r="P2824"/>
    </row>
    <row r="2825" spans="12:16">
      <c r="L2825"/>
      <c r="M2825"/>
      <c r="O2825"/>
      <c r="P2825"/>
    </row>
    <row r="2826" spans="12:16">
      <c r="L2826"/>
      <c r="M2826"/>
      <c r="O2826"/>
      <c r="P2826"/>
    </row>
    <row r="2827" spans="12:16">
      <c r="L2827"/>
      <c r="M2827"/>
      <c r="O2827"/>
      <c r="P2827"/>
    </row>
    <row r="2828" spans="12:16">
      <c r="L2828"/>
      <c r="M2828"/>
      <c r="O2828"/>
      <c r="P2828"/>
    </row>
    <row r="2829" spans="12:16">
      <c r="L2829"/>
      <c r="M2829"/>
      <c r="O2829"/>
      <c r="P2829"/>
    </row>
    <row r="2830" spans="12:16">
      <c r="L2830"/>
      <c r="M2830"/>
      <c r="O2830"/>
      <c r="P2830"/>
    </row>
    <row r="2831" spans="12:16">
      <c r="L2831"/>
      <c r="M2831"/>
      <c r="O2831"/>
      <c r="P2831"/>
    </row>
    <row r="2832" spans="12:16">
      <c r="L2832"/>
      <c r="M2832"/>
      <c r="O2832"/>
      <c r="P2832"/>
    </row>
    <row r="2833" spans="12:16">
      <c r="L2833"/>
      <c r="M2833"/>
      <c r="O2833"/>
      <c r="P2833"/>
    </row>
    <row r="2834" spans="12:16">
      <c r="L2834"/>
      <c r="M2834"/>
      <c r="O2834"/>
      <c r="P2834"/>
    </row>
    <row r="2835" spans="12:16">
      <c r="L2835"/>
      <c r="M2835"/>
      <c r="O2835"/>
      <c r="P2835"/>
    </row>
    <row r="2836" spans="12:16">
      <c r="L2836"/>
      <c r="M2836"/>
      <c r="O2836"/>
      <c r="P2836"/>
    </row>
    <row r="2837" spans="12:16">
      <c r="L2837"/>
      <c r="M2837"/>
      <c r="O2837"/>
      <c r="P2837"/>
    </row>
    <row r="2838" spans="12:16">
      <c r="L2838"/>
      <c r="M2838"/>
      <c r="O2838"/>
      <c r="P2838"/>
    </row>
    <row r="2839" spans="12:16">
      <c r="L2839"/>
      <c r="M2839"/>
      <c r="O2839"/>
      <c r="P2839"/>
    </row>
    <row r="2840" spans="12:16">
      <c r="L2840"/>
      <c r="M2840"/>
      <c r="O2840"/>
      <c r="P2840"/>
    </row>
    <row r="2841" spans="12:16">
      <c r="L2841"/>
      <c r="M2841"/>
      <c r="O2841"/>
      <c r="P2841"/>
    </row>
    <row r="2842" spans="12:16">
      <c r="L2842"/>
      <c r="M2842"/>
      <c r="O2842"/>
      <c r="P2842"/>
    </row>
    <row r="2843" spans="12:16">
      <c r="L2843"/>
      <c r="M2843"/>
      <c r="O2843"/>
      <c r="P2843"/>
    </row>
    <row r="2844" spans="12:16">
      <c r="L2844"/>
      <c r="M2844"/>
      <c r="O2844"/>
      <c r="P2844"/>
    </row>
    <row r="2845" spans="12:16">
      <c r="L2845"/>
      <c r="M2845"/>
      <c r="O2845"/>
      <c r="P2845"/>
    </row>
    <row r="2846" spans="12:16">
      <c r="L2846"/>
      <c r="M2846"/>
      <c r="O2846"/>
      <c r="P2846"/>
    </row>
    <row r="2847" spans="12:16">
      <c r="L2847"/>
      <c r="M2847"/>
      <c r="O2847"/>
      <c r="P2847"/>
    </row>
    <row r="2848" spans="12:16">
      <c r="L2848"/>
      <c r="M2848"/>
      <c r="O2848"/>
      <c r="P2848"/>
    </row>
    <row r="2849" spans="12:16">
      <c r="L2849"/>
      <c r="M2849"/>
      <c r="O2849"/>
      <c r="P2849"/>
    </row>
    <row r="2850" spans="12:16">
      <c r="L2850"/>
      <c r="M2850"/>
      <c r="O2850"/>
      <c r="P2850"/>
    </row>
    <row r="2851" spans="12:16">
      <c r="L2851"/>
      <c r="M2851"/>
      <c r="O2851"/>
      <c r="P2851"/>
    </row>
    <row r="2852" spans="12:16">
      <c r="L2852"/>
      <c r="M2852"/>
      <c r="O2852"/>
      <c r="P2852"/>
    </row>
    <row r="2853" spans="12:16">
      <c r="L2853"/>
      <c r="M2853"/>
      <c r="O2853"/>
      <c r="P2853"/>
    </row>
    <row r="2854" spans="12:16">
      <c r="L2854"/>
      <c r="M2854"/>
      <c r="O2854"/>
      <c r="P2854"/>
    </row>
    <row r="2855" spans="12:16">
      <c r="L2855"/>
      <c r="M2855"/>
      <c r="O2855"/>
      <c r="P2855"/>
    </row>
    <row r="2856" spans="12:16">
      <c r="L2856"/>
      <c r="M2856"/>
      <c r="O2856"/>
      <c r="P2856"/>
    </row>
    <row r="2857" spans="12:16">
      <c r="L2857"/>
      <c r="M2857"/>
      <c r="O2857"/>
      <c r="P2857"/>
    </row>
    <row r="2858" spans="12:16">
      <c r="L2858"/>
      <c r="M2858"/>
      <c r="O2858"/>
      <c r="P2858"/>
    </row>
    <row r="2859" spans="12:16">
      <c r="L2859"/>
      <c r="M2859"/>
      <c r="O2859"/>
      <c r="P2859"/>
    </row>
    <row r="2860" spans="12:16">
      <c r="L2860"/>
      <c r="M2860"/>
      <c r="O2860"/>
      <c r="P2860"/>
    </row>
    <row r="2861" spans="12:16">
      <c r="L2861"/>
      <c r="M2861"/>
      <c r="O2861"/>
      <c r="P2861"/>
    </row>
    <row r="2862" spans="12:16">
      <c r="L2862"/>
      <c r="M2862"/>
      <c r="O2862"/>
      <c r="P2862"/>
    </row>
    <row r="2863" spans="12:16">
      <c r="L2863"/>
      <c r="M2863"/>
      <c r="O2863"/>
      <c r="P2863"/>
    </row>
    <row r="2864" spans="12:16">
      <c r="L2864"/>
      <c r="M2864"/>
      <c r="O2864"/>
      <c r="P2864"/>
    </row>
    <row r="2865" spans="12:16">
      <c r="L2865"/>
      <c r="M2865"/>
      <c r="O2865"/>
      <c r="P2865"/>
    </row>
    <row r="2866" spans="12:16">
      <c r="L2866"/>
      <c r="M2866"/>
      <c r="O2866"/>
      <c r="P2866"/>
    </row>
    <row r="2867" spans="12:16">
      <c r="L2867"/>
      <c r="M2867"/>
      <c r="O2867"/>
      <c r="P2867"/>
    </row>
    <row r="2868" spans="12:16">
      <c r="L2868"/>
      <c r="M2868"/>
      <c r="O2868"/>
      <c r="P2868"/>
    </row>
    <row r="2869" spans="12:16">
      <c r="L2869"/>
      <c r="M2869"/>
      <c r="O2869"/>
      <c r="P2869"/>
    </row>
    <row r="2870" spans="12:16">
      <c r="L2870"/>
      <c r="M2870"/>
      <c r="O2870"/>
      <c r="P2870"/>
    </row>
    <row r="2871" spans="12:16">
      <c r="L2871"/>
      <c r="M2871"/>
      <c r="O2871"/>
      <c r="P2871"/>
    </row>
    <row r="2872" spans="12:16">
      <c r="L2872"/>
      <c r="M2872"/>
      <c r="O2872"/>
      <c r="P2872"/>
    </row>
    <row r="2873" spans="12:16">
      <c r="L2873"/>
      <c r="M2873"/>
      <c r="O2873"/>
      <c r="P2873"/>
    </row>
    <row r="2874" spans="12:16">
      <c r="L2874"/>
      <c r="M2874"/>
      <c r="O2874"/>
      <c r="P2874"/>
    </row>
    <row r="2875" spans="12:16">
      <c r="L2875"/>
      <c r="M2875"/>
      <c r="O2875"/>
      <c r="P2875"/>
    </row>
    <row r="2876" spans="12:16">
      <c r="L2876"/>
      <c r="M2876"/>
      <c r="O2876"/>
      <c r="P2876"/>
    </row>
    <row r="2877" spans="12:16">
      <c r="L2877"/>
      <c r="M2877"/>
      <c r="O2877"/>
      <c r="P2877"/>
    </row>
    <row r="2878" spans="12:16">
      <c r="L2878"/>
      <c r="M2878"/>
      <c r="O2878"/>
      <c r="P2878"/>
    </row>
    <row r="2879" spans="12:16">
      <c r="L2879"/>
      <c r="M2879"/>
      <c r="O2879"/>
      <c r="P2879"/>
    </row>
    <row r="2880" spans="12:16">
      <c r="L2880"/>
      <c r="M2880"/>
      <c r="O2880"/>
      <c r="P2880"/>
    </row>
    <row r="2881" spans="12:16">
      <c r="L2881"/>
      <c r="M2881"/>
      <c r="O2881"/>
      <c r="P2881"/>
    </row>
    <row r="2882" spans="12:16">
      <c r="L2882"/>
      <c r="M2882"/>
      <c r="O2882"/>
      <c r="P2882"/>
    </row>
    <row r="2883" spans="12:16">
      <c r="L2883"/>
      <c r="M2883"/>
      <c r="O2883"/>
      <c r="P2883"/>
    </row>
    <row r="2884" spans="12:16">
      <c r="L2884"/>
      <c r="M2884"/>
      <c r="O2884"/>
      <c r="P2884"/>
    </row>
    <row r="2885" spans="12:16">
      <c r="L2885"/>
      <c r="M2885"/>
      <c r="O2885"/>
      <c r="P2885"/>
    </row>
    <row r="2886" spans="12:16">
      <c r="L2886"/>
      <c r="M2886"/>
      <c r="O2886"/>
      <c r="P2886"/>
    </row>
    <row r="2887" spans="12:16">
      <c r="L2887"/>
      <c r="M2887"/>
      <c r="O2887"/>
      <c r="P2887"/>
    </row>
    <row r="2888" spans="12:16">
      <c r="L2888"/>
      <c r="M2888"/>
      <c r="O2888"/>
      <c r="P2888"/>
    </row>
    <row r="2889" spans="12:16">
      <c r="L2889"/>
      <c r="M2889"/>
      <c r="O2889"/>
      <c r="P2889"/>
    </row>
    <row r="2890" spans="12:16">
      <c r="L2890"/>
      <c r="M2890"/>
      <c r="O2890"/>
      <c r="P2890"/>
    </row>
    <row r="2891" spans="12:16">
      <c r="L2891"/>
      <c r="M2891"/>
      <c r="O2891"/>
      <c r="P2891"/>
    </row>
    <row r="2892" spans="12:16">
      <c r="L2892"/>
      <c r="M2892"/>
      <c r="O2892"/>
      <c r="P2892"/>
    </row>
    <row r="2893" spans="12:16">
      <c r="L2893"/>
      <c r="M2893"/>
      <c r="O2893"/>
      <c r="P2893"/>
    </row>
    <row r="2894" spans="12:16">
      <c r="L2894"/>
      <c r="M2894"/>
      <c r="O2894"/>
      <c r="P2894"/>
    </row>
    <row r="2895" spans="12:16">
      <c r="L2895"/>
      <c r="M2895"/>
      <c r="O2895"/>
      <c r="P2895"/>
    </row>
    <row r="2896" spans="12:16">
      <c r="L2896"/>
      <c r="M2896"/>
      <c r="O2896"/>
      <c r="P2896"/>
    </row>
    <row r="2897" spans="12:16">
      <c r="L2897"/>
      <c r="M2897"/>
      <c r="O2897"/>
      <c r="P2897"/>
    </row>
    <row r="2898" spans="12:16">
      <c r="L2898"/>
      <c r="M2898"/>
      <c r="O2898"/>
      <c r="P2898"/>
    </row>
    <row r="2899" spans="12:16">
      <c r="L2899"/>
      <c r="M2899"/>
      <c r="O2899"/>
      <c r="P2899"/>
    </row>
    <row r="2900" spans="12:16">
      <c r="L2900"/>
      <c r="M2900"/>
      <c r="O2900"/>
      <c r="P2900"/>
    </row>
    <row r="2901" spans="12:16">
      <c r="L2901"/>
      <c r="M2901"/>
      <c r="O2901"/>
      <c r="P2901"/>
    </row>
    <row r="2902" spans="12:16">
      <c r="L2902"/>
      <c r="M2902"/>
      <c r="O2902"/>
      <c r="P2902"/>
    </row>
    <row r="2903" spans="12:16">
      <c r="L2903"/>
      <c r="M2903"/>
      <c r="O2903"/>
      <c r="P2903"/>
    </row>
    <row r="2904" spans="12:16">
      <c r="L2904"/>
      <c r="M2904"/>
      <c r="O2904"/>
      <c r="P2904"/>
    </row>
    <row r="2905" spans="12:16">
      <c r="L2905"/>
      <c r="M2905"/>
      <c r="O2905"/>
      <c r="P2905"/>
    </row>
    <row r="2906" spans="12:16">
      <c r="L2906"/>
      <c r="M2906"/>
      <c r="O2906"/>
      <c r="P2906"/>
    </row>
    <row r="2907" spans="12:16">
      <c r="L2907"/>
      <c r="M2907"/>
      <c r="O2907"/>
      <c r="P2907"/>
    </row>
    <row r="2908" spans="12:16">
      <c r="L2908"/>
      <c r="M2908"/>
      <c r="O2908"/>
      <c r="P2908"/>
    </row>
    <row r="2909" spans="12:16">
      <c r="L2909"/>
      <c r="M2909"/>
      <c r="O2909"/>
      <c r="P2909"/>
    </row>
    <row r="2910" spans="12:16">
      <c r="L2910"/>
      <c r="M2910"/>
      <c r="O2910"/>
      <c r="P2910"/>
    </row>
    <row r="2911" spans="12:16">
      <c r="L2911"/>
      <c r="M2911"/>
      <c r="O2911"/>
      <c r="P2911"/>
    </row>
    <row r="2912" spans="12:16">
      <c r="L2912"/>
      <c r="M2912"/>
      <c r="O2912"/>
      <c r="P2912"/>
    </row>
    <row r="2913" spans="12:16">
      <c r="L2913"/>
      <c r="M2913"/>
      <c r="O2913"/>
      <c r="P2913"/>
    </row>
    <row r="2914" spans="12:16">
      <c r="L2914"/>
      <c r="M2914"/>
      <c r="O2914"/>
      <c r="P2914"/>
    </row>
    <row r="2915" spans="12:16">
      <c r="L2915"/>
      <c r="M2915"/>
      <c r="O2915"/>
      <c r="P2915"/>
    </row>
    <row r="2916" spans="12:16">
      <c r="L2916"/>
      <c r="M2916"/>
      <c r="O2916"/>
      <c r="P2916"/>
    </row>
    <row r="2917" spans="12:16">
      <c r="L2917"/>
      <c r="M2917"/>
      <c r="O2917"/>
      <c r="P2917"/>
    </row>
    <row r="2918" spans="12:16">
      <c r="L2918"/>
      <c r="M2918"/>
      <c r="O2918"/>
      <c r="P2918"/>
    </row>
    <row r="2919" spans="12:16">
      <c r="L2919"/>
      <c r="M2919"/>
      <c r="O2919"/>
      <c r="P2919"/>
    </row>
    <row r="2920" spans="12:16">
      <c r="L2920"/>
      <c r="M2920"/>
      <c r="O2920"/>
      <c r="P2920"/>
    </row>
    <row r="2921" spans="12:16">
      <c r="L2921"/>
      <c r="M2921"/>
      <c r="O2921"/>
      <c r="P2921"/>
    </row>
    <row r="2922" spans="12:16">
      <c r="L2922"/>
      <c r="M2922"/>
      <c r="O2922"/>
      <c r="P2922"/>
    </row>
    <row r="2923" spans="12:16">
      <c r="L2923"/>
      <c r="M2923"/>
      <c r="O2923"/>
      <c r="P2923"/>
    </row>
    <row r="2924" spans="12:16">
      <c r="L2924"/>
      <c r="M2924"/>
      <c r="O2924"/>
      <c r="P2924"/>
    </row>
    <row r="2925" spans="12:16">
      <c r="L2925"/>
      <c r="M2925"/>
      <c r="O2925"/>
      <c r="P2925"/>
    </row>
    <row r="2926" spans="12:16">
      <c r="L2926"/>
      <c r="M2926"/>
      <c r="O2926"/>
      <c r="P2926"/>
    </row>
    <row r="2927" spans="12:16">
      <c r="L2927"/>
      <c r="M2927"/>
      <c r="O2927"/>
      <c r="P2927"/>
    </row>
    <row r="2928" spans="12:16">
      <c r="L2928"/>
      <c r="M2928"/>
      <c r="O2928"/>
      <c r="P2928"/>
    </row>
    <row r="2929" spans="12:16">
      <c r="L2929"/>
      <c r="M2929"/>
      <c r="O2929"/>
      <c r="P2929"/>
    </row>
    <row r="2930" spans="12:16">
      <c r="L2930"/>
      <c r="M2930"/>
      <c r="O2930"/>
      <c r="P2930"/>
    </row>
    <row r="2931" spans="12:16">
      <c r="L2931"/>
      <c r="M2931"/>
      <c r="O2931"/>
      <c r="P2931"/>
    </row>
    <row r="2932" spans="12:16">
      <c r="L2932"/>
      <c r="M2932"/>
      <c r="O2932"/>
      <c r="P2932"/>
    </row>
    <row r="2933" spans="12:16">
      <c r="L2933"/>
      <c r="M2933"/>
      <c r="O2933"/>
      <c r="P2933"/>
    </row>
    <row r="2934" spans="12:16">
      <c r="L2934"/>
      <c r="M2934"/>
      <c r="O2934"/>
      <c r="P2934"/>
    </row>
    <row r="2935" spans="12:16">
      <c r="L2935"/>
      <c r="M2935"/>
      <c r="O2935"/>
      <c r="P2935"/>
    </row>
    <row r="2936" spans="12:16">
      <c r="L2936"/>
      <c r="M2936"/>
      <c r="O2936"/>
      <c r="P2936"/>
    </row>
    <row r="2937" spans="12:16">
      <c r="L2937"/>
      <c r="M2937"/>
      <c r="O2937"/>
      <c r="P2937"/>
    </row>
    <row r="2938" spans="12:16">
      <c r="L2938"/>
      <c r="M2938"/>
      <c r="O2938"/>
      <c r="P2938"/>
    </row>
    <row r="2939" spans="12:16">
      <c r="L2939"/>
      <c r="M2939"/>
      <c r="O2939"/>
      <c r="P2939"/>
    </row>
    <row r="2940" spans="12:16">
      <c r="L2940"/>
      <c r="M2940"/>
      <c r="O2940"/>
      <c r="P2940"/>
    </row>
    <row r="2941" spans="12:16">
      <c r="L2941"/>
      <c r="M2941"/>
      <c r="O2941"/>
      <c r="P2941"/>
    </row>
    <row r="2942" spans="12:16">
      <c r="L2942"/>
      <c r="M2942"/>
      <c r="O2942"/>
      <c r="P2942"/>
    </row>
    <row r="2943" spans="12:16">
      <c r="L2943"/>
      <c r="M2943"/>
      <c r="O2943"/>
      <c r="P2943"/>
    </row>
    <row r="2944" spans="12:16">
      <c r="L2944"/>
      <c r="M2944"/>
      <c r="O2944"/>
      <c r="P2944"/>
    </row>
    <row r="2945" spans="12:16">
      <c r="L2945"/>
      <c r="M2945"/>
      <c r="O2945"/>
      <c r="P2945"/>
    </row>
    <row r="2946" spans="12:16">
      <c r="L2946"/>
      <c r="M2946"/>
      <c r="O2946"/>
      <c r="P2946"/>
    </row>
    <row r="2947" spans="12:16">
      <c r="L2947"/>
      <c r="M2947"/>
      <c r="O2947"/>
      <c r="P2947"/>
    </row>
    <row r="2948" spans="12:16">
      <c r="L2948"/>
      <c r="M2948"/>
      <c r="O2948"/>
      <c r="P2948"/>
    </row>
    <row r="2949" spans="12:16">
      <c r="L2949"/>
      <c r="M2949"/>
      <c r="O2949"/>
      <c r="P2949"/>
    </row>
    <row r="2950" spans="12:16">
      <c r="L2950"/>
      <c r="M2950"/>
      <c r="O2950"/>
      <c r="P2950"/>
    </row>
    <row r="2951" spans="12:16">
      <c r="L2951"/>
      <c r="M2951"/>
      <c r="O2951"/>
      <c r="P2951"/>
    </row>
    <row r="2952" spans="12:16">
      <c r="L2952"/>
      <c r="M2952"/>
      <c r="O2952"/>
      <c r="P2952"/>
    </row>
    <row r="2953" spans="12:16">
      <c r="L2953"/>
      <c r="M2953"/>
      <c r="O2953"/>
      <c r="P2953"/>
    </row>
    <row r="2954" spans="12:16">
      <c r="L2954"/>
      <c r="M2954"/>
      <c r="O2954"/>
      <c r="P2954"/>
    </row>
    <row r="2955" spans="12:16">
      <c r="L2955"/>
      <c r="M2955"/>
      <c r="O2955"/>
      <c r="P2955"/>
    </row>
    <row r="2956" spans="12:16">
      <c r="L2956"/>
      <c r="M2956"/>
      <c r="O2956"/>
      <c r="P2956"/>
    </row>
    <row r="2957" spans="12:16">
      <c r="L2957"/>
      <c r="M2957"/>
      <c r="O2957"/>
      <c r="P2957"/>
    </row>
    <row r="2958" spans="12:16">
      <c r="L2958"/>
      <c r="M2958"/>
      <c r="O2958"/>
      <c r="P2958"/>
    </row>
    <row r="2959" spans="12:16">
      <c r="L2959"/>
      <c r="M2959"/>
      <c r="O2959"/>
      <c r="P2959"/>
    </row>
    <row r="2960" spans="12:16">
      <c r="L2960"/>
      <c r="M2960"/>
      <c r="O2960"/>
      <c r="P2960"/>
    </row>
    <row r="2961" spans="12:16">
      <c r="L2961"/>
      <c r="M2961"/>
      <c r="O2961"/>
      <c r="P2961"/>
    </row>
    <row r="2962" spans="12:16">
      <c r="L2962"/>
      <c r="M2962"/>
      <c r="O2962"/>
      <c r="P2962"/>
    </row>
    <row r="2963" spans="12:16">
      <c r="L2963"/>
      <c r="M2963"/>
      <c r="O2963"/>
      <c r="P2963"/>
    </row>
    <row r="2964" spans="12:16">
      <c r="L2964"/>
      <c r="M2964"/>
      <c r="O2964"/>
      <c r="P2964"/>
    </row>
    <row r="2965" spans="12:16">
      <c r="L2965"/>
      <c r="M2965"/>
      <c r="O2965"/>
      <c r="P2965"/>
    </row>
    <row r="2966" spans="12:16">
      <c r="L2966"/>
      <c r="M2966"/>
      <c r="O2966"/>
      <c r="P2966"/>
    </row>
    <row r="2967" spans="12:16">
      <c r="L2967"/>
      <c r="M2967"/>
      <c r="O2967"/>
      <c r="P2967"/>
    </row>
    <row r="2968" spans="12:16">
      <c r="L2968"/>
      <c r="M2968"/>
      <c r="O2968"/>
      <c r="P2968"/>
    </row>
    <row r="2969" spans="12:16">
      <c r="L2969"/>
      <c r="M2969"/>
      <c r="O2969"/>
      <c r="P2969"/>
    </row>
    <row r="2970" spans="12:16">
      <c r="L2970"/>
      <c r="M2970"/>
      <c r="O2970"/>
      <c r="P2970"/>
    </row>
    <row r="2971" spans="12:16">
      <c r="L2971"/>
      <c r="M2971"/>
      <c r="O2971"/>
      <c r="P2971"/>
    </row>
    <row r="2972" spans="12:16">
      <c r="L2972"/>
      <c r="M2972"/>
      <c r="O2972"/>
      <c r="P2972"/>
    </row>
    <row r="2973" spans="12:16">
      <c r="L2973"/>
      <c r="M2973"/>
      <c r="O2973"/>
      <c r="P2973"/>
    </row>
    <row r="2974" spans="12:16">
      <c r="L2974"/>
      <c r="M2974"/>
      <c r="O2974"/>
      <c r="P2974"/>
    </row>
    <row r="2975" spans="12:16">
      <c r="L2975"/>
      <c r="M2975"/>
      <c r="O2975"/>
      <c r="P2975"/>
    </row>
    <row r="2976" spans="12:16">
      <c r="L2976"/>
      <c r="M2976"/>
      <c r="O2976"/>
      <c r="P2976"/>
    </row>
    <row r="2977" spans="12:16">
      <c r="L2977"/>
      <c r="M2977"/>
      <c r="O2977"/>
      <c r="P2977"/>
    </row>
    <row r="2978" spans="12:16">
      <c r="L2978"/>
      <c r="M2978"/>
      <c r="O2978"/>
      <c r="P2978"/>
    </row>
    <row r="2979" spans="12:16">
      <c r="L2979"/>
      <c r="M2979"/>
      <c r="O2979"/>
      <c r="P2979"/>
    </row>
    <row r="2980" spans="12:16">
      <c r="L2980"/>
      <c r="M2980"/>
      <c r="O2980"/>
      <c r="P2980"/>
    </row>
    <row r="2981" spans="12:16">
      <c r="L2981"/>
      <c r="M2981"/>
      <c r="O2981"/>
      <c r="P2981"/>
    </row>
    <row r="2982" spans="12:16">
      <c r="L2982"/>
      <c r="M2982"/>
      <c r="O2982"/>
      <c r="P2982"/>
    </row>
    <row r="2983" spans="12:16">
      <c r="L2983"/>
      <c r="M2983"/>
      <c r="O2983"/>
      <c r="P2983"/>
    </row>
    <row r="2984" spans="12:16">
      <c r="L2984"/>
      <c r="M2984"/>
      <c r="O2984"/>
      <c r="P2984"/>
    </row>
    <row r="2985" spans="12:16">
      <c r="L2985"/>
      <c r="M2985"/>
      <c r="O2985"/>
      <c r="P2985"/>
    </row>
    <row r="2986" spans="12:16">
      <c r="L2986"/>
      <c r="M2986"/>
      <c r="O2986"/>
      <c r="P2986"/>
    </row>
    <row r="2987" spans="12:16">
      <c r="L2987"/>
      <c r="M2987"/>
      <c r="O2987"/>
      <c r="P2987"/>
    </row>
    <row r="2988" spans="12:16">
      <c r="L2988"/>
      <c r="M2988"/>
      <c r="O2988"/>
      <c r="P2988"/>
    </row>
    <row r="2989" spans="12:16">
      <c r="L2989"/>
      <c r="M2989"/>
      <c r="O2989"/>
      <c r="P2989"/>
    </row>
    <row r="2990" spans="12:16">
      <c r="L2990"/>
      <c r="M2990"/>
      <c r="O2990"/>
      <c r="P2990"/>
    </row>
    <row r="2991" spans="12:16">
      <c r="L2991"/>
      <c r="M2991"/>
      <c r="O2991"/>
      <c r="P2991"/>
    </row>
    <row r="2992" spans="12:16">
      <c r="L2992"/>
      <c r="M2992"/>
      <c r="O2992"/>
      <c r="P2992"/>
    </row>
    <row r="2993" spans="12:16">
      <c r="L2993"/>
      <c r="M2993"/>
      <c r="O2993"/>
      <c r="P2993"/>
    </row>
    <row r="2994" spans="12:16">
      <c r="L2994"/>
      <c r="M2994"/>
      <c r="O2994"/>
      <c r="P2994"/>
    </row>
    <row r="2995" spans="12:16">
      <c r="L2995"/>
      <c r="M2995"/>
      <c r="O2995"/>
      <c r="P2995"/>
    </row>
    <row r="2996" spans="12:16">
      <c r="L2996"/>
      <c r="M2996"/>
      <c r="O2996"/>
      <c r="P2996"/>
    </row>
    <row r="2997" spans="12:16">
      <c r="L2997"/>
      <c r="M2997"/>
      <c r="O2997"/>
      <c r="P2997"/>
    </row>
    <row r="2998" spans="12:16">
      <c r="L2998"/>
      <c r="M2998"/>
      <c r="O2998"/>
      <c r="P2998"/>
    </row>
    <row r="2999" spans="12:16">
      <c r="L2999"/>
      <c r="M2999"/>
      <c r="O2999"/>
      <c r="P2999"/>
    </row>
    <row r="3000" spans="12:16">
      <c r="L3000"/>
      <c r="M3000"/>
      <c r="O3000"/>
      <c r="P3000"/>
    </row>
    <row r="3001" spans="12:16">
      <c r="L3001"/>
      <c r="M3001"/>
      <c r="O3001"/>
      <c r="P3001"/>
    </row>
    <row r="3002" spans="12:16">
      <c r="L3002"/>
      <c r="M3002"/>
      <c r="O3002"/>
      <c r="P3002"/>
    </row>
    <row r="3003" spans="12:16">
      <c r="L3003"/>
      <c r="M3003"/>
      <c r="O3003"/>
      <c r="P3003"/>
    </row>
    <row r="3004" spans="12:16">
      <c r="L3004"/>
      <c r="M3004"/>
      <c r="O3004"/>
      <c r="P3004"/>
    </row>
    <row r="3005" spans="12:16">
      <c r="L3005"/>
      <c r="M3005"/>
      <c r="O3005"/>
      <c r="P3005"/>
    </row>
    <row r="3006" spans="12:16">
      <c r="L3006"/>
      <c r="M3006"/>
      <c r="O3006"/>
      <c r="P3006"/>
    </row>
    <row r="3007" spans="12:16">
      <c r="L3007"/>
      <c r="M3007"/>
      <c r="O3007"/>
      <c r="P3007"/>
    </row>
    <row r="3008" spans="12:16">
      <c r="L3008"/>
      <c r="M3008"/>
      <c r="O3008"/>
      <c r="P3008"/>
    </row>
    <row r="3009" spans="12:16">
      <c r="L3009"/>
      <c r="M3009"/>
      <c r="O3009"/>
      <c r="P3009"/>
    </row>
    <row r="3010" spans="12:16">
      <c r="L3010"/>
      <c r="M3010"/>
      <c r="O3010"/>
      <c r="P3010"/>
    </row>
    <row r="3011" spans="12:16">
      <c r="L3011"/>
      <c r="M3011"/>
      <c r="O3011"/>
      <c r="P3011"/>
    </row>
    <row r="3012" spans="12:16">
      <c r="L3012"/>
      <c r="M3012"/>
      <c r="O3012"/>
      <c r="P3012"/>
    </row>
    <row r="3013" spans="12:16">
      <c r="L3013"/>
      <c r="M3013"/>
      <c r="O3013"/>
      <c r="P3013"/>
    </row>
    <row r="3014" spans="12:16">
      <c r="L3014"/>
      <c r="M3014"/>
      <c r="O3014"/>
      <c r="P3014"/>
    </row>
    <row r="3015" spans="12:16">
      <c r="L3015"/>
      <c r="M3015"/>
      <c r="O3015"/>
      <c r="P3015"/>
    </row>
    <row r="3016" spans="12:16">
      <c r="L3016"/>
      <c r="M3016"/>
      <c r="O3016"/>
      <c r="P3016"/>
    </row>
    <row r="3017" spans="12:16">
      <c r="L3017"/>
      <c r="M3017"/>
      <c r="O3017"/>
      <c r="P3017"/>
    </row>
    <row r="3018" spans="12:16">
      <c r="L3018"/>
      <c r="M3018"/>
      <c r="O3018"/>
      <c r="P3018"/>
    </row>
    <row r="3019" spans="12:16">
      <c r="L3019"/>
      <c r="M3019"/>
      <c r="O3019"/>
      <c r="P3019"/>
    </row>
    <row r="3020" spans="12:16">
      <c r="L3020"/>
      <c r="M3020"/>
      <c r="O3020"/>
      <c r="P3020"/>
    </row>
    <row r="3021" spans="12:16">
      <c r="L3021"/>
      <c r="M3021"/>
      <c r="O3021"/>
      <c r="P3021"/>
    </row>
    <row r="3022" spans="12:16">
      <c r="L3022"/>
      <c r="M3022"/>
      <c r="O3022"/>
      <c r="P3022"/>
    </row>
    <row r="3023" spans="12:16">
      <c r="L3023"/>
      <c r="M3023"/>
      <c r="O3023"/>
      <c r="P3023"/>
    </row>
    <row r="3024" spans="12:16">
      <c r="L3024"/>
      <c r="M3024"/>
      <c r="O3024"/>
      <c r="P3024"/>
    </row>
    <row r="3025" spans="12:16">
      <c r="L3025"/>
      <c r="M3025"/>
      <c r="O3025"/>
      <c r="P3025"/>
    </row>
    <row r="3026" spans="12:16">
      <c r="L3026"/>
      <c r="M3026"/>
      <c r="O3026"/>
      <c r="P3026"/>
    </row>
    <row r="3027" spans="12:16">
      <c r="L3027"/>
      <c r="M3027"/>
      <c r="O3027"/>
      <c r="P3027"/>
    </row>
    <row r="3028" spans="12:16">
      <c r="L3028"/>
      <c r="M3028"/>
      <c r="O3028"/>
      <c r="P3028"/>
    </row>
    <row r="3029" spans="12:16">
      <c r="L3029"/>
      <c r="M3029"/>
      <c r="O3029"/>
      <c r="P3029"/>
    </row>
    <row r="3030" spans="12:16">
      <c r="L3030"/>
      <c r="M3030"/>
      <c r="O3030"/>
      <c r="P3030"/>
    </row>
    <row r="3031" spans="12:16">
      <c r="L3031"/>
      <c r="M3031"/>
      <c r="O3031"/>
      <c r="P3031"/>
    </row>
    <row r="3032" spans="12:16">
      <c r="L3032"/>
      <c r="M3032"/>
      <c r="O3032"/>
      <c r="P3032"/>
    </row>
    <row r="3033" spans="12:16">
      <c r="L3033"/>
      <c r="M3033"/>
      <c r="O3033"/>
      <c r="P3033"/>
    </row>
    <row r="3034" spans="12:16">
      <c r="L3034"/>
      <c r="M3034"/>
      <c r="O3034"/>
      <c r="P3034"/>
    </row>
    <row r="3035" spans="12:16">
      <c r="L3035"/>
      <c r="M3035"/>
      <c r="O3035"/>
      <c r="P3035"/>
    </row>
    <row r="3036" spans="12:16">
      <c r="L3036"/>
      <c r="M3036"/>
      <c r="O3036"/>
      <c r="P3036"/>
    </row>
    <row r="3037" spans="12:16">
      <c r="L3037"/>
      <c r="M3037"/>
      <c r="O3037"/>
      <c r="P3037"/>
    </row>
    <row r="3038" spans="12:16">
      <c r="L3038"/>
      <c r="M3038"/>
      <c r="O3038"/>
      <c r="P3038"/>
    </row>
    <row r="3039" spans="12:16">
      <c r="L3039"/>
      <c r="M3039"/>
      <c r="O3039"/>
      <c r="P3039"/>
    </row>
    <row r="3040" spans="12:16">
      <c r="L3040"/>
      <c r="M3040"/>
      <c r="O3040"/>
      <c r="P3040"/>
    </row>
    <row r="3041" spans="12:16">
      <c r="L3041"/>
      <c r="M3041"/>
      <c r="O3041"/>
      <c r="P3041"/>
    </row>
    <row r="3042" spans="12:16">
      <c r="L3042"/>
      <c r="M3042"/>
      <c r="O3042"/>
      <c r="P3042"/>
    </row>
    <row r="3043" spans="12:16">
      <c r="L3043"/>
      <c r="M3043"/>
      <c r="O3043"/>
      <c r="P3043"/>
    </row>
    <row r="3044" spans="12:16">
      <c r="L3044"/>
      <c r="M3044"/>
      <c r="O3044"/>
      <c r="P3044"/>
    </row>
    <row r="3045" spans="12:16">
      <c r="L3045"/>
      <c r="M3045"/>
      <c r="O3045"/>
      <c r="P3045"/>
    </row>
    <row r="3046" spans="12:16">
      <c r="L3046"/>
      <c r="M3046"/>
      <c r="O3046"/>
      <c r="P3046"/>
    </row>
    <row r="3047" spans="12:16">
      <c r="L3047"/>
      <c r="M3047"/>
      <c r="O3047"/>
      <c r="P3047"/>
    </row>
    <row r="3048" spans="12:16">
      <c r="L3048"/>
      <c r="M3048"/>
      <c r="O3048"/>
      <c r="P3048"/>
    </row>
    <row r="3049" spans="12:16">
      <c r="L3049"/>
      <c r="M3049"/>
      <c r="O3049"/>
      <c r="P3049"/>
    </row>
    <row r="3050" spans="12:16">
      <c r="L3050"/>
      <c r="M3050"/>
      <c r="O3050"/>
      <c r="P3050"/>
    </row>
    <row r="3051" spans="12:16">
      <c r="L3051"/>
      <c r="M3051"/>
      <c r="O3051"/>
      <c r="P3051"/>
    </row>
    <row r="3052" spans="12:16">
      <c r="L3052"/>
      <c r="M3052"/>
      <c r="O3052"/>
      <c r="P3052"/>
    </row>
    <row r="3053" spans="12:16">
      <c r="L3053"/>
      <c r="M3053"/>
      <c r="O3053"/>
      <c r="P3053"/>
    </row>
    <row r="3054" spans="12:16">
      <c r="L3054"/>
      <c r="M3054"/>
      <c r="O3054"/>
      <c r="P3054"/>
    </row>
    <row r="3055" spans="12:16">
      <c r="L3055"/>
      <c r="M3055"/>
      <c r="O3055"/>
      <c r="P3055"/>
    </row>
    <row r="3056" spans="12:16">
      <c r="L3056"/>
      <c r="M3056"/>
      <c r="O3056"/>
      <c r="P3056"/>
    </row>
    <row r="3057" spans="12:16">
      <c r="L3057"/>
      <c r="M3057"/>
      <c r="O3057"/>
      <c r="P3057"/>
    </row>
    <row r="3058" spans="12:16">
      <c r="L3058"/>
      <c r="M3058"/>
      <c r="O3058"/>
      <c r="P3058"/>
    </row>
    <row r="3059" spans="12:16">
      <c r="L3059"/>
      <c r="M3059"/>
      <c r="O3059"/>
      <c r="P3059"/>
    </row>
    <row r="3060" spans="12:16">
      <c r="L3060"/>
      <c r="M3060"/>
      <c r="O3060"/>
      <c r="P3060"/>
    </row>
    <row r="3061" spans="12:16">
      <c r="L3061"/>
      <c r="M3061"/>
      <c r="O3061"/>
      <c r="P3061"/>
    </row>
    <row r="3062" spans="12:16">
      <c r="L3062"/>
      <c r="M3062"/>
      <c r="O3062"/>
      <c r="P3062"/>
    </row>
    <row r="3063" spans="12:16">
      <c r="L3063"/>
      <c r="M3063"/>
      <c r="O3063"/>
      <c r="P3063"/>
    </row>
    <row r="3064" spans="12:16">
      <c r="L3064"/>
      <c r="M3064"/>
      <c r="O3064"/>
      <c r="P3064"/>
    </row>
    <row r="3065" spans="12:16">
      <c r="L3065"/>
      <c r="M3065"/>
      <c r="O3065"/>
      <c r="P3065"/>
    </row>
    <row r="3066" spans="12:16">
      <c r="L3066"/>
      <c r="M3066"/>
      <c r="O3066"/>
      <c r="P3066"/>
    </row>
    <row r="3067" spans="12:16">
      <c r="L3067"/>
      <c r="M3067"/>
      <c r="O3067"/>
      <c r="P3067"/>
    </row>
    <row r="3068" spans="12:16">
      <c r="L3068"/>
      <c r="M3068"/>
      <c r="O3068"/>
      <c r="P3068"/>
    </row>
    <row r="3069" spans="12:16">
      <c r="L3069"/>
      <c r="M3069"/>
      <c r="O3069"/>
      <c r="P3069"/>
    </row>
    <row r="3070" spans="12:16">
      <c r="L3070"/>
      <c r="M3070"/>
      <c r="O3070"/>
      <c r="P3070"/>
    </row>
    <row r="3071" spans="12:16">
      <c r="L3071"/>
      <c r="M3071"/>
      <c r="O3071"/>
      <c r="P3071"/>
    </row>
    <row r="3072" spans="12:16">
      <c r="L3072"/>
      <c r="M3072"/>
      <c r="O3072"/>
      <c r="P3072"/>
    </row>
    <row r="3073" spans="12:16">
      <c r="L3073"/>
      <c r="M3073"/>
      <c r="O3073"/>
      <c r="P3073"/>
    </row>
    <row r="3074" spans="12:16">
      <c r="L3074"/>
      <c r="M3074"/>
      <c r="O3074"/>
      <c r="P3074"/>
    </row>
    <row r="3075" spans="12:16">
      <c r="L3075"/>
      <c r="M3075"/>
      <c r="O3075"/>
      <c r="P3075"/>
    </row>
    <row r="3076" spans="12:16">
      <c r="L3076"/>
      <c r="M3076"/>
      <c r="O3076"/>
      <c r="P3076"/>
    </row>
    <row r="3077" spans="12:16">
      <c r="L3077"/>
      <c r="M3077"/>
      <c r="O3077"/>
      <c r="P3077"/>
    </row>
    <row r="3078" spans="12:16">
      <c r="L3078"/>
      <c r="M3078"/>
      <c r="O3078"/>
      <c r="P3078"/>
    </row>
    <row r="3079" spans="12:16">
      <c r="L3079"/>
      <c r="M3079"/>
      <c r="O3079"/>
      <c r="P3079"/>
    </row>
    <row r="3080" spans="12:16">
      <c r="L3080"/>
      <c r="M3080"/>
      <c r="O3080"/>
      <c r="P3080"/>
    </row>
    <row r="3081" spans="12:16">
      <c r="L3081"/>
      <c r="M3081"/>
      <c r="O3081"/>
      <c r="P3081"/>
    </row>
    <row r="3082" spans="12:16">
      <c r="L3082"/>
      <c r="M3082"/>
      <c r="O3082"/>
      <c r="P3082"/>
    </row>
    <row r="3083" spans="12:16">
      <c r="L3083"/>
      <c r="M3083"/>
      <c r="O3083"/>
      <c r="P3083"/>
    </row>
    <row r="3084" spans="12:16">
      <c r="L3084"/>
      <c r="M3084"/>
      <c r="O3084"/>
      <c r="P3084"/>
    </row>
    <row r="3085" spans="12:16">
      <c r="L3085"/>
      <c r="M3085"/>
      <c r="O3085"/>
      <c r="P3085"/>
    </row>
    <row r="3086" spans="12:16">
      <c r="L3086"/>
      <c r="M3086"/>
      <c r="O3086"/>
      <c r="P3086"/>
    </row>
    <row r="3087" spans="12:16">
      <c r="L3087"/>
      <c r="M3087"/>
      <c r="O3087"/>
      <c r="P3087"/>
    </row>
    <row r="3088" spans="12:16">
      <c r="L3088"/>
      <c r="M3088"/>
      <c r="O3088"/>
      <c r="P3088"/>
    </row>
    <row r="3089" spans="12:16">
      <c r="L3089"/>
      <c r="M3089"/>
      <c r="O3089"/>
      <c r="P3089"/>
    </row>
    <row r="3090" spans="12:16">
      <c r="L3090"/>
      <c r="M3090"/>
      <c r="O3090"/>
      <c r="P3090"/>
    </row>
    <row r="3091" spans="12:16">
      <c r="L3091"/>
      <c r="M3091"/>
      <c r="O3091"/>
      <c r="P3091"/>
    </row>
    <row r="3092" spans="12:16">
      <c r="L3092"/>
      <c r="M3092"/>
      <c r="O3092"/>
      <c r="P3092"/>
    </row>
    <row r="3093" spans="12:16">
      <c r="L3093"/>
      <c r="M3093"/>
      <c r="O3093"/>
      <c r="P3093"/>
    </row>
    <row r="3094" spans="12:16">
      <c r="L3094"/>
      <c r="M3094"/>
      <c r="O3094"/>
      <c r="P3094"/>
    </row>
    <row r="3095" spans="12:16">
      <c r="L3095"/>
      <c r="M3095"/>
      <c r="O3095"/>
      <c r="P3095"/>
    </row>
    <row r="3096" spans="12:16">
      <c r="L3096"/>
      <c r="M3096"/>
      <c r="O3096"/>
      <c r="P3096"/>
    </row>
    <row r="3097" spans="12:16">
      <c r="L3097"/>
      <c r="M3097"/>
      <c r="O3097"/>
      <c r="P3097"/>
    </row>
    <row r="3098" spans="12:16">
      <c r="L3098"/>
      <c r="M3098"/>
      <c r="O3098"/>
      <c r="P3098"/>
    </row>
    <row r="3099" spans="12:16">
      <c r="L3099"/>
      <c r="M3099"/>
      <c r="O3099"/>
      <c r="P3099"/>
    </row>
    <row r="3100" spans="12:16">
      <c r="L3100"/>
      <c r="M3100"/>
      <c r="O3100"/>
      <c r="P3100"/>
    </row>
    <row r="3101" spans="12:16">
      <c r="L3101"/>
      <c r="M3101"/>
      <c r="O3101"/>
      <c r="P3101"/>
    </row>
    <row r="3102" spans="12:16">
      <c r="L3102"/>
      <c r="M3102"/>
      <c r="O3102"/>
      <c r="P3102"/>
    </row>
    <row r="3103" spans="12:16">
      <c r="L3103"/>
      <c r="M3103"/>
      <c r="O3103"/>
      <c r="P3103"/>
    </row>
    <row r="3104" spans="12:16">
      <c r="L3104"/>
      <c r="M3104"/>
      <c r="O3104"/>
      <c r="P3104"/>
    </row>
    <row r="3105" spans="12:16">
      <c r="L3105"/>
      <c r="M3105"/>
      <c r="O3105"/>
      <c r="P3105"/>
    </row>
    <row r="3106" spans="12:16">
      <c r="L3106"/>
      <c r="M3106"/>
      <c r="O3106"/>
      <c r="P3106"/>
    </row>
    <row r="3107" spans="12:16">
      <c r="L3107"/>
      <c r="M3107"/>
      <c r="O3107"/>
      <c r="P3107"/>
    </row>
    <row r="3108" spans="12:16">
      <c r="L3108"/>
      <c r="M3108"/>
      <c r="O3108"/>
      <c r="P3108"/>
    </row>
    <row r="3109" spans="12:16">
      <c r="L3109"/>
      <c r="M3109"/>
      <c r="O3109"/>
      <c r="P3109"/>
    </row>
    <row r="3110" spans="12:16">
      <c r="L3110"/>
      <c r="M3110"/>
      <c r="O3110"/>
      <c r="P3110"/>
    </row>
    <row r="3111" spans="12:16">
      <c r="L3111"/>
      <c r="M3111"/>
      <c r="O3111"/>
      <c r="P3111"/>
    </row>
    <row r="3112" spans="12:16">
      <c r="L3112"/>
      <c r="M3112"/>
      <c r="O3112"/>
      <c r="P3112"/>
    </row>
    <row r="3113" spans="12:16">
      <c r="L3113"/>
      <c r="M3113"/>
      <c r="O3113"/>
      <c r="P3113"/>
    </row>
    <row r="3114" spans="12:16">
      <c r="L3114"/>
      <c r="M3114"/>
      <c r="O3114"/>
      <c r="P3114"/>
    </row>
    <row r="3115" spans="12:16">
      <c r="L3115"/>
      <c r="M3115"/>
      <c r="O3115"/>
      <c r="P3115"/>
    </row>
    <row r="3116" spans="12:16">
      <c r="L3116"/>
      <c r="M3116"/>
      <c r="O3116"/>
      <c r="P3116"/>
    </row>
    <row r="3117" spans="12:16">
      <c r="L3117"/>
      <c r="M3117"/>
      <c r="O3117"/>
      <c r="P3117"/>
    </row>
    <row r="3118" spans="12:16">
      <c r="L3118"/>
      <c r="M3118"/>
      <c r="O3118"/>
      <c r="P3118"/>
    </row>
    <row r="3119" spans="12:16">
      <c r="L3119"/>
      <c r="M3119"/>
      <c r="O3119"/>
      <c r="P3119"/>
    </row>
    <row r="3120" spans="12:16">
      <c r="L3120"/>
      <c r="M3120"/>
      <c r="O3120"/>
      <c r="P3120"/>
    </row>
    <row r="3121" spans="12:16">
      <c r="L3121"/>
      <c r="M3121"/>
      <c r="O3121"/>
      <c r="P3121"/>
    </row>
    <row r="3122" spans="12:16">
      <c r="L3122"/>
      <c r="M3122"/>
      <c r="O3122"/>
      <c r="P3122"/>
    </row>
    <row r="3123" spans="12:16">
      <c r="L3123"/>
      <c r="M3123"/>
      <c r="O3123"/>
      <c r="P3123"/>
    </row>
    <row r="3124" spans="12:16">
      <c r="L3124"/>
      <c r="M3124"/>
      <c r="O3124"/>
      <c r="P3124"/>
    </row>
    <row r="3125" spans="12:16">
      <c r="L3125"/>
      <c r="M3125"/>
      <c r="O3125"/>
      <c r="P3125"/>
    </row>
    <row r="3126" spans="12:16">
      <c r="L3126"/>
      <c r="M3126"/>
      <c r="O3126"/>
      <c r="P3126"/>
    </row>
    <row r="3127" spans="12:16">
      <c r="L3127"/>
      <c r="M3127"/>
      <c r="O3127"/>
      <c r="P3127"/>
    </row>
    <row r="3128" spans="12:16">
      <c r="L3128"/>
      <c r="M3128"/>
      <c r="O3128"/>
      <c r="P3128"/>
    </row>
    <row r="3129" spans="12:16">
      <c r="L3129"/>
      <c r="M3129"/>
      <c r="O3129"/>
      <c r="P3129"/>
    </row>
    <row r="3130" spans="12:16">
      <c r="L3130"/>
      <c r="M3130"/>
      <c r="O3130"/>
      <c r="P3130"/>
    </row>
    <row r="3131" spans="12:16">
      <c r="L3131"/>
      <c r="M3131"/>
      <c r="O3131"/>
      <c r="P3131"/>
    </row>
    <row r="3132" spans="12:16">
      <c r="L3132"/>
      <c r="M3132"/>
      <c r="O3132"/>
      <c r="P3132"/>
    </row>
    <row r="3133" spans="12:16">
      <c r="L3133"/>
      <c r="M3133"/>
      <c r="O3133"/>
      <c r="P3133"/>
    </row>
    <row r="3134" spans="12:16">
      <c r="L3134"/>
      <c r="M3134"/>
      <c r="O3134"/>
      <c r="P3134"/>
    </row>
    <row r="3135" spans="12:16">
      <c r="L3135"/>
      <c r="M3135"/>
      <c r="O3135"/>
      <c r="P3135"/>
    </row>
    <row r="3136" spans="12:16">
      <c r="L3136"/>
      <c r="M3136"/>
      <c r="O3136"/>
      <c r="P3136"/>
    </row>
    <row r="3137" spans="12:16">
      <c r="L3137"/>
      <c r="M3137"/>
      <c r="O3137"/>
      <c r="P3137"/>
    </row>
    <row r="3138" spans="12:16">
      <c r="L3138"/>
      <c r="M3138"/>
      <c r="O3138"/>
      <c r="P3138"/>
    </row>
    <row r="3139" spans="12:16">
      <c r="L3139"/>
      <c r="M3139"/>
      <c r="O3139"/>
      <c r="P3139"/>
    </row>
    <row r="3140" spans="12:16">
      <c r="L3140"/>
      <c r="M3140"/>
      <c r="O3140"/>
      <c r="P3140"/>
    </row>
    <row r="3141" spans="12:16">
      <c r="L3141"/>
      <c r="M3141"/>
      <c r="O3141"/>
      <c r="P3141"/>
    </row>
    <row r="3142" spans="12:16">
      <c r="L3142"/>
      <c r="M3142"/>
      <c r="O3142"/>
      <c r="P3142"/>
    </row>
    <row r="3143" spans="12:16">
      <c r="L3143"/>
      <c r="M3143"/>
      <c r="O3143"/>
      <c r="P3143"/>
    </row>
    <row r="3144" spans="12:16">
      <c r="L3144"/>
      <c r="M3144"/>
      <c r="O3144"/>
      <c r="P3144"/>
    </row>
    <row r="3145" spans="12:16">
      <c r="L3145"/>
      <c r="M3145"/>
      <c r="O3145"/>
      <c r="P3145"/>
    </row>
    <row r="3146" spans="12:16">
      <c r="L3146"/>
      <c r="M3146"/>
      <c r="O3146"/>
      <c r="P3146"/>
    </row>
    <row r="3147" spans="12:16">
      <c r="L3147"/>
      <c r="M3147"/>
      <c r="O3147"/>
      <c r="P3147"/>
    </row>
    <row r="3148" spans="12:16">
      <c r="L3148"/>
      <c r="M3148"/>
      <c r="O3148"/>
      <c r="P3148"/>
    </row>
    <row r="3149" spans="12:16">
      <c r="L3149"/>
      <c r="M3149"/>
      <c r="O3149"/>
      <c r="P3149"/>
    </row>
    <row r="3150" spans="12:16">
      <c r="L3150"/>
      <c r="M3150"/>
      <c r="O3150"/>
      <c r="P3150"/>
    </row>
    <row r="3151" spans="12:16">
      <c r="L3151"/>
      <c r="M3151"/>
      <c r="O3151"/>
      <c r="P3151"/>
    </row>
    <row r="3152" spans="12:16">
      <c r="L3152"/>
      <c r="M3152"/>
      <c r="O3152"/>
      <c r="P3152"/>
    </row>
    <row r="3153" spans="12:16">
      <c r="L3153"/>
      <c r="M3153"/>
      <c r="O3153"/>
      <c r="P3153"/>
    </row>
    <row r="3154" spans="12:16">
      <c r="L3154"/>
      <c r="M3154"/>
      <c r="O3154"/>
      <c r="P3154"/>
    </row>
    <row r="3155" spans="12:16">
      <c r="L3155"/>
      <c r="M3155"/>
      <c r="O3155"/>
      <c r="P3155"/>
    </row>
    <row r="3156" spans="12:16">
      <c r="L3156"/>
      <c r="M3156"/>
      <c r="O3156"/>
      <c r="P3156"/>
    </row>
    <row r="3157" spans="12:16">
      <c r="L3157"/>
      <c r="M3157"/>
      <c r="O3157"/>
      <c r="P3157"/>
    </row>
    <row r="3158" spans="12:16">
      <c r="L3158"/>
      <c r="M3158"/>
      <c r="O3158"/>
      <c r="P3158"/>
    </row>
    <row r="3159" spans="12:16">
      <c r="L3159"/>
      <c r="M3159"/>
      <c r="O3159"/>
      <c r="P3159"/>
    </row>
    <row r="3160" spans="12:16">
      <c r="L3160"/>
      <c r="M3160"/>
      <c r="O3160"/>
      <c r="P3160"/>
    </row>
    <row r="3161" spans="12:16">
      <c r="L3161"/>
      <c r="M3161"/>
      <c r="O3161"/>
      <c r="P3161"/>
    </row>
    <row r="3162" spans="12:16">
      <c r="L3162"/>
      <c r="M3162"/>
      <c r="O3162"/>
      <c r="P3162"/>
    </row>
    <row r="3163" spans="12:16">
      <c r="L3163"/>
      <c r="M3163"/>
      <c r="O3163"/>
      <c r="P3163"/>
    </row>
    <row r="3164" spans="12:16">
      <c r="L3164"/>
      <c r="M3164"/>
      <c r="O3164"/>
      <c r="P3164"/>
    </row>
    <row r="3165" spans="12:16">
      <c r="L3165"/>
      <c r="M3165"/>
      <c r="O3165"/>
      <c r="P3165"/>
    </row>
    <row r="3166" spans="12:16">
      <c r="L3166"/>
      <c r="M3166"/>
      <c r="O3166"/>
      <c r="P3166"/>
    </row>
    <row r="3167" spans="12:16">
      <c r="L3167"/>
      <c r="M3167"/>
      <c r="O3167"/>
      <c r="P3167"/>
    </row>
    <row r="3168" spans="12:16">
      <c r="L3168"/>
      <c r="M3168"/>
      <c r="O3168"/>
      <c r="P3168"/>
    </row>
    <row r="3169" spans="12:16">
      <c r="L3169"/>
      <c r="M3169"/>
      <c r="O3169"/>
      <c r="P3169"/>
    </row>
    <row r="3170" spans="12:16">
      <c r="L3170"/>
      <c r="M3170"/>
      <c r="O3170"/>
      <c r="P3170"/>
    </row>
    <row r="3171" spans="12:16">
      <c r="L3171"/>
      <c r="M3171"/>
      <c r="O3171"/>
      <c r="P3171"/>
    </row>
    <row r="3172" spans="12:16">
      <c r="L3172"/>
      <c r="M3172"/>
      <c r="O3172"/>
      <c r="P3172"/>
    </row>
    <row r="3173" spans="12:16">
      <c r="L3173"/>
      <c r="M3173"/>
      <c r="O3173"/>
      <c r="P3173"/>
    </row>
    <row r="3174" spans="12:16">
      <c r="L3174"/>
      <c r="M3174"/>
      <c r="O3174"/>
      <c r="P3174"/>
    </row>
    <row r="3175" spans="12:16">
      <c r="L3175"/>
      <c r="M3175"/>
      <c r="O3175"/>
      <c r="P3175"/>
    </row>
    <row r="3176" spans="12:16">
      <c r="L3176"/>
      <c r="M3176"/>
      <c r="O3176"/>
      <c r="P3176"/>
    </row>
    <row r="3177" spans="12:16">
      <c r="L3177"/>
      <c r="M3177"/>
      <c r="O3177"/>
      <c r="P3177"/>
    </row>
    <row r="3178" spans="12:16">
      <c r="L3178"/>
      <c r="M3178"/>
      <c r="O3178"/>
      <c r="P3178"/>
    </row>
    <row r="3179" spans="12:16">
      <c r="L3179"/>
      <c r="M3179"/>
      <c r="O3179"/>
      <c r="P3179"/>
    </row>
    <row r="3180" spans="12:16">
      <c r="L3180"/>
      <c r="M3180"/>
      <c r="O3180"/>
      <c r="P3180"/>
    </row>
    <row r="3181" spans="12:16">
      <c r="L3181"/>
      <c r="M3181"/>
      <c r="O3181"/>
      <c r="P3181"/>
    </row>
    <row r="3182" spans="12:16">
      <c r="L3182"/>
      <c r="M3182"/>
      <c r="O3182"/>
      <c r="P3182"/>
    </row>
    <row r="3183" spans="12:16">
      <c r="L3183"/>
      <c r="M3183"/>
      <c r="O3183"/>
      <c r="P3183"/>
    </row>
    <row r="3184" spans="12:16">
      <c r="L3184"/>
      <c r="M3184"/>
      <c r="O3184"/>
      <c r="P3184"/>
    </row>
    <row r="3185" spans="12:16">
      <c r="L3185"/>
      <c r="M3185"/>
      <c r="O3185"/>
      <c r="P3185"/>
    </row>
    <row r="3186" spans="12:16">
      <c r="L3186"/>
      <c r="M3186"/>
      <c r="O3186"/>
      <c r="P3186"/>
    </row>
    <row r="3187" spans="12:16">
      <c r="L3187"/>
      <c r="M3187"/>
      <c r="O3187"/>
      <c r="P3187"/>
    </row>
    <row r="3188" spans="12:16">
      <c r="L3188"/>
      <c r="M3188"/>
      <c r="O3188"/>
      <c r="P3188"/>
    </row>
    <row r="3189" spans="12:16">
      <c r="L3189"/>
      <c r="M3189"/>
      <c r="O3189"/>
      <c r="P3189"/>
    </row>
    <row r="3190" spans="12:16">
      <c r="L3190"/>
      <c r="M3190"/>
      <c r="O3190"/>
      <c r="P3190"/>
    </row>
    <row r="3191" spans="12:16">
      <c r="L3191"/>
      <c r="M3191"/>
      <c r="O3191"/>
      <c r="P3191"/>
    </row>
    <row r="3192" spans="12:16">
      <c r="L3192"/>
      <c r="M3192"/>
      <c r="O3192"/>
      <c r="P3192"/>
    </row>
    <row r="3193" spans="12:16">
      <c r="L3193"/>
      <c r="M3193"/>
      <c r="O3193"/>
      <c r="P3193"/>
    </row>
    <row r="3194" spans="12:16">
      <c r="L3194"/>
      <c r="M3194"/>
      <c r="O3194"/>
      <c r="P3194"/>
    </row>
    <row r="3195" spans="12:16">
      <c r="L3195"/>
      <c r="M3195"/>
      <c r="O3195"/>
      <c r="P3195"/>
    </row>
    <row r="3196" spans="12:16">
      <c r="L3196"/>
      <c r="M3196"/>
      <c r="O3196"/>
      <c r="P3196"/>
    </row>
    <row r="3197" spans="12:16">
      <c r="L3197"/>
      <c r="M3197"/>
      <c r="O3197"/>
      <c r="P3197"/>
    </row>
    <row r="3198" spans="12:16">
      <c r="L3198"/>
      <c r="M3198"/>
      <c r="O3198"/>
      <c r="P3198"/>
    </row>
    <row r="3199" spans="12:16">
      <c r="L3199"/>
      <c r="M3199"/>
      <c r="O3199"/>
      <c r="P3199"/>
    </row>
    <row r="3200" spans="12:16">
      <c r="L3200"/>
      <c r="M3200"/>
      <c r="O3200"/>
      <c r="P3200"/>
    </row>
    <row r="3201" spans="12:16">
      <c r="L3201"/>
      <c r="M3201"/>
      <c r="O3201"/>
      <c r="P3201"/>
    </row>
    <row r="3202" spans="12:16">
      <c r="L3202"/>
      <c r="M3202"/>
      <c r="O3202"/>
      <c r="P3202"/>
    </row>
    <row r="3203" spans="12:16">
      <c r="L3203"/>
      <c r="M3203"/>
      <c r="O3203"/>
      <c r="P3203"/>
    </row>
    <row r="3204" spans="12:16">
      <c r="L3204"/>
      <c r="M3204"/>
      <c r="O3204"/>
      <c r="P3204"/>
    </row>
    <row r="3205" spans="12:16">
      <c r="L3205"/>
      <c r="M3205"/>
      <c r="O3205"/>
      <c r="P3205"/>
    </row>
    <row r="3206" spans="12:16">
      <c r="L3206"/>
      <c r="M3206"/>
      <c r="O3206"/>
      <c r="P3206"/>
    </row>
    <row r="3207" spans="12:16">
      <c r="L3207"/>
      <c r="M3207"/>
      <c r="O3207"/>
      <c r="P3207"/>
    </row>
    <row r="3208" spans="12:16">
      <c r="L3208"/>
      <c r="M3208"/>
      <c r="O3208"/>
      <c r="P3208"/>
    </row>
    <row r="3209" spans="12:16">
      <c r="L3209"/>
      <c r="M3209"/>
      <c r="O3209"/>
      <c r="P3209"/>
    </row>
    <row r="3210" spans="12:16">
      <c r="L3210"/>
      <c r="M3210"/>
      <c r="O3210"/>
      <c r="P3210"/>
    </row>
    <row r="3211" spans="12:16">
      <c r="L3211"/>
      <c r="M3211"/>
      <c r="O3211"/>
      <c r="P3211"/>
    </row>
    <row r="3212" spans="12:16">
      <c r="L3212"/>
      <c r="M3212"/>
      <c r="O3212"/>
      <c r="P3212"/>
    </row>
    <row r="3213" spans="12:16">
      <c r="L3213"/>
      <c r="M3213"/>
      <c r="O3213"/>
      <c r="P3213"/>
    </row>
    <row r="3214" spans="12:16">
      <c r="L3214"/>
      <c r="M3214"/>
      <c r="O3214"/>
      <c r="P3214"/>
    </row>
    <row r="3215" spans="12:16">
      <c r="L3215"/>
      <c r="M3215"/>
      <c r="O3215"/>
      <c r="P3215"/>
    </row>
    <row r="3216" spans="12:16">
      <c r="L3216"/>
      <c r="M3216"/>
      <c r="O3216"/>
      <c r="P3216"/>
    </row>
    <row r="3217" spans="12:16">
      <c r="L3217"/>
      <c r="M3217"/>
      <c r="O3217"/>
      <c r="P3217"/>
    </row>
    <row r="3218" spans="12:16">
      <c r="L3218"/>
      <c r="M3218"/>
      <c r="O3218"/>
      <c r="P3218"/>
    </row>
    <row r="3219" spans="12:16">
      <c r="L3219"/>
      <c r="M3219"/>
      <c r="O3219"/>
      <c r="P3219"/>
    </row>
    <row r="3220" spans="12:16">
      <c r="L3220"/>
      <c r="M3220"/>
      <c r="O3220"/>
      <c r="P3220"/>
    </row>
    <row r="3221" spans="12:16">
      <c r="L3221"/>
      <c r="M3221"/>
      <c r="O3221"/>
      <c r="P3221"/>
    </row>
    <row r="3222" spans="12:16">
      <c r="L3222"/>
      <c r="M3222"/>
      <c r="O3222"/>
      <c r="P3222"/>
    </row>
    <row r="3223" spans="12:16">
      <c r="L3223"/>
      <c r="M3223"/>
      <c r="O3223"/>
      <c r="P3223"/>
    </row>
    <row r="3224" spans="12:16">
      <c r="L3224"/>
      <c r="M3224"/>
      <c r="O3224"/>
      <c r="P3224"/>
    </row>
    <row r="3225" spans="12:16">
      <c r="L3225"/>
      <c r="M3225"/>
      <c r="O3225"/>
      <c r="P3225"/>
    </row>
    <row r="3226" spans="12:16">
      <c r="L3226"/>
      <c r="M3226"/>
      <c r="O3226"/>
      <c r="P3226"/>
    </row>
    <row r="3227" spans="12:16">
      <c r="L3227"/>
      <c r="M3227"/>
      <c r="O3227"/>
      <c r="P3227"/>
    </row>
    <row r="3228" spans="12:16">
      <c r="L3228"/>
      <c r="M3228"/>
      <c r="O3228"/>
      <c r="P3228"/>
    </row>
    <row r="3229" spans="12:16">
      <c r="L3229"/>
      <c r="M3229"/>
      <c r="O3229"/>
      <c r="P3229"/>
    </row>
    <row r="3230" spans="12:16">
      <c r="L3230"/>
      <c r="M3230"/>
      <c r="O3230"/>
      <c r="P3230"/>
    </row>
    <row r="3231" spans="12:16">
      <c r="L3231"/>
      <c r="M3231"/>
      <c r="O3231"/>
      <c r="P3231"/>
    </row>
    <row r="3232" spans="12:16">
      <c r="L3232"/>
      <c r="M3232"/>
      <c r="O3232"/>
      <c r="P3232"/>
    </row>
    <row r="3233" spans="12:16">
      <c r="L3233"/>
      <c r="M3233"/>
      <c r="O3233"/>
      <c r="P3233"/>
    </row>
    <row r="3234" spans="12:16">
      <c r="L3234"/>
      <c r="M3234"/>
      <c r="O3234"/>
      <c r="P3234"/>
    </row>
    <row r="3235" spans="12:16">
      <c r="L3235"/>
      <c r="M3235"/>
      <c r="O3235"/>
      <c r="P3235"/>
    </row>
    <row r="3236" spans="12:16">
      <c r="L3236"/>
      <c r="M3236"/>
      <c r="O3236"/>
      <c r="P3236"/>
    </row>
    <row r="3237" spans="12:16">
      <c r="L3237"/>
      <c r="M3237"/>
      <c r="O3237"/>
      <c r="P3237"/>
    </row>
    <row r="3238" spans="12:16">
      <c r="L3238"/>
      <c r="M3238"/>
      <c r="O3238"/>
      <c r="P3238"/>
    </row>
    <row r="3239" spans="12:16">
      <c r="L3239"/>
      <c r="M3239"/>
      <c r="O3239"/>
      <c r="P3239"/>
    </row>
    <row r="3240" spans="12:16">
      <c r="L3240"/>
      <c r="M3240"/>
      <c r="O3240"/>
      <c r="P3240"/>
    </row>
    <row r="3241" spans="12:16">
      <c r="L3241"/>
      <c r="M3241"/>
      <c r="O3241"/>
      <c r="P3241"/>
    </row>
    <row r="3242" spans="12:16">
      <c r="L3242"/>
      <c r="M3242"/>
      <c r="O3242"/>
      <c r="P3242"/>
    </row>
    <row r="3243" spans="12:16">
      <c r="L3243"/>
      <c r="M3243"/>
      <c r="O3243"/>
      <c r="P3243"/>
    </row>
    <row r="3244" spans="12:16">
      <c r="L3244"/>
      <c r="M3244"/>
      <c r="O3244"/>
      <c r="P3244"/>
    </row>
    <row r="3245" spans="12:16">
      <c r="L3245"/>
      <c r="M3245"/>
      <c r="O3245"/>
      <c r="P3245"/>
    </row>
    <row r="3246" spans="12:16">
      <c r="L3246"/>
      <c r="M3246"/>
      <c r="O3246"/>
      <c r="P3246"/>
    </row>
    <row r="3247" spans="12:16">
      <c r="L3247"/>
      <c r="M3247"/>
      <c r="O3247"/>
      <c r="P3247"/>
    </row>
    <row r="3248" spans="12:16">
      <c r="L3248"/>
      <c r="M3248"/>
      <c r="O3248"/>
      <c r="P3248"/>
    </row>
    <row r="3249" spans="12:16">
      <c r="L3249"/>
      <c r="M3249"/>
      <c r="O3249"/>
      <c r="P3249"/>
    </row>
    <row r="3250" spans="12:16">
      <c r="L3250"/>
      <c r="M3250"/>
      <c r="O3250"/>
      <c r="P3250"/>
    </row>
    <row r="3251" spans="12:16">
      <c r="L3251"/>
      <c r="M3251"/>
      <c r="O3251"/>
      <c r="P3251"/>
    </row>
    <row r="3252" spans="12:16">
      <c r="L3252"/>
      <c r="M3252"/>
      <c r="O3252"/>
      <c r="P3252"/>
    </row>
    <row r="3253" spans="12:16">
      <c r="L3253"/>
      <c r="M3253"/>
      <c r="O3253"/>
      <c r="P3253"/>
    </row>
    <row r="3254" spans="12:16">
      <c r="L3254"/>
      <c r="M3254"/>
      <c r="O3254"/>
      <c r="P3254"/>
    </row>
    <row r="3255" spans="12:16">
      <c r="L3255"/>
      <c r="M3255"/>
      <c r="O3255"/>
      <c r="P3255"/>
    </row>
    <row r="3256" spans="12:16">
      <c r="L3256"/>
      <c r="M3256"/>
      <c r="O3256"/>
      <c r="P3256"/>
    </row>
    <row r="3257" spans="12:16">
      <c r="L3257"/>
      <c r="M3257"/>
      <c r="O3257"/>
      <c r="P3257"/>
    </row>
    <row r="3258" spans="12:16">
      <c r="L3258"/>
      <c r="M3258"/>
      <c r="O3258"/>
      <c r="P3258"/>
    </row>
    <row r="3259" spans="12:16">
      <c r="L3259"/>
      <c r="M3259"/>
      <c r="O3259"/>
      <c r="P3259"/>
    </row>
    <row r="3260" spans="12:16">
      <c r="L3260"/>
      <c r="M3260"/>
      <c r="O3260"/>
      <c r="P3260"/>
    </row>
    <row r="3261" spans="12:16">
      <c r="L3261"/>
      <c r="M3261"/>
      <c r="O3261"/>
      <c r="P3261"/>
    </row>
    <row r="3262" spans="12:16">
      <c r="L3262"/>
      <c r="M3262"/>
      <c r="O3262"/>
      <c r="P3262"/>
    </row>
    <row r="3263" spans="12:16">
      <c r="L3263"/>
      <c r="M3263"/>
      <c r="O3263"/>
      <c r="P3263"/>
    </row>
    <row r="3264" spans="12:16">
      <c r="L3264"/>
      <c r="M3264"/>
      <c r="O3264"/>
      <c r="P3264"/>
    </row>
    <row r="3265" spans="12:16">
      <c r="L3265"/>
      <c r="M3265"/>
      <c r="O3265"/>
      <c r="P3265"/>
    </row>
    <row r="3266" spans="12:16">
      <c r="L3266"/>
      <c r="M3266"/>
      <c r="O3266"/>
      <c r="P3266"/>
    </row>
    <row r="3267" spans="12:16">
      <c r="L3267"/>
      <c r="M3267"/>
      <c r="O3267"/>
      <c r="P3267"/>
    </row>
    <row r="3268" spans="12:16">
      <c r="L3268"/>
      <c r="M3268"/>
      <c r="O3268"/>
      <c r="P3268"/>
    </row>
    <row r="3269" spans="12:16">
      <c r="L3269"/>
      <c r="M3269"/>
      <c r="O3269"/>
      <c r="P3269"/>
    </row>
    <row r="3270" spans="12:16">
      <c r="L3270"/>
      <c r="M3270"/>
      <c r="O3270"/>
      <c r="P3270"/>
    </row>
    <row r="3271" spans="12:16">
      <c r="L3271"/>
      <c r="M3271"/>
      <c r="O3271"/>
      <c r="P3271"/>
    </row>
    <row r="3272" spans="12:16">
      <c r="L3272"/>
      <c r="M3272"/>
      <c r="O3272"/>
      <c r="P3272"/>
    </row>
    <row r="3273" spans="12:16">
      <c r="L3273"/>
      <c r="M3273"/>
      <c r="O3273"/>
      <c r="P3273"/>
    </row>
    <row r="3274" spans="12:16">
      <c r="L3274"/>
      <c r="M3274"/>
      <c r="O3274"/>
      <c r="P3274"/>
    </row>
    <row r="3275" spans="12:16">
      <c r="L3275"/>
      <c r="M3275"/>
      <c r="O3275"/>
      <c r="P3275"/>
    </row>
    <row r="3276" spans="12:16">
      <c r="L3276"/>
      <c r="M3276"/>
      <c r="O3276"/>
      <c r="P3276"/>
    </row>
    <row r="3277" spans="12:16">
      <c r="L3277"/>
      <c r="M3277"/>
      <c r="O3277"/>
      <c r="P3277"/>
    </row>
    <row r="3278" spans="12:16">
      <c r="L3278"/>
      <c r="M3278"/>
      <c r="O3278"/>
      <c r="P3278"/>
    </row>
    <row r="3279" spans="12:16">
      <c r="L3279"/>
      <c r="M3279"/>
      <c r="O3279"/>
      <c r="P3279"/>
    </row>
    <row r="3280" spans="12:16">
      <c r="L3280"/>
      <c r="M3280"/>
      <c r="O3280"/>
      <c r="P3280"/>
    </row>
    <row r="3281" spans="12:16">
      <c r="L3281"/>
      <c r="M3281"/>
      <c r="O3281"/>
      <c r="P3281"/>
    </row>
    <row r="3282" spans="12:16">
      <c r="L3282"/>
      <c r="M3282"/>
      <c r="O3282"/>
      <c r="P3282"/>
    </row>
    <row r="3283" spans="12:16">
      <c r="L3283"/>
      <c r="M3283"/>
      <c r="O3283"/>
      <c r="P3283"/>
    </row>
    <row r="3284" spans="12:16">
      <c r="L3284"/>
      <c r="M3284"/>
      <c r="O3284"/>
      <c r="P3284"/>
    </row>
    <row r="3285" spans="12:16">
      <c r="L3285"/>
      <c r="M3285"/>
      <c r="O3285"/>
      <c r="P3285"/>
    </row>
    <row r="3286" spans="12:16">
      <c r="L3286"/>
      <c r="M3286"/>
      <c r="O3286"/>
      <c r="P3286"/>
    </row>
    <row r="3287" spans="12:16">
      <c r="L3287"/>
      <c r="M3287"/>
      <c r="O3287"/>
      <c r="P3287"/>
    </row>
    <row r="3288" spans="12:16">
      <c r="L3288"/>
      <c r="M3288"/>
      <c r="O3288"/>
      <c r="P3288"/>
    </row>
    <row r="3289" spans="12:16">
      <c r="L3289"/>
      <c r="M3289"/>
      <c r="O3289"/>
      <c r="P3289"/>
    </row>
    <row r="3290" spans="12:16">
      <c r="L3290"/>
      <c r="M3290"/>
      <c r="O3290"/>
      <c r="P3290"/>
    </row>
    <row r="3291" spans="12:16">
      <c r="L3291"/>
      <c r="M3291"/>
      <c r="O3291"/>
      <c r="P3291"/>
    </row>
    <row r="3292" spans="12:16">
      <c r="L3292"/>
      <c r="M3292"/>
      <c r="O3292"/>
      <c r="P3292"/>
    </row>
    <row r="3293" spans="12:16">
      <c r="L3293"/>
      <c r="M3293"/>
      <c r="O3293"/>
      <c r="P3293"/>
    </row>
    <row r="3294" spans="12:16">
      <c r="L3294"/>
      <c r="M3294"/>
      <c r="O3294"/>
      <c r="P3294"/>
    </row>
    <row r="3295" spans="12:16">
      <c r="L3295"/>
      <c r="M3295"/>
      <c r="O3295"/>
      <c r="P3295"/>
    </row>
    <row r="3296" spans="12:16">
      <c r="L3296"/>
      <c r="M3296"/>
      <c r="O3296"/>
      <c r="P3296"/>
    </row>
    <row r="3297" spans="12:16">
      <c r="L3297"/>
      <c r="M3297"/>
      <c r="O3297"/>
      <c r="P3297"/>
    </row>
    <row r="3298" spans="12:16">
      <c r="L3298"/>
      <c r="M3298"/>
      <c r="O3298"/>
      <c r="P3298"/>
    </row>
    <row r="3299" spans="12:16">
      <c r="L3299"/>
      <c r="M3299"/>
      <c r="O3299"/>
      <c r="P3299"/>
    </row>
    <row r="3300" spans="12:16">
      <c r="L3300"/>
      <c r="M3300"/>
      <c r="O3300"/>
      <c r="P3300"/>
    </row>
    <row r="3301" spans="12:16">
      <c r="L3301"/>
      <c r="M3301"/>
      <c r="O3301"/>
      <c r="P3301"/>
    </row>
    <row r="3302" spans="12:16">
      <c r="L3302"/>
      <c r="M3302"/>
      <c r="O3302"/>
      <c r="P3302"/>
    </row>
    <row r="3303" spans="12:16">
      <c r="L3303"/>
      <c r="M3303"/>
      <c r="O3303"/>
      <c r="P3303"/>
    </row>
    <row r="3304" spans="12:16">
      <c r="L3304"/>
      <c r="M3304"/>
      <c r="O3304"/>
      <c r="P3304"/>
    </row>
    <row r="3305" spans="12:16">
      <c r="L3305"/>
      <c r="M3305"/>
      <c r="O3305"/>
      <c r="P3305"/>
    </row>
    <row r="3306" spans="12:16">
      <c r="L3306"/>
      <c r="M3306"/>
      <c r="O3306"/>
      <c r="P3306"/>
    </row>
    <row r="3307" spans="12:16">
      <c r="L3307"/>
      <c r="M3307"/>
      <c r="O3307"/>
      <c r="P3307"/>
    </row>
    <row r="3308" spans="12:16">
      <c r="L3308"/>
      <c r="M3308"/>
      <c r="O3308"/>
      <c r="P3308"/>
    </row>
    <row r="3309" spans="12:16">
      <c r="L3309"/>
      <c r="M3309"/>
      <c r="O3309"/>
      <c r="P3309"/>
    </row>
    <row r="3310" spans="12:16">
      <c r="L3310"/>
      <c r="M3310"/>
      <c r="O3310"/>
      <c r="P3310"/>
    </row>
    <row r="3311" spans="12:16">
      <c r="L3311"/>
      <c r="M3311"/>
      <c r="O3311"/>
      <c r="P3311"/>
    </row>
    <row r="3312" spans="12:16">
      <c r="L3312"/>
      <c r="M3312"/>
      <c r="O3312"/>
      <c r="P3312"/>
    </row>
    <row r="3313" spans="12:16">
      <c r="L3313"/>
      <c r="M3313"/>
      <c r="O3313"/>
      <c r="P3313"/>
    </row>
    <row r="3314" spans="12:16">
      <c r="L3314"/>
      <c r="M3314"/>
      <c r="O3314"/>
      <c r="P3314"/>
    </row>
    <row r="3315" spans="12:16">
      <c r="L3315"/>
      <c r="M3315"/>
      <c r="O3315"/>
      <c r="P3315"/>
    </row>
    <row r="3316" spans="12:16">
      <c r="L3316"/>
      <c r="M3316"/>
      <c r="O3316"/>
      <c r="P3316"/>
    </row>
    <row r="3317" spans="12:16">
      <c r="L3317"/>
      <c r="M3317"/>
      <c r="O3317"/>
      <c r="P3317"/>
    </row>
    <row r="3318" spans="12:16">
      <c r="L3318"/>
      <c r="M3318"/>
      <c r="O3318"/>
      <c r="P3318"/>
    </row>
    <row r="3319" spans="12:16">
      <c r="L3319"/>
      <c r="M3319"/>
      <c r="O3319"/>
      <c r="P3319"/>
    </row>
    <row r="3320" spans="12:16">
      <c r="L3320"/>
      <c r="M3320"/>
      <c r="O3320"/>
      <c r="P3320"/>
    </row>
    <row r="3321" spans="12:16">
      <c r="L3321"/>
      <c r="M3321"/>
      <c r="O3321"/>
      <c r="P3321"/>
    </row>
    <row r="3322" spans="12:16">
      <c r="L3322"/>
      <c r="M3322"/>
      <c r="O3322"/>
      <c r="P3322"/>
    </row>
    <row r="3323" spans="12:16">
      <c r="L3323"/>
      <c r="M3323"/>
      <c r="O3323"/>
      <c r="P3323"/>
    </row>
    <row r="3324" spans="12:16">
      <c r="L3324"/>
      <c r="M3324"/>
      <c r="O3324"/>
      <c r="P3324"/>
    </row>
    <row r="3325" spans="12:16">
      <c r="L3325"/>
      <c r="M3325"/>
      <c r="O3325"/>
      <c r="P3325"/>
    </row>
    <row r="3326" spans="12:16">
      <c r="L3326"/>
      <c r="M3326"/>
      <c r="O3326"/>
      <c r="P3326"/>
    </row>
    <row r="3327" spans="12:16">
      <c r="L3327"/>
      <c r="M3327"/>
      <c r="O3327"/>
      <c r="P3327"/>
    </row>
    <row r="3328" spans="12:16">
      <c r="L3328"/>
      <c r="M3328"/>
      <c r="O3328"/>
      <c r="P3328"/>
    </row>
    <row r="3329" spans="12:16">
      <c r="L3329"/>
      <c r="M3329"/>
      <c r="O3329"/>
      <c r="P3329"/>
    </row>
    <row r="3330" spans="12:16">
      <c r="L3330"/>
      <c r="M3330"/>
      <c r="O3330"/>
      <c r="P3330"/>
    </row>
    <row r="3331" spans="12:16">
      <c r="L3331"/>
      <c r="M3331"/>
      <c r="O3331"/>
      <c r="P3331"/>
    </row>
    <row r="3332" spans="12:16">
      <c r="L3332"/>
      <c r="M3332"/>
      <c r="O3332"/>
      <c r="P3332"/>
    </row>
    <row r="3333" spans="12:16">
      <c r="L3333"/>
      <c r="M3333"/>
      <c r="O3333"/>
      <c r="P3333"/>
    </row>
    <row r="3334" spans="12:16">
      <c r="L3334"/>
      <c r="M3334"/>
      <c r="O3334"/>
      <c r="P3334"/>
    </row>
    <row r="3335" spans="12:16">
      <c r="L3335"/>
      <c r="M3335"/>
      <c r="O3335"/>
      <c r="P3335"/>
    </row>
    <row r="3336" spans="12:16">
      <c r="L3336"/>
      <c r="M3336"/>
      <c r="O3336"/>
      <c r="P3336"/>
    </row>
    <row r="3337" spans="12:16">
      <c r="L3337"/>
      <c r="M3337"/>
      <c r="O3337"/>
      <c r="P3337"/>
    </row>
    <row r="3338" spans="12:16">
      <c r="L3338"/>
      <c r="M3338"/>
      <c r="O3338"/>
      <c r="P3338"/>
    </row>
    <row r="3339" spans="12:16">
      <c r="L3339"/>
      <c r="M3339"/>
      <c r="O3339"/>
      <c r="P3339"/>
    </row>
    <row r="3340" spans="12:16">
      <c r="L3340"/>
      <c r="M3340"/>
      <c r="O3340"/>
      <c r="P3340"/>
    </row>
    <row r="3341" spans="12:16">
      <c r="L3341"/>
      <c r="M3341"/>
      <c r="O3341"/>
      <c r="P3341"/>
    </row>
    <row r="3342" spans="12:16">
      <c r="L3342"/>
      <c r="M3342"/>
      <c r="O3342"/>
      <c r="P3342"/>
    </row>
    <row r="3343" spans="12:16">
      <c r="L3343"/>
      <c r="M3343"/>
      <c r="O3343"/>
      <c r="P3343"/>
    </row>
    <row r="3344" spans="12:16">
      <c r="L3344"/>
      <c r="M3344"/>
      <c r="O3344"/>
      <c r="P3344"/>
    </row>
    <row r="3345" spans="12:16">
      <c r="L3345"/>
      <c r="M3345"/>
      <c r="O3345"/>
      <c r="P3345"/>
    </row>
    <row r="3346" spans="12:16">
      <c r="L3346"/>
      <c r="M3346"/>
      <c r="O3346"/>
      <c r="P3346"/>
    </row>
    <row r="3347" spans="12:16">
      <c r="L3347"/>
      <c r="M3347"/>
      <c r="O3347"/>
      <c r="P3347"/>
    </row>
    <row r="3348" spans="12:16">
      <c r="L3348"/>
      <c r="M3348"/>
      <c r="O3348"/>
      <c r="P3348"/>
    </row>
    <row r="3349" spans="12:16">
      <c r="L3349"/>
      <c r="M3349"/>
      <c r="O3349"/>
      <c r="P3349"/>
    </row>
    <row r="3350" spans="12:16">
      <c r="L3350"/>
      <c r="M3350"/>
      <c r="O3350"/>
      <c r="P3350"/>
    </row>
    <row r="3351" spans="12:16">
      <c r="L3351"/>
      <c r="M3351"/>
      <c r="O3351"/>
      <c r="P3351"/>
    </row>
    <row r="3352" spans="12:16">
      <c r="L3352"/>
      <c r="M3352"/>
      <c r="O3352"/>
      <c r="P3352"/>
    </row>
    <row r="3353" spans="12:16">
      <c r="L3353"/>
      <c r="M3353"/>
      <c r="O3353"/>
      <c r="P3353"/>
    </row>
    <row r="3354" spans="12:16">
      <c r="L3354"/>
      <c r="M3354"/>
      <c r="O3354"/>
      <c r="P3354"/>
    </row>
    <row r="3355" spans="12:16">
      <c r="L3355"/>
      <c r="M3355"/>
      <c r="O3355"/>
      <c r="P3355"/>
    </row>
    <row r="3356" spans="12:16">
      <c r="L3356"/>
      <c r="M3356"/>
      <c r="O3356"/>
      <c r="P3356"/>
    </row>
    <row r="3357" spans="12:16">
      <c r="L3357"/>
      <c r="M3357"/>
      <c r="O3357"/>
      <c r="P3357"/>
    </row>
    <row r="3358" spans="12:16">
      <c r="L3358"/>
      <c r="M3358"/>
      <c r="O3358"/>
      <c r="P3358"/>
    </row>
    <row r="3359" spans="12:16">
      <c r="L3359"/>
      <c r="M3359"/>
      <c r="O3359"/>
      <c r="P3359"/>
    </row>
    <row r="3360" spans="12:16">
      <c r="L3360"/>
      <c r="M3360"/>
      <c r="O3360"/>
      <c r="P3360"/>
    </row>
    <row r="3361" spans="12:16">
      <c r="L3361"/>
      <c r="M3361"/>
      <c r="O3361"/>
      <c r="P3361"/>
    </row>
    <row r="3362" spans="12:16">
      <c r="L3362"/>
      <c r="M3362"/>
      <c r="O3362"/>
      <c r="P3362"/>
    </row>
    <row r="3363" spans="12:16">
      <c r="L3363"/>
      <c r="M3363"/>
      <c r="O3363"/>
      <c r="P3363"/>
    </row>
    <row r="3364" spans="12:16">
      <c r="L3364"/>
      <c r="M3364"/>
      <c r="O3364"/>
      <c r="P3364"/>
    </row>
    <row r="3365" spans="12:16">
      <c r="L3365"/>
      <c r="M3365"/>
      <c r="O3365"/>
      <c r="P3365"/>
    </row>
    <row r="3366" spans="12:16">
      <c r="L3366"/>
      <c r="M3366"/>
      <c r="O3366"/>
      <c r="P3366"/>
    </row>
    <row r="3367" spans="12:16">
      <c r="L3367"/>
      <c r="M3367"/>
      <c r="O3367"/>
      <c r="P3367"/>
    </row>
    <row r="3368" spans="12:16">
      <c r="L3368"/>
      <c r="M3368"/>
      <c r="O3368"/>
      <c r="P3368"/>
    </row>
    <row r="3369" spans="12:16">
      <c r="L3369"/>
      <c r="M3369"/>
      <c r="O3369"/>
      <c r="P3369"/>
    </row>
    <row r="3370" spans="12:16">
      <c r="L3370"/>
      <c r="M3370"/>
      <c r="O3370"/>
      <c r="P3370"/>
    </row>
    <row r="3371" spans="12:16">
      <c r="L3371"/>
      <c r="M3371"/>
      <c r="O3371"/>
      <c r="P3371"/>
    </row>
    <row r="3372" spans="12:16">
      <c r="L3372"/>
      <c r="M3372"/>
      <c r="O3372"/>
      <c r="P3372"/>
    </row>
    <row r="3373" spans="12:16">
      <c r="L3373"/>
      <c r="M3373"/>
      <c r="O3373"/>
      <c r="P3373"/>
    </row>
    <row r="3374" spans="12:16">
      <c r="L3374"/>
      <c r="M3374"/>
      <c r="O3374"/>
      <c r="P3374"/>
    </row>
    <row r="3375" spans="12:16">
      <c r="L3375"/>
      <c r="M3375"/>
      <c r="O3375"/>
      <c r="P3375"/>
    </row>
    <row r="3376" spans="12:16">
      <c r="L3376"/>
      <c r="M3376"/>
      <c r="O3376"/>
      <c r="P3376"/>
    </row>
    <row r="3377" spans="12:16">
      <c r="L3377"/>
      <c r="M3377"/>
      <c r="O3377"/>
      <c r="P3377"/>
    </row>
    <row r="3378" spans="12:16">
      <c r="L3378"/>
      <c r="M3378"/>
      <c r="O3378"/>
      <c r="P3378"/>
    </row>
    <row r="3379" spans="12:16">
      <c r="L3379"/>
      <c r="M3379"/>
      <c r="O3379"/>
      <c r="P3379"/>
    </row>
    <row r="3380" spans="12:16">
      <c r="L3380"/>
      <c r="M3380"/>
      <c r="O3380"/>
      <c r="P3380"/>
    </row>
    <row r="3381" spans="12:16">
      <c r="L3381"/>
      <c r="M3381"/>
      <c r="O3381"/>
      <c r="P3381"/>
    </row>
    <row r="3382" spans="12:16">
      <c r="L3382"/>
      <c r="M3382"/>
      <c r="O3382"/>
      <c r="P3382"/>
    </row>
    <row r="3383" spans="12:16">
      <c r="L3383"/>
      <c r="M3383"/>
      <c r="O3383"/>
      <c r="P3383"/>
    </row>
    <row r="3384" spans="12:16">
      <c r="L3384"/>
      <c r="M3384"/>
      <c r="O3384"/>
      <c r="P3384"/>
    </row>
    <row r="3385" spans="12:16">
      <c r="L3385"/>
      <c r="M3385"/>
      <c r="O3385"/>
      <c r="P3385"/>
    </row>
    <row r="3386" spans="12:16">
      <c r="L3386"/>
      <c r="M3386"/>
      <c r="O3386"/>
      <c r="P3386"/>
    </row>
    <row r="3387" spans="12:16">
      <c r="L3387"/>
      <c r="M3387"/>
      <c r="O3387"/>
      <c r="P3387"/>
    </row>
    <row r="3388" spans="12:16">
      <c r="L3388"/>
      <c r="M3388"/>
      <c r="O3388"/>
      <c r="P3388"/>
    </row>
    <row r="3389" spans="12:16">
      <c r="L3389"/>
      <c r="M3389"/>
      <c r="O3389"/>
      <c r="P3389"/>
    </row>
    <row r="3390" spans="12:16">
      <c r="L3390"/>
      <c r="M3390"/>
      <c r="O3390"/>
      <c r="P3390"/>
    </row>
    <row r="3391" spans="12:16">
      <c r="L3391"/>
      <c r="M3391"/>
      <c r="O3391"/>
      <c r="P3391"/>
    </row>
    <row r="3392" spans="12:16">
      <c r="L3392"/>
      <c r="M3392"/>
      <c r="O3392"/>
      <c r="P3392"/>
    </row>
    <row r="3393" spans="12:16">
      <c r="L3393"/>
      <c r="M3393"/>
      <c r="O3393"/>
      <c r="P3393"/>
    </row>
    <row r="3394" spans="12:16">
      <c r="L3394"/>
      <c r="M3394"/>
      <c r="O3394"/>
      <c r="P3394"/>
    </row>
    <row r="3395" spans="12:16">
      <c r="L3395"/>
      <c r="M3395"/>
      <c r="O3395"/>
      <c r="P3395"/>
    </row>
    <row r="3396" spans="12:16">
      <c r="L3396"/>
      <c r="M3396"/>
      <c r="O3396"/>
      <c r="P3396"/>
    </row>
    <row r="3397" spans="12:16">
      <c r="L3397"/>
      <c r="M3397"/>
      <c r="O3397"/>
      <c r="P3397"/>
    </row>
    <row r="3398" spans="12:16">
      <c r="L3398"/>
      <c r="M3398"/>
      <c r="O3398"/>
      <c r="P3398"/>
    </row>
    <row r="3399" spans="12:16">
      <c r="L3399"/>
      <c r="M3399"/>
      <c r="O3399"/>
      <c r="P3399"/>
    </row>
    <row r="3400" spans="12:16">
      <c r="L3400"/>
      <c r="M3400"/>
      <c r="O3400"/>
      <c r="P3400"/>
    </row>
    <row r="3401" spans="12:16">
      <c r="L3401"/>
      <c r="M3401"/>
      <c r="O3401"/>
      <c r="P3401"/>
    </row>
    <row r="3402" spans="12:16">
      <c r="L3402"/>
      <c r="M3402"/>
      <c r="O3402"/>
      <c r="P3402"/>
    </row>
    <row r="3403" spans="12:16">
      <c r="L3403"/>
      <c r="M3403"/>
      <c r="O3403"/>
      <c r="P3403"/>
    </row>
    <row r="3404" spans="12:16">
      <c r="L3404"/>
      <c r="M3404"/>
      <c r="O3404"/>
      <c r="P3404"/>
    </row>
    <row r="3405" spans="12:16">
      <c r="L3405"/>
      <c r="M3405"/>
      <c r="O3405"/>
      <c r="P3405"/>
    </row>
    <row r="3406" spans="12:16">
      <c r="L3406"/>
      <c r="M3406"/>
      <c r="O3406"/>
      <c r="P3406"/>
    </row>
    <row r="3407" spans="12:16">
      <c r="L3407"/>
      <c r="M3407"/>
      <c r="O3407"/>
      <c r="P3407"/>
    </row>
    <row r="3408" spans="12:16">
      <c r="L3408"/>
      <c r="M3408"/>
      <c r="O3408"/>
      <c r="P3408"/>
    </row>
    <row r="3409" spans="12:16">
      <c r="L3409"/>
      <c r="M3409"/>
      <c r="O3409"/>
      <c r="P3409"/>
    </row>
    <row r="3410" spans="12:16">
      <c r="L3410"/>
      <c r="M3410"/>
      <c r="O3410"/>
      <c r="P3410"/>
    </row>
    <row r="3411" spans="12:16">
      <c r="L3411"/>
      <c r="M3411"/>
      <c r="O3411"/>
      <c r="P3411"/>
    </row>
    <row r="3412" spans="12:16">
      <c r="L3412"/>
      <c r="M3412"/>
      <c r="O3412"/>
      <c r="P3412"/>
    </row>
    <row r="3413" spans="12:16">
      <c r="L3413"/>
      <c r="M3413"/>
      <c r="O3413"/>
      <c r="P3413"/>
    </row>
    <row r="3414" spans="12:16">
      <c r="L3414"/>
      <c r="M3414"/>
      <c r="O3414"/>
      <c r="P3414"/>
    </row>
    <row r="3415" spans="12:16">
      <c r="L3415"/>
      <c r="M3415"/>
      <c r="O3415"/>
      <c r="P3415"/>
    </row>
    <row r="3416" spans="12:16">
      <c r="L3416"/>
      <c r="M3416"/>
      <c r="O3416"/>
      <c r="P3416"/>
    </row>
    <row r="3417" spans="12:16">
      <c r="L3417"/>
      <c r="M3417"/>
      <c r="O3417"/>
      <c r="P3417"/>
    </row>
    <row r="3418" spans="12:16">
      <c r="L3418"/>
      <c r="M3418"/>
      <c r="O3418"/>
      <c r="P3418"/>
    </row>
    <row r="3419" spans="12:16">
      <c r="L3419"/>
      <c r="M3419"/>
      <c r="O3419"/>
      <c r="P3419"/>
    </row>
    <row r="3420" spans="12:16">
      <c r="L3420"/>
      <c r="M3420"/>
      <c r="O3420"/>
      <c r="P3420"/>
    </row>
    <row r="3421" spans="12:16">
      <c r="L3421"/>
      <c r="M3421"/>
      <c r="O3421"/>
      <c r="P3421"/>
    </row>
    <row r="3422" spans="12:16">
      <c r="L3422"/>
      <c r="M3422"/>
      <c r="O3422"/>
      <c r="P3422"/>
    </row>
    <row r="3423" spans="12:16">
      <c r="L3423"/>
      <c r="M3423"/>
      <c r="O3423"/>
      <c r="P3423"/>
    </row>
    <row r="3424" spans="12:16">
      <c r="L3424"/>
      <c r="M3424"/>
      <c r="O3424"/>
      <c r="P3424"/>
    </row>
    <row r="3425" spans="12:16">
      <c r="L3425"/>
      <c r="M3425"/>
      <c r="O3425"/>
      <c r="P3425"/>
    </row>
    <row r="3426" spans="12:16">
      <c r="L3426"/>
      <c r="M3426"/>
      <c r="O3426"/>
      <c r="P3426"/>
    </row>
    <row r="3427" spans="12:16">
      <c r="L3427"/>
      <c r="M3427"/>
      <c r="O3427"/>
      <c r="P3427"/>
    </row>
    <row r="3428" spans="12:16">
      <c r="L3428"/>
      <c r="M3428"/>
      <c r="O3428"/>
      <c r="P3428"/>
    </row>
    <row r="3429" spans="12:16">
      <c r="L3429"/>
      <c r="M3429"/>
      <c r="O3429"/>
      <c r="P3429"/>
    </row>
    <row r="3430" spans="12:16">
      <c r="L3430"/>
      <c r="M3430"/>
      <c r="O3430"/>
      <c r="P3430"/>
    </row>
    <row r="3431" spans="12:16">
      <c r="L3431"/>
      <c r="M3431"/>
      <c r="O3431"/>
      <c r="P3431"/>
    </row>
    <row r="3432" spans="12:16">
      <c r="L3432"/>
      <c r="M3432"/>
      <c r="O3432"/>
      <c r="P3432"/>
    </row>
    <row r="3433" spans="12:16">
      <c r="L3433"/>
      <c r="M3433"/>
      <c r="O3433"/>
      <c r="P3433"/>
    </row>
    <row r="3434" spans="12:16">
      <c r="L3434"/>
      <c r="M3434"/>
      <c r="O3434"/>
      <c r="P3434"/>
    </row>
    <row r="3435" spans="12:16">
      <c r="L3435"/>
      <c r="M3435"/>
      <c r="O3435"/>
      <c r="P3435"/>
    </row>
    <row r="3436" spans="12:16">
      <c r="L3436"/>
      <c r="M3436"/>
      <c r="O3436"/>
      <c r="P3436"/>
    </row>
    <row r="3437" spans="12:16">
      <c r="L3437"/>
      <c r="M3437"/>
      <c r="O3437"/>
      <c r="P3437"/>
    </row>
    <row r="3438" spans="12:16">
      <c r="L3438"/>
      <c r="M3438"/>
      <c r="O3438"/>
      <c r="P3438"/>
    </row>
    <row r="3439" spans="12:16">
      <c r="L3439"/>
      <c r="M3439"/>
      <c r="O3439"/>
      <c r="P3439"/>
    </row>
    <row r="3440" spans="12:16">
      <c r="L3440"/>
      <c r="M3440"/>
      <c r="O3440"/>
      <c r="P3440"/>
    </row>
    <row r="3441" spans="12:16">
      <c r="L3441"/>
      <c r="M3441"/>
      <c r="O3441"/>
      <c r="P3441"/>
    </row>
    <row r="3442" spans="12:16">
      <c r="L3442"/>
      <c r="M3442"/>
      <c r="O3442"/>
      <c r="P3442"/>
    </row>
    <row r="3443" spans="12:16">
      <c r="L3443"/>
      <c r="M3443"/>
      <c r="O3443"/>
      <c r="P3443"/>
    </row>
    <row r="3444" spans="12:16">
      <c r="L3444"/>
      <c r="M3444"/>
      <c r="O3444"/>
      <c r="P3444"/>
    </row>
    <row r="3445" spans="12:16">
      <c r="L3445"/>
      <c r="M3445"/>
      <c r="O3445"/>
      <c r="P3445"/>
    </row>
    <row r="3446" spans="12:16">
      <c r="L3446"/>
      <c r="M3446"/>
      <c r="O3446"/>
      <c r="P3446"/>
    </row>
    <row r="3447" spans="12:16">
      <c r="L3447"/>
      <c r="M3447"/>
      <c r="O3447"/>
      <c r="P3447"/>
    </row>
    <row r="3448" spans="12:16">
      <c r="L3448"/>
      <c r="M3448"/>
      <c r="O3448"/>
      <c r="P3448"/>
    </row>
    <row r="3449" spans="12:16">
      <c r="L3449"/>
      <c r="M3449"/>
      <c r="O3449"/>
      <c r="P3449"/>
    </row>
    <row r="3450" spans="12:16">
      <c r="L3450"/>
      <c r="M3450"/>
      <c r="O3450"/>
      <c r="P3450"/>
    </row>
    <row r="3451" spans="12:16">
      <c r="L3451"/>
      <c r="M3451"/>
      <c r="O3451"/>
      <c r="P3451"/>
    </row>
    <row r="3452" spans="12:16">
      <c r="L3452"/>
      <c r="M3452"/>
      <c r="O3452"/>
      <c r="P3452"/>
    </row>
    <row r="3453" spans="12:16">
      <c r="L3453"/>
      <c r="M3453"/>
      <c r="O3453"/>
      <c r="P3453"/>
    </row>
    <row r="3454" spans="12:16">
      <c r="L3454"/>
      <c r="M3454"/>
      <c r="O3454"/>
      <c r="P3454"/>
    </row>
    <row r="3455" spans="12:16">
      <c r="L3455"/>
      <c r="M3455"/>
      <c r="O3455"/>
      <c r="P3455"/>
    </row>
    <row r="3456" spans="12:16">
      <c r="L3456"/>
      <c r="M3456"/>
      <c r="O3456"/>
      <c r="P3456"/>
    </row>
    <row r="3457" spans="12:16">
      <c r="L3457"/>
      <c r="M3457"/>
      <c r="O3457"/>
      <c r="P3457"/>
    </row>
    <row r="3458" spans="12:16">
      <c r="L3458"/>
      <c r="M3458"/>
      <c r="O3458"/>
      <c r="P3458"/>
    </row>
    <row r="3459" spans="12:16">
      <c r="L3459"/>
      <c r="M3459"/>
      <c r="O3459"/>
      <c r="P3459"/>
    </row>
    <row r="3460" spans="12:16">
      <c r="L3460"/>
      <c r="M3460"/>
      <c r="O3460"/>
      <c r="P3460"/>
    </row>
    <row r="3461" spans="12:16">
      <c r="L3461"/>
      <c r="M3461"/>
      <c r="O3461"/>
      <c r="P3461"/>
    </row>
    <row r="3462" spans="12:16">
      <c r="L3462"/>
      <c r="M3462"/>
      <c r="O3462"/>
      <c r="P3462"/>
    </row>
    <row r="3463" spans="12:16">
      <c r="L3463"/>
      <c r="M3463"/>
      <c r="O3463"/>
      <c r="P3463"/>
    </row>
    <row r="3464" spans="12:16">
      <c r="L3464"/>
      <c r="M3464"/>
      <c r="O3464"/>
      <c r="P3464"/>
    </row>
    <row r="3465" spans="12:16">
      <c r="L3465"/>
      <c r="M3465"/>
      <c r="O3465"/>
      <c r="P3465"/>
    </row>
    <row r="3466" spans="12:16">
      <c r="L3466"/>
      <c r="M3466"/>
      <c r="O3466"/>
      <c r="P3466"/>
    </row>
    <row r="3467" spans="12:16">
      <c r="L3467"/>
      <c r="M3467"/>
      <c r="O3467"/>
      <c r="P3467"/>
    </row>
    <row r="3468" spans="12:16">
      <c r="L3468"/>
      <c r="M3468"/>
      <c r="O3468"/>
      <c r="P3468"/>
    </row>
    <row r="3469" spans="12:16">
      <c r="L3469"/>
      <c r="M3469"/>
      <c r="O3469"/>
      <c r="P3469"/>
    </row>
    <row r="3470" spans="12:16">
      <c r="L3470"/>
      <c r="M3470"/>
      <c r="O3470"/>
      <c r="P3470"/>
    </row>
    <row r="3471" spans="12:16">
      <c r="L3471"/>
      <c r="M3471"/>
      <c r="O3471"/>
      <c r="P3471"/>
    </row>
    <row r="3472" spans="12:16">
      <c r="L3472"/>
      <c r="M3472"/>
      <c r="O3472"/>
      <c r="P3472"/>
    </row>
    <row r="3473" spans="12:16">
      <c r="L3473"/>
      <c r="M3473"/>
      <c r="O3473"/>
      <c r="P3473"/>
    </row>
    <row r="3474" spans="12:16">
      <c r="L3474"/>
      <c r="M3474"/>
      <c r="O3474"/>
      <c r="P3474"/>
    </row>
    <row r="3475" spans="12:16">
      <c r="L3475"/>
      <c r="M3475"/>
      <c r="O3475"/>
      <c r="P3475"/>
    </row>
    <row r="3476" spans="12:16">
      <c r="L3476"/>
      <c r="M3476"/>
      <c r="O3476"/>
      <c r="P3476"/>
    </row>
    <row r="3477" spans="12:16">
      <c r="L3477"/>
      <c r="M3477"/>
      <c r="O3477"/>
      <c r="P3477"/>
    </row>
    <row r="3478" spans="12:16">
      <c r="L3478"/>
      <c r="M3478"/>
      <c r="O3478"/>
      <c r="P3478"/>
    </row>
    <row r="3479" spans="12:16">
      <c r="L3479"/>
      <c r="M3479"/>
      <c r="O3479"/>
      <c r="P3479"/>
    </row>
    <row r="3480" spans="12:16">
      <c r="L3480"/>
      <c r="M3480"/>
      <c r="O3480"/>
      <c r="P3480"/>
    </row>
    <row r="3481" spans="12:16">
      <c r="L3481"/>
      <c r="M3481"/>
      <c r="O3481"/>
      <c r="P3481"/>
    </row>
    <row r="3482" spans="12:16">
      <c r="L3482"/>
      <c r="M3482"/>
      <c r="O3482"/>
      <c r="P3482"/>
    </row>
    <row r="3483" spans="12:16">
      <c r="L3483"/>
      <c r="M3483"/>
      <c r="O3483"/>
      <c r="P3483"/>
    </row>
    <row r="3484" spans="12:16">
      <c r="L3484"/>
      <c r="M3484"/>
      <c r="O3484"/>
      <c r="P3484"/>
    </row>
    <row r="3485" spans="12:16">
      <c r="L3485"/>
      <c r="M3485"/>
      <c r="O3485"/>
      <c r="P3485"/>
    </row>
    <row r="3486" spans="12:16">
      <c r="L3486"/>
      <c r="M3486"/>
      <c r="O3486"/>
      <c r="P3486"/>
    </row>
    <row r="3487" spans="12:16">
      <c r="L3487"/>
      <c r="M3487"/>
      <c r="O3487"/>
      <c r="P3487"/>
    </row>
    <row r="3488" spans="12:16">
      <c r="L3488"/>
      <c r="M3488"/>
      <c r="O3488"/>
      <c r="P3488"/>
    </row>
    <row r="3489" spans="12:16">
      <c r="L3489"/>
      <c r="M3489"/>
      <c r="O3489"/>
      <c r="P3489"/>
    </row>
    <row r="3490" spans="12:16">
      <c r="L3490"/>
      <c r="M3490"/>
      <c r="O3490"/>
      <c r="P3490"/>
    </row>
    <row r="3491" spans="12:16">
      <c r="L3491"/>
      <c r="M3491"/>
      <c r="O3491"/>
      <c r="P3491"/>
    </row>
    <row r="3492" spans="12:16">
      <c r="L3492"/>
      <c r="M3492"/>
      <c r="O3492"/>
      <c r="P3492"/>
    </row>
    <row r="3493" spans="12:16">
      <c r="L3493"/>
      <c r="M3493"/>
      <c r="O3493"/>
      <c r="P3493"/>
    </row>
    <row r="3494" spans="12:16">
      <c r="L3494"/>
      <c r="M3494"/>
      <c r="O3494"/>
      <c r="P3494"/>
    </row>
    <row r="3495" spans="12:16">
      <c r="L3495"/>
      <c r="M3495"/>
      <c r="O3495"/>
      <c r="P3495"/>
    </row>
    <row r="3496" spans="12:16">
      <c r="L3496"/>
      <c r="M3496"/>
      <c r="O3496"/>
      <c r="P3496"/>
    </row>
    <row r="3497" spans="12:16">
      <c r="L3497"/>
      <c r="M3497"/>
      <c r="O3497"/>
      <c r="P3497"/>
    </row>
    <row r="3498" spans="12:16">
      <c r="L3498"/>
      <c r="M3498"/>
      <c r="O3498"/>
      <c r="P3498"/>
    </row>
    <row r="3499" spans="12:16">
      <c r="L3499"/>
      <c r="M3499"/>
      <c r="O3499"/>
      <c r="P3499"/>
    </row>
    <row r="3500" spans="12:16">
      <c r="L3500"/>
      <c r="M3500"/>
      <c r="O3500"/>
      <c r="P3500"/>
    </row>
    <row r="3501" spans="12:16">
      <c r="L3501"/>
      <c r="M3501"/>
      <c r="O3501"/>
      <c r="P3501"/>
    </row>
    <row r="3502" spans="12:16">
      <c r="L3502"/>
      <c r="M3502"/>
      <c r="O3502"/>
      <c r="P3502"/>
    </row>
    <row r="3503" spans="12:16">
      <c r="L3503"/>
      <c r="M3503"/>
      <c r="O3503"/>
      <c r="P3503"/>
    </row>
    <row r="3504" spans="12:16">
      <c r="L3504"/>
      <c r="M3504"/>
      <c r="O3504"/>
      <c r="P3504"/>
    </row>
    <row r="3505" spans="12:16">
      <c r="L3505"/>
      <c r="M3505"/>
      <c r="O3505"/>
      <c r="P3505"/>
    </row>
    <row r="3506" spans="12:16">
      <c r="L3506"/>
      <c r="M3506"/>
      <c r="O3506"/>
      <c r="P3506"/>
    </row>
    <row r="3507" spans="12:16">
      <c r="L3507"/>
      <c r="M3507"/>
      <c r="O3507"/>
      <c r="P3507"/>
    </row>
    <row r="3508" spans="12:16">
      <c r="L3508"/>
      <c r="M3508"/>
      <c r="O3508"/>
      <c r="P3508"/>
    </row>
    <row r="3509" spans="12:16">
      <c r="L3509"/>
      <c r="M3509"/>
      <c r="O3509"/>
      <c r="P3509"/>
    </row>
    <row r="3510" spans="12:16">
      <c r="L3510"/>
      <c r="M3510"/>
      <c r="O3510"/>
      <c r="P3510"/>
    </row>
    <row r="3511" spans="12:16">
      <c r="L3511"/>
      <c r="M3511"/>
      <c r="O3511"/>
      <c r="P3511"/>
    </row>
    <row r="3512" spans="12:16">
      <c r="L3512"/>
      <c r="M3512"/>
      <c r="O3512"/>
      <c r="P3512"/>
    </row>
    <row r="3513" spans="12:16">
      <c r="L3513"/>
      <c r="M3513"/>
      <c r="O3513"/>
      <c r="P3513"/>
    </row>
    <row r="3514" spans="12:16">
      <c r="L3514"/>
      <c r="M3514"/>
      <c r="O3514"/>
      <c r="P3514"/>
    </row>
    <row r="3515" spans="12:16">
      <c r="L3515"/>
      <c r="M3515"/>
      <c r="O3515"/>
      <c r="P3515"/>
    </row>
    <row r="3516" spans="12:16">
      <c r="L3516"/>
      <c r="M3516"/>
      <c r="O3516"/>
      <c r="P3516"/>
    </row>
    <row r="3517" spans="12:16">
      <c r="L3517"/>
      <c r="M3517"/>
      <c r="O3517"/>
      <c r="P3517"/>
    </row>
    <row r="3518" spans="12:16">
      <c r="L3518"/>
      <c r="M3518"/>
      <c r="O3518"/>
      <c r="P3518"/>
    </row>
    <row r="3519" spans="12:16">
      <c r="L3519"/>
      <c r="M3519"/>
      <c r="O3519"/>
      <c r="P3519"/>
    </row>
    <row r="3520" spans="12:16">
      <c r="L3520"/>
      <c r="M3520"/>
      <c r="O3520"/>
      <c r="P3520"/>
    </row>
    <row r="3521" spans="12:16">
      <c r="L3521"/>
      <c r="M3521"/>
      <c r="O3521"/>
      <c r="P3521"/>
    </row>
    <row r="3522" spans="12:16">
      <c r="L3522"/>
      <c r="M3522"/>
      <c r="O3522"/>
      <c r="P3522"/>
    </row>
    <row r="3523" spans="12:16">
      <c r="L3523"/>
      <c r="M3523"/>
      <c r="O3523"/>
      <c r="P3523"/>
    </row>
    <row r="3524" spans="12:16">
      <c r="L3524"/>
      <c r="M3524"/>
      <c r="O3524"/>
      <c r="P3524"/>
    </row>
    <row r="3525" spans="12:16">
      <c r="L3525"/>
      <c r="M3525"/>
      <c r="O3525"/>
      <c r="P3525"/>
    </row>
    <row r="3526" spans="12:16">
      <c r="L3526"/>
      <c r="M3526"/>
      <c r="O3526"/>
      <c r="P3526"/>
    </row>
    <row r="3527" spans="12:16">
      <c r="L3527"/>
      <c r="M3527"/>
      <c r="O3527"/>
      <c r="P3527"/>
    </row>
    <row r="3528" spans="12:16">
      <c r="L3528"/>
      <c r="M3528"/>
      <c r="O3528"/>
      <c r="P3528"/>
    </row>
    <row r="3529" spans="12:16">
      <c r="L3529"/>
      <c r="M3529"/>
      <c r="O3529"/>
      <c r="P3529"/>
    </row>
    <row r="3530" spans="12:16">
      <c r="L3530"/>
      <c r="M3530"/>
      <c r="O3530"/>
      <c r="P3530"/>
    </row>
    <row r="3531" spans="12:16">
      <c r="L3531"/>
      <c r="M3531"/>
      <c r="O3531"/>
      <c r="P3531"/>
    </row>
    <row r="3532" spans="12:16">
      <c r="L3532"/>
      <c r="M3532"/>
      <c r="O3532"/>
      <c r="P3532"/>
    </row>
    <row r="3533" spans="12:16">
      <c r="L3533"/>
      <c r="M3533"/>
      <c r="O3533"/>
      <c r="P3533"/>
    </row>
    <row r="3534" spans="12:16">
      <c r="L3534"/>
      <c r="M3534"/>
      <c r="O3534"/>
      <c r="P3534"/>
    </row>
    <row r="3535" spans="12:16">
      <c r="L3535"/>
      <c r="M3535"/>
      <c r="O3535"/>
      <c r="P3535"/>
    </row>
    <row r="3536" spans="12:16">
      <c r="L3536"/>
      <c r="M3536"/>
      <c r="O3536"/>
      <c r="P3536"/>
    </row>
    <row r="3537" spans="12:16">
      <c r="L3537"/>
      <c r="M3537"/>
      <c r="O3537"/>
      <c r="P3537"/>
    </row>
    <row r="3538" spans="12:16">
      <c r="L3538"/>
      <c r="M3538"/>
      <c r="O3538"/>
      <c r="P3538"/>
    </row>
    <row r="3539" spans="12:16">
      <c r="L3539"/>
      <c r="M3539"/>
      <c r="O3539"/>
      <c r="P3539"/>
    </row>
    <row r="3540" spans="12:16">
      <c r="L3540"/>
      <c r="M3540"/>
      <c r="O3540"/>
      <c r="P3540"/>
    </row>
    <row r="3541" spans="12:16">
      <c r="L3541"/>
      <c r="M3541"/>
      <c r="O3541"/>
      <c r="P3541"/>
    </row>
    <row r="3542" spans="12:16">
      <c r="L3542"/>
      <c r="M3542"/>
      <c r="O3542"/>
      <c r="P3542"/>
    </row>
    <row r="3543" spans="12:16">
      <c r="L3543"/>
      <c r="M3543"/>
      <c r="O3543"/>
      <c r="P3543"/>
    </row>
    <row r="3544" spans="12:16">
      <c r="L3544"/>
      <c r="M3544"/>
      <c r="O3544"/>
      <c r="P3544"/>
    </row>
    <row r="3545" spans="12:16">
      <c r="L3545"/>
      <c r="M3545"/>
      <c r="O3545"/>
      <c r="P3545"/>
    </row>
    <row r="3546" spans="12:16">
      <c r="L3546"/>
      <c r="M3546"/>
      <c r="O3546"/>
      <c r="P3546"/>
    </row>
    <row r="3547" spans="12:16">
      <c r="L3547"/>
      <c r="M3547"/>
      <c r="O3547"/>
      <c r="P3547"/>
    </row>
    <row r="3548" spans="12:16">
      <c r="L3548"/>
      <c r="M3548"/>
      <c r="O3548"/>
      <c r="P3548"/>
    </row>
    <row r="3549" spans="12:16">
      <c r="L3549"/>
      <c r="M3549"/>
      <c r="O3549"/>
      <c r="P3549"/>
    </row>
    <row r="3550" spans="12:16">
      <c r="L3550"/>
      <c r="M3550"/>
      <c r="O3550"/>
      <c r="P3550"/>
    </row>
    <row r="3551" spans="12:16">
      <c r="L3551"/>
      <c r="M3551"/>
      <c r="O3551"/>
      <c r="P3551"/>
    </row>
    <row r="3552" spans="12:16">
      <c r="L3552"/>
      <c r="M3552"/>
      <c r="O3552"/>
      <c r="P3552"/>
    </row>
    <row r="3553" spans="12:16">
      <c r="L3553"/>
      <c r="M3553"/>
      <c r="O3553"/>
      <c r="P3553"/>
    </row>
    <row r="3554" spans="12:16">
      <c r="L3554"/>
      <c r="M3554"/>
      <c r="O3554"/>
      <c r="P3554"/>
    </row>
    <row r="3555" spans="12:16">
      <c r="L3555"/>
      <c r="M3555"/>
      <c r="O3555"/>
      <c r="P3555"/>
    </row>
    <row r="3556" spans="12:16">
      <c r="L3556"/>
      <c r="M3556"/>
      <c r="O3556"/>
      <c r="P3556"/>
    </row>
    <row r="3557" spans="12:16">
      <c r="L3557"/>
      <c r="M3557"/>
      <c r="O3557"/>
      <c r="P3557"/>
    </row>
    <row r="3558" spans="12:16">
      <c r="L3558"/>
      <c r="M3558"/>
      <c r="O3558"/>
      <c r="P3558"/>
    </row>
    <row r="3559" spans="12:16">
      <c r="L3559"/>
      <c r="M3559"/>
      <c r="O3559"/>
      <c r="P3559"/>
    </row>
    <row r="3560" spans="12:16">
      <c r="L3560"/>
      <c r="M3560"/>
      <c r="O3560"/>
      <c r="P3560"/>
    </row>
    <row r="3561" spans="12:16">
      <c r="L3561"/>
      <c r="M3561"/>
      <c r="O3561"/>
      <c r="P3561"/>
    </row>
    <row r="3562" spans="12:16">
      <c r="L3562"/>
      <c r="M3562"/>
      <c r="O3562"/>
      <c r="P3562"/>
    </row>
    <row r="3563" spans="12:16">
      <c r="L3563"/>
      <c r="M3563"/>
      <c r="O3563"/>
      <c r="P3563"/>
    </row>
    <row r="3564" spans="12:16">
      <c r="L3564"/>
      <c r="M3564"/>
      <c r="O3564"/>
      <c r="P3564"/>
    </row>
    <row r="3565" spans="12:16">
      <c r="L3565"/>
      <c r="M3565"/>
      <c r="O3565"/>
      <c r="P3565"/>
    </row>
    <row r="3566" spans="12:16">
      <c r="L3566"/>
      <c r="M3566"/>
      <c r="O3566"/>
      <c r="P3566"/>
    </row>
    <row r="3567" spans="12:16">
      <c r="L3567"/>
      <c r="M3567"/>
      <c r="O3567"/>
      <c r="P3567"/>
    </row>
    <row r="3568" spans="12:16">
      <c r="L3568"/>
      <c r="M3568"/>
      <c r="O3568"/>
      <c r="P3568"/>
    </row>
    <row r="3569" spans="12:16">
      <c r="L3569"/>
      <c r="M3569"/>
      <c r="O3569"/>
      <c r="P3569"/>
    </row>
    <row r="3570" spans="12:16">
      <c r="L3570"/>
      <c r="M3570"/>
      <c r="O3570"/>
      <c r="P3570"/>
    </row>
    <row r="3571" spans="12:16">
      <c r="L3571"/>
      <c r="M3571"/>
      <c r="O3571"/>
      <c r="P3571"/>
    </row>
    <row r="3572" spans="12:16">
      <c r="L3572"/>
      <c r="M3572"/>
      <c r="O3572"/>
      <c r="P3572"/>
    </row>
    <row r="3573" spans="12:16">
      <c r="L3573"/>
      <c r="M3573"/>
      <c r="O3573"/>
      <c r="P3573"/>
    </row>
    <row r="3574" spans="12:16">
      <c r="L3574"/>
      <c r="M3574"/>
      <c r="O3574"/>
      <c r="P3574"/>
    </row>
    <row r="3575" spans="12:16">
      <c r="L3575"/>
      <c r="M3575"/>
      <c r="O3575"/>
      <c r="P3575"/>
    </row>
    <row r="3576" spans="12:16">
      <c r="L3576"/>
      <c r="M3576"/>
      <c r="O3576"/>
      <c r="P3576"/>
    </row>
    <row r="3577" spans="12:16">
      <c r="L3577"/>
      <c r="M3577"/>
      <c r="O3577"/>
      <c r="P3577"/>
    </row>
    <row r="3578" spans="12:16">
      <c r="L3578"/>
      <c r="M3578"/>
      <c r="O3578"/>
      <c r="P3578"/>
    </row>
    <row r="3579" spans="12:16">
      <c r="L3579"/>
      <c r="M3579"/>
      <c r="O3579"/>
      <c r="P3579"/>
    </row>
    <row r="3580" spans="12:16">
      <c r="L3580"/>
      <c r="M3580"/>
      <c r="O3580"/>
      <c r="P3580"/>
    </row>
    <row r="3581" spans="12:16">
      <c r="L3581"/>
      <c r="M3581"/>
      <c r="O3581"/>
      <c r="P3581"/>
    </row>
    <row r="3582" spans="12:16">
      <c r="L3582"/>
      <c r="M3582"/>
      <c r="O3582"/>
      <c r="P3582"/>
    </row>
    <row r="3583" spans="12:16">
      <c r="L3583"/>
      <c r="M3583"/>
      <c r="O3583"/>
      <c r="P3583"/>
    </row>
    <row r="3584" spans="12:16">
      <c r="L3584"/>
      <c r="M3584"/>
      <c r="O3584"/>
      <c r="P3584"/>
    </row>
    <row r="3585" spans="12:16">
      <c r="L3585"/>
      <c r="M3585"/>
      <c r="O3585"/>
      <c r="P3585"/>
    </row>
    <row r="3586" spans="12:16">
      <c r="L3586"/>
      <c r="M3586"/>
      <c r="O3586"/>
      <c r="P3586"/>
    </row>
    <row r="3587" spans="12:16">
      <c r="L3587"/>
      <c r="M3587"/>
      <c r="O3587"/>
      <c r="P3587"/>
    </row>
    <row r="3588" spans="12:16">
      <c r="L3588"/>
      <c r="M3588"/>
      <c r="O3588"/>
      <c r="P3588"/>
    </row>
    <row r="3589" spans="12:16">
      <c r="L3589"/>
      <c r="M3589"/>
      <c r="O3589"/>
      <c r="P3589"/>
    </row>
    <row r="3590" spans="12:16">
      <c r="L3590"/>
      <c r="M3590"/>
      <c r="O3590"/>
      <c r="P3590"/>
    </row>
    <row r="3591" spans="12:16">
      <c r="L3591"/>
      <c r="M3591"/>
      <c r="O3591"/>
      <c r="P3591"/>
    </row>
    <row r="3592" spans="12:16">
      <c r="L3592"/>
      <c r="M3592"/>
      <c r="O3592"/>
      <c r="P3592"/>
    </row>
    <row r="3593" spans="12:16">
      <c r="L3593"/>
      <c r="M3593"/>
      <c r="O3593"/>
      <c r="P3593"/>
    </row>
    <row r="3594" spans="12:16">
      <c r="L3594"/>
      <c r="M3594"/>
      <c r="O3594"/>
      <c r="P3594"/>
    </row>
    <row r="3595" spans="12:16">
      <c r="L3595"/>
      <c r="M3595"/>
      <c r="O3595"/>
      <c r="P3595"/>
    </row>
    <row r="3596" spans="12:16">
      <c r="L3596"/>
      <c r="M3596"/>
      <c r="O3596"/>
      <c r="P3596"/>
    </row>
    <row r="3597" spans="12:16">
      <c r="L3597"/>
      <c r="M3597"/>
      <c r="O3597"/>
      <c r="P3597"/>
    </row>
    <row r="3598" spans="12:16">
      <c r="L3598"/>
      <c r="M3598"/>
      <c r="O3598"/>
      <c r="P3598"/>
    </row>
    <row r="3599" spans="12:16">
      <c r="L3599"/>
      <c r="M3599"/>
      <c r="O3599"/>
      <c r="P3599"/>
    </row>
    <row r="3600" spans="12:16">
      <c r="L3600"/>
      <c r="M3600"/>
      <c r="O3600"/>
      <c r="P3600"/>
    </row>
    <row r="3601" spans="12:16">
      <c r="L3601"/>
      <c r="M3601"/>
      <c r="O3601"/>
      <c r="P3601"/>
    </row>
    <row r="3602" spans="12:16">
      <c r="L3602"/>
      <c r="M3602"/>
      <c r="O3602"/>
      <c r="P3602"/>
    </row>
    <row r="3603" spans="12:16">
      <c r="L3603"/>
      <c r="M3603"/>
      <c r="O3603"/>
      <c r="P3603"/>
    </row>
    <row r="3604" spans="12:16">
      <c r="L3604"/>
      <c r="M3604"/>
      <c r="O3604"/>
      <c r="P3604"/>
    </row>
    <row r="3605" spans="12:16">
      <c r="L3605"/>
      <c r="M3605"/>
      <c r="O3605"/>
      <c r="P3605"/>
    </row>
    <row r="3606" spans="12:16">
      <c r="L3606"/>
      <c r="M3606"/>
      <c r="O3606"/>
      <c r="P3606"/>
    </row>
    <row r="3607" spans="12:16">
      <c r="L3607"/>
      <c r="M3607"/>
      <c r="O3607"/>
      <c r="P3607"/>
    </row>
    <row r="3608" spans="12:16">
      <c r="L3608"/>
      <c r="M3608"/>
      <c r="O3608"/>
      <c r="P3608"/>
    </row>
    <row r="3609" spans="12:16">
      <c r="L3609"/>
      <c r="M3609"/>
      <c r="O3609"/>
      <c r="P3609"/>
    </row>
    <row r="3610" spans="12:16">
      <c r="L3610"/>
      <c r="M3610"/>
      <c r="O3610"/>
      <c r="P3610"/>
    </row>
    <row r="3611" spans="12:16">
      <c r="L3611"/>
      <c r="M3611"/>
      <c r="O3611"/>
      <c r="P3611"/>
    </row>
    <row r="3612" spans="12:16">
      <c r="L3612"/>
      <c r="M3612"/>
      <c r="O3612"/>
      <c r="P3612"/>
    </row>
    <row r="3613" spans="12:16">
      <c r="L3613"/>
      <c r="M3613"/>
      <c r="O3613"/>
      <c r="P3613"/>
    </row>
    <row r="3614" spans="12:16">
      <c r="L3614"/>
      <c r="M3614"/>
      <c r="O3614"/>
      <c r="P3614"/>
    </row>
    <row r="3615" spans="12:16">
      <c r="L3615"/>
      <c r="M3615"/>
      <c r="O3615"/>
      <c r="P3615"/>
    </row>
    <row r="3616" spans="12:16">
      <c r="L3616"/>
      <c r="M3616"/>
      <c r="O3616"/>
      <c r="P3616"/>
    </row>
    <row r="3617" spans="12:16">
      <c r="L3617"/>
      <c r="M3617"/>
      <c r="O3617"/>
      <c r="P3617"/>
    </row>
    <row r="3618" spans="12:16">
      <c r="L3618"/>
      <c r="M3618"/>
      <c r="O3618"/>
      <c r="P3618"/>
    </row>
    <row r="3619" spans="12:16">
      <c r="L3619"/>
      <c r="M3619"/>
      <c r="O3619"/>
      <c r="P3619"/>
    </row>
    <row r="3620" spans="12:16">
      <c r="L3620"/>
      <c r="M3620"/>
      <c r="O3620"/>
      <c r="P3620"/>
    </row>
    <row r="3621" spans="12:16">
      <c r="L3621"/>
      <c r="M3621"/>
      <c r="O3621"/>
      <c r="P3621"/>
    </row>
    <row r="3622" spans="12:16">
      <c r="L3622"/>
      <c r="M3622"/>
      <c r="O3622"/>
      <c r="P3622"/>
    </row>
    <row r="3623" spans="12:16">
      <c r="L3623"/>
      <c r="M3623"/>
      <c r="O3623"/>
      <c r="P3623"/>
    </row>
    <row r="3624" spans="12:16">
      <c r="L3624"/>
      <c r="M3624"/>
      <c r="O3624"/>
      <c r="P3624"/>
    </row>
    <row r="3625" spans="12:16">
      <c r="L3625"/>
      <c r="M3625"/>
      <c r="O3625"/>
      <c r="P3625"/>
    </row>
    <row r="3626" spans="12:16">
      <c r="L3626"/>
      <c r="M3626"/>
      <c r="O3626"/>
      <c r="P3626"/>
    </row>
    <row r="3627" spans="12:16">
      <c r="L3627"/>
      <c r="M3627"/>
      <c r="O3627"/>
      <c r="P3627"/>
    </row>
    <row r="3628" spans="12:16">
      <c r="L3628"/>
      <c r="M3628"/>
      <c r="O3628"/>
      <c r="P3628"/>
    </row>
    <row r="3629" spans="12:16">
      <c r="L3629"/>
      <c r="M3629"/>
      <c r="O3629"/>
      <c r="P3629"/>
    </row>
    <row r="3630" spans="12:16">
      <c r="L3630"/>
      <c r="M3630"/>
      <c r="O3630"/>
      <c r="P3630"/>
    </row>
    <row r="3631" spans="12:16">
      <c r="L3631"/>
      <c r="M3631"/>
      <c r="O3631"/>
      <c r="P3631"/>
    </row>
    <row r="3632" spans="12:16">
      <c r="L3632"/>
      <c r="M3632"/>
      <c r="O3632"/>
      <c r="P3632"/>
    </row>
    <row r="3633" spans="12:16">
      <c r="L3633"/>
      <c r="M3633"/>
      <c r="O3633"/>
      <c r="P3633"/>
    </row>
    <row r="3634" spans="12:16">
      <c r="L3634"/>
      <c r="M3634"/>
      <c r="O3634"/>
      <c r="P3634"/>
    </row>
    <row r="3635" spans="12:16">
      <c r="L3635"/>
      <c r="M3635"/>
      <c r="O3635"/>
      <c r="P3635"/>
    </row>
    <row r="3636" spans="12:16">
      <c r="L3636"/>
      <c r="M3636"/>
      <c r="O3636"/>
      <c r="P3636"/>
    </row>
    <row r="3637" spans="12:16">
      <c r="L3637"/>
      <c r="M3637"/>
      <c r="O3637"/>
      <c r="P3637"/>
    </row>
    <row r="3638" spans="12:16">
      <c r="L3638"/>
      <c r="M3638"/>
      <c r="O3638"/>
      <c r="P3638"/>
    </row>
    <row r="3639" spans="12:16">
      <c r="L3639"/>
      <c r="M3639"/>
      <c r="O3639"/>
      <c r="P3639"/>
    </row>
    <row r="3640" spans="12:16">
      <c r="L3640"/>
      <c r="M3640"/>
      <c r="O3640"/>
      <c r="P3640"/>
    </row>
    <row r="3641" spans="12:16">
      <c r="L3641"/>
      <c r="M3641"/>
      <c r="O3641"/>
      <c r="P3641"/>
    </row>
    <row r="3642" spans="12:16">
      <c r="L3642"/>
      <c r="M3642"/>
      <c r="O3642"/>
      <c r="P3642"/>
    </row>
    <row r="3643" spans="12:16">
      <c r="L3643"/>
      <c r="M3643"/>
      <c r="O3643"/>
      <c r="P3643"/>
    </row>
    <row r="3644" spans="12:16">
      <c r="L3644"/>
      <c r="M3644"/>
      <c r="O3644"/>
      <c r="P3644"/>
    </row>
    <row r="3645" spans="12:16">
      <c r="L3645"/>
      <c r="M3645"/>
      <c r="O3645"/>
      <c r="P3645"/>
    </row>
    <row r="3646" spans="12:16">
      <c r="L3646"/>
      <c r="M3646"/>
      <c r="O3646"/>
      <c r="P3646"/>
    </row>
    <row r="3647" spans="12:16">
      <c r="L3647"/>
      <c r="M3647"/>
      <c r="O3647"/>
      <c r="P3647"/>
    </row>
    <row r="3648" spans="12:16">
      <c r="L3648"/>
      <c r="M3648"/>
      <c r="O3648"/>
      <c r="P3648"/>
    </row>
    <row r="3649" spans="12:16">
      <c r="L3649"/>
      <c r="M3649"/>
      <c r="O3649"/>
      <c r="P3649"/>
    </row>
    <row r="3650" spans="12:16">
      <c r="L3650"/>
      <c r="M3650"/>
      <c r="O3650"/>
      <c r="P3650"/>
    </row>
    <row r="3651" spans="12:16">
      <c r="L3651"/>
      <c r="M3651"/>
      <c r="O3651"/>
      <c r="P3651"/>
    </row>
    <row r="3652" spans="12:16">
      <c r="L3652"/>
      <c r="M3652"/>
      <c r="O3652"/>
      <c r="P3652"/>
    </row>
    <row r="3653" spans="12:16">
      <c r="L3653"/>
      <c r="M3653"/>
      <c r="O3653"/>
      <c r="P3653"/>
    </row>
    <row r="3654" spans="12:16">
      <c r="L3654"/>
      <c r="M3654"/>
      <c r="O3654"/>
      <c r="P3654"/>
    </row>
    <row r="3655" spans="12:16">
      <c r="L3655"/>
      <c r="M3655"/>
      <c r="O3655"/>
      <c r="P3655"/>
    </row>
    <row r="3656" spans="12:16">
      <c r="L3656"/>
      <c r="M3656"/>
      <c r="O3656"/>
      <c r="P3656"/>
    </row>
    <row r="3657" spans="12:16">
      <c r="L3657"/>
      <c r="M3657"/>
      <c r="O3657"/>
      <c r="P3657"/>
    </row>
    <row r="3658" spans="12:16">
      <c r="L3658"/>
      <c r="M3658"/>
      <c r="O3658"/>
      <c r="P3658"/>
    </row>
    <row r="3659" spans="12:16">
      <c r="L3659"/>
      <c r="M3659"/>
      <c r="O3659"/>
      <c r="P3659"/>
    </row>
    <row r="3660" spans="12:16">
      <c r="L3660"/>
      <c r="M3660"/>
      <c r="O3660"/>
      <c r="P3660"/>
    </row>
    <row r="3661" spans="12:16">
      <c r="L3661"/>
      <c r="M3661"/>
      <c r="O3661"/>
      <c r="P3661"/>
    </row>
    <row r="3662" spans="12:16">
      <c r="L3662"/>
      <c r="M3662"/>
      <c r="O3662"/>
      <c r="P3662"/>
    </row>
    <row r="3663" spans="12:16">
      <c r="L3663"/>
      <c r="M3663"/>
      <c r="O3663"/>
      <c r="P3663"/>
    </row>
    <row r="3664" spans="12:16">
      <c r="L3664"/>
      <c r="M3664"/>
      <c r="O3664"/>
      <c r="P3664"/>
    </row>
    <row r="3665" spans="12:16">
      <c r="L3665"/>
      <c r="M3665"/>
      <c r="O3665"/>
      <c r="P3665"/>
    </row>
    <row r="3666" spans="12:16">
      <c r="L3666"/>
      <c r="M3666"/>
      <c r="O3666"/>
      <c r="P3666"/>
    </row>
    <row r="3667" spans="12:16">
      <c r="L3667"/>
      <c r="M3667"/>
      <c r="O3667"/>
      <c r="P3667"/>
    </row>
    <row r="3668" spans="12:16">
      <c r="L3668"/>
      <c r="M3668"/>
      <c r="O3668"/>
      <c r="P3668"/>
    </row>
    <row r="3669" spans="12:16">
      <c r="L3669"/>
      <c r="M3669"/>
      <c r="O3669"/>
      <c r="P3669"/>
    </row>
    <row r="3670" spans="12:16">
      <c r="L3670"/>
      <c r="M3670"/>
      <c r="O3670"/>
      <c r="P3670"/>
    </row>
    <row r="3671" spans="12:16">
      <c r="L3671"/>
      <c r="M3671"/>
      <c r="O3671"/>
      <c r="P3671"/>
    </row>
    <row r="3672" spans="12:16">
      <c r="L3672"/>
      <c r="M3672"/>
      <c r="O3672"/>
      <c r="P3672"/>
    </row>
    <row r="3673" spans="12:16">
      <c r="L3673"/>
      <c r="M3673"/>
      <c r="O3673"/>
      <c r="P3673"/>
    </row>
    <row r="3674" spans="12:16">
      <c r="L3674"/>
      <c r="M3674"/>
      <c r="O3674"/>
      <c r="P3674"/>
    </row>
    <row r="3675" spans="12:16">
      <c r="L3675"/>
      <c r="M3675"/>
      <c r="O3675"/>
      <c r="P3675"/>
    </row>
    <row r="3676" spans="12:16">
      <c r="L3676"/>
      <c r="M3676"/>
      <c r="O3676"/>
      <c r="P3676"/>
    </row>
    <row r="3677" spans="12:16">
      <c r="L3677"/>
      <c r="M3677"/>
      <c r="O3677"/>
      <c r="P3677"/>
    </row>
    <row r="3678" spans="12:16">
      <c r="L3678"/>
      <c r="M3678"/>
      <c r="O3678"/>
      <c r="P3678"/>
    </row>
    <row r="3679" spans="12:16">
      <c r="L3679"/>
      <c r="M3679"/>
      <c r="O3679"/>
      <c r="P3679"/>
    </row>
    <row r="3680" spans="12:16">
      <c r="L3680"/>
      <c r="M3680"/>
      <c r="O3680"/>
      <c r="P3680"/>
    </row>
    <row r="3681" spans="12:16">
      <c r="L3681"/>
      <c r="M3681"/>
      <c r="O3681"/>
      <c r="P3681"/>
    </row>
    <row r="3682" spans="12:16">
      <c r="L3682"/>
      <c r="M3682"/>
      <c r="O3682"/>
      <c r="P3682"/>
    </row>
    <row r="3683" spans="12:16">
      <c r="L3683"/>
      <c r="M3683"/>
      <c r="O3683"/>
      <c r="P3683"/>
    </row>
    <row r="3684" spans="12:16">
      <c r="L3684"/>
      <c r="M3684"/>
      <c r="O3684"/>
      <c r="P3684"/>
    </row>
    <row r="3685" spans="12:16">
      <c r="L3685"/>
      <c r="M3685"/>
      <c r="O3685"/>
      <c r="P3685"/>
    </row>
    <row r="3686" spans="12:16">
      <c r="L3686"/>
      <c r="M3686"/>
      <c r="O3686"/>
      <c r="P3686"/>
    </row>
    <row r="3687" spans="12:16">
      <c r="L3687"/>
      <c r="M3687"/>
      <c r="O3687"/>
      <c r="P3687"/>
    </row>
    <row r="3688" spans="12:16">
      <c r="L3688"/>
      <c r="M3688"/>
      <c r="O3688"/>
      <c r="P3688"/>
    </row>
    <row r="3689" spans="12:16">
      <c r="L3689"/>
      <c r="M3689"/>
      <c r="O3689"/>
      <c r="P3689"/>
    </row>
    <row r="3690" spans="12:16">
      <c r="L3690"/>
      <c r="M3690"/>
      <c r="O3690"/>
      <c r="P3690"/>
    </row>
    <row r="3691" spans="12:16">
      <c r="L3691"/>
      <c r="M3691"/>
      <c r="O3691"/>
      <c r="P3691"/>
    </row>
    <row r="3692" spans="12:16">
      <c r="L3692"/>
      <c r="M3692"/>
      <c r="O3692"/>
      <c r="P3692"/>
    </row>
    <row r="3693" spans="12:16">
      <c r="L3693"/>
      <c r="M3693"/>
      <c r="O3693"/>
      <c r="P3693"/>
    </row>
    <row r="3694" spans="12:16">
      <c r="L3694"/>
      <c r="M3694"/>
      <c r="O3694"/>
      <c r="P3694"/>
    </row>
    <row r="3695" spans="12:16">
      <c r="L3695"/>
      <c r="M3695"/>
      <c r="O3695"/>
      <c r="P3695"/>
    </row>
    <row r="3696" spans="12:16">
      <c r="L3696"/>
      <c r="M3696"/>
      <c r="O3696"/>
      <c r="P3696"/>
    </row>
    <row r="3697" spans="12:16">
      <c r="L3697"/>
      <c r="M3697"/>
      <c r="O3697"/>
      <c r="P3697"/>
    </row>
    <row r="3698" spans="12:16">
      <c r="L3698"/>
      <c r="M3698"/>
      <c r="O3698"/>
      <c r="P3698"/>
    </row>
    <row r="3699" spans="12:16">
      <c r="L3699"/>
      <c r="M3699"/>
      <c r="O3699"/>
      <c r="P3699"/>
    </row>
    <row r="3700" spans="12:16">
      <c r="L3700"/>
      <c r="M3700"/>
      <c r="O3700"/>
      <c r="P3700"/>
    </row>
    <row r="3701" spans="12:16">
      <c r="L3701"/>
      <c r="M3701"/>
      <c r="O3701"/>
      <c r="P3701"/>
    </row>
    <row r="3702" spans="12:16">
      <c r="L3702"/>
      <c r="M3702"/>
      <c r="O3702"/>
      <c r="P3702"/>
    </row>
    <row r="3703" spans="12:16">
      <c r="L3703"/>
      <c r="M3703"/>
      <c r="O3703"/>
      <c r="P3703"/>
    </row>
    <row r="3704" spans="12:16">
      <c r="L3704"/>
      <c r="M3704"/>
      <c r="O3704"/>
      <c r="P3704"/>
    </row>
    <row r="3705" spans="12:16">
      <c r="L3705"/>
      <c r="M3705"/>
      <c r="O3705"/>
      <c r="P3705"/>
    </row>
    <row r="3706" spans="12:16">
      <c r="L3706"/>
      <c r="M3706"/>
      <c r="O3706"/>
      <c r="P3706"/>
    </row>
    <row r="3707" spans="12:16">
      <c r="L3707"/>
      <c r="M3707"/>
      <c r="O3707"/>
      <c r="P3707"/>
    </row>
    <row r="3708" spans="12:16">
      <c r="L3708"/>
      <c r="M3708"/>
      <c r="O3708"/>
      <c r="P3708"/>
    </row>
    <row r="3709" spans="12:16">
      <c r="L3709"/>
      <c r="M3709"/>
      <c r="O3709"/>
      <c r="P3709"/>
    </row>
    <row r="3710" spans="12:16">
      <c r="L3710"/>
      <c r="M3710"/>
      <c r="O3710"/>
      <c r="P3710"/>
    </row>
    <row r="3711" spans="12:16">
      <c r="L3711"/>
      <c r="M3711"/>
      <c r="O3711"/>
      <c r="P3711"/>
    </row>
    <row r="3712" spans="12:16">
      <c r="L3712"/>
      <c r="M3712"/>
      <c r="O3712"/>
      <c r="P3712"/>
    </row>
    <row r="3713" spans="12:16">
      <c r="L3713"/>
      <c r="M3713"/>
      <c r="O3713"/>
      <c r="P3713"/>
    </row>
    <row r="3714" spans="12:16">
      <c r="L3714"/>
      <c r="M3714"/>
      <c r="O3714"/>
      <c r="P3714"/>
    </row>
    <row r="3715" spans="12:16">
      <c r="L3715"/>
      <c r="M3715"/>
      <c r="O3715"/>
      <c r="P3715"/>
    </row>
    <row r="3716" spans="12:16">
      <c r="L3716"/>
      <c r="M3716"/>
      <c r="O3716"/>
      <c r="P3716"/>
    </row>
    <row r="3717" spans="12:16">
      <c r="L3717"/>
      <c r="M3717"/>
      <c r="O3717"/>
      <c r="P3717"/>
    </row>
    <row r="3718" spans="12:16">
      <c r="L3718"/>
      <c r="M3718"/>
      <c r="O3718"/>
      <c r="P3718"/>
    </row>
    <row r="3719" spans="12:16">
      <c r="L3719"/>
      <c r="M3719"/>
      <c r="O3719"/>
      <c r="P3719"/>
    </row>
    <row r="3720" spans="12:16">
      <c r="L3720"/>
      <c r="M3720"/>
      <c r="O3720"/>
      <c r="P3720"/>
    </row>
    <row r="3721" spans="12:16">
      <c r="L3721"/>
      <c r="M3721"/>
      <c r="O3721"/>
      <c r="P3721"/>
    </row>
    <row r="3722" spans="12:16">
      <c r="L3722"/>
      <c r="M3722"/>
      <c r="O3722"/>
      <c r="P3722"/>
    </row>
    <row r="3723" spans="12:16">
      <c r="L3723"/>
      <c r="M3723"/>
      <c r="O3723"/>
      <c r="P3723"/>
    </row>
    <row r="3724" spans="12:16">
      <c r="L3724"/>
      <c r="M3724"/>
      <c r="O3724"/>
      <c r="P3724"/>
    </row>
    <row r="3725" spans="12:16">
      <c r="L3725"/>
      <c r="M3725"/>
      <c r="O3725"/>
      <c r="P3725"/>
    </row>
    <row r="3726" spans="12:16">
      <c r="L3726"/>
      <c r="M3726"/>
      <c r="O3726"/>
      <c r="P3726"/>
    </row>
    <row r="3727" spans="12:16">
      <c r="L3727"/>
      <c r="M3727"/>
      <c r="O3727"/>
      <c r="P3727"/>
    </row>
    <row r="3728" spans="12:16">
      <c r="L3728"/>
      <c r="M3728"/>
      <c r="O3728"/>
      <c r="P3728"/>
    </row>
    <row r="3729" spans="12:16">
      <c r="L3729"/>
      <c r="M3729"/>
      <c r="O3729"/>
      <c r="P3729"/>
    </row>
    <row r="3730" spans="12:16">
      <c r="L3730"/>
      <c r="M3730"/>
      <c r="O3730"/>
      <c r="P3730"/>
    </row>
    <row r="3731" spans="12:16">
      <c r="L3731"/>
      <c r="M3731"/>
      <c r="O3731"/>
      <c r="P3731"/>
    </row>
    <row r="3732" spans="12:16">
      <c r="L3732"/>
      <c r="M3732"/>
      <c r="O3732"/>
      <c r="P3732"/>
    </row>
    <row r="3733" spans="12:16">
      <c r="L3733"/>
      <c r="M3733"/>
      <c r="O3733"/>
      <c r="P3733"/>
    </row>
    <row r="3734" spans="12:16">
      <c r="L3734"/>
      <c r="M3734"/>
      <c r="O3734"/>
      <c r="P3734"/>
    </row>
    <row r="3735" spans="12:16">
      <c r="L3735"/>
      <c r="M3735"/>
      <c r="O3735"/>
      <c r="P3735"/>
    </row>
    <row r="3736" spans="12:16">
      <c r="L3736"/>
      <c r="M3736"/>
      <c r="O3736"/>
      <c r="P3736"/>
    </row>
    <row r="3737" spans="12:16">
      <c r="L3737"/>
      <c r="M3737"/>
      <c r="O3737"/>
      <c r="P3737"/>
    </row>
    <row r="3738" spans="12:16">
      <c r="L3738"/>
      <c r="M3738"/>
      <c r="O3738"/>
      <c r="P3738"/>
    </row>
    <row r="3739" spans="12:16">
      <c r="L3739"/>
      <c r="M3739"/>
      <c r="O3739"/>
      <c r="P3739"/>
    </row>
    <row r="3740" spans="12:16">
      <c r="L3740"/>
      <c r="M3740"/>
      <c r="O3740"/>
      <c r="P3740"/>
    </row>
    <row r="3741" spans="12:16">
      <c r="L3741"/>
      <c r="M3741"/>
      <c r="O3741"/>
      <c r="P3741"/>
    </row>
    <row r="3742" spans="12:16">
      <c r="L3742"/>
      <c r="M3742"/>
      <c r="O3742"/>
      <c r="P3742"/>
    </row>
    <row r="3743" spans="12:16">
      <c r="L3743"/>
      <c r="M3743"/>
      <c r="O3743"/>
      <c r="P3743"/>
    </row>
    <row r="3744" spans="12:16">
      <c r="L3744"/>
      <c r="M3744"/>
      <c r="O3744"/>
      <c r="P3744"/>
    </row>
    <row r="3745" spans="12:16">
      <c r="L3745"/>
      <c r="M3745"/>
      <c r="O3745"/>
      <c r="P3745"/>
    </row>
    <row r="3746" spans="12:16">
      <c r="L3746"/>
      <c r="M3746"/>
      <c r="O3746"/>
      <c r="P3746"/>
    </row>
    <row r="3747" spans="12:16">
      <c r="L3747"/>
      <c r="M3747"/>
      <c r="O3747"/>
      <c r="P3747"/>
    </row>
    <row r="3748" spans="12:16">
      <c r="L3748"/>
      <c r="M3748"/>
      <c r="O3748"/>
      <c r="P3748"/>
    </row>
    <row r="3749" spans="12:16">
      <c r="L3749"/>
      <c r="M3749"/>
      <c r="O3749"/>
      <c r="P3749"/>
    </row>
    <row r="3750" spans="12:16">
      <c r="L3750"/>
      <c r="M3750"/>
      <c r="O3750"/>
      <c r="P3750"/>
    </row>
    <row r="3751" spans="12:16">
      <c r="L3751"/>
      <c r="M3751"/>
      <c r="O3751"/>
      <c r="P3751"/>
    </row>
    <row r="3752" spans="12:16">
      <c r="L3752"/>
      <c r="M3752"/>
      <c r="O3752"/>
      <c r="P3752"/>
    </row>
    <row r="3753" spans="12:16">
      <c r="L3753"/>
      <c r="M3753"/>
      <c r="O3753"/>
      <c r="P3753"/>
    </row>
    <row r="3754" spans="12:16">
      <c r="L3754"/>
      <c r="M3754"/>
      <c r="O3754"/>
      <c r="P3754"/>
    </row>
    <row r="3755" spans="12:16">
      <c r="L3755"/>
      <c r="M3755"/>
      <c r="O3755"/>
      <c r="P3755"/>
    </row>
    <row r="3756" spans="12:16">
      <c r="L3756"/>
      <c r="M3756"/>
      <c r="O3756"/>
      <c r="P3756"/>
    </row>
    <row r="3757" spans="12:16">
      <c r="L3757"/>
      <c r="M3757"/>
      <c r="O3757"/>
      <c r="P3757"/>
    </row>
    <row r="3758" spans="12:16">
      <c r="L3758"/>
      <c r="M3758"/>
      <c r="O3758"/>
      <c r="P3758"/>
    </row>
    <row r="3759" spans="12:16">
      <c r="L3759"/>
      <c r="M3759"/>
      <c r="O3759"/>
      <c r="P3759"/>
    </row>
    <row r="3760" spans="12:16">
      <c r="L3760"/>
      <c r="M3760"/>
      <c r="O3760"/>
      <c r="P3760"/>
    </row>
    <row r="3761" spans="12:16">
      <c r="L3761"/>
      <c r="M3761"/>
      <c r="O3761"/>
      <c r="P3761"/>
    </row>
    <row r="3762" spans="12:16">
      <c r="L3762"/>
      <c r="M3762"/>
      <c r="O3762"/>
      <c r="P3762"/>
    </row>
    <row r="3763" spans="12:16">
      <c r="L3763"/>
      <c r="M3763"/>
      <c r="O3763"/>
      <c r="P3763"/>
    </row>
    <row r="3764" spans="12:16">
      <c r="L3764"/>
      <c r="M3764"/>
      <c r="O3764"/>
      <c r="P3764"/>
    </row>
    <row r="3765" spans="12:16">
      <c r="L3765"/>
      <c r="M3765"/>
      <c r="O3765"/>
      <c r="P3765"/>
    </row>
    <row r="3766" spans="12:16">
      <c r="L3766"/>
      <c r="M3766"/>
      <c r="O3766"/>
      <c r="P3766"/>
    </row>
    <row r="3767" spans="12:16">
      <c r="L3767"/>
      <c r="M3767"/>
      <c r="O3767"/>
      <c r="P3767"/>
    </row>
    <row r="3768" spans="12:16">
      <c r="L3768"/>
      <c r="M3768"/>
      <c r="O3768"/>
      <c r="P3768"/>
    </row>
    <row r="3769" spans="12:16">
      <c r="L3769"/>
      <c r="M3769"/>
      <c r="O3769"/>
      <c r="P3769"/>
    </row>
    <row r="3770" spans="12:16">
      <c r="L3770"/>
      <c r="M3770"/>
      <c r="O3770"/>
      <c r="P3770"/>
    </row>
    <row r="3771" spans="12:16">
      <c r="L3771"/>
      <c r="M3771"/>
      <c r="O3771"/>
      <c r="P3771"/>
    </row>
    <row r="3772" spans="12:16">
      <c r="L3772"/>
      <c r="M3772"/>
      <c r="O3772"/>
      <c r="P3772"/>
    </row>
    <row r="3773" spans="12:16">
      <c r="L3773"/>
      <c r="M3773"/>
      <c r="O3773"/>
      <c r="P3773"/>
    </row>
    <row r="3774" spans="12:16">
      <c r="L3774"/>
      <c r="M3774"/>
      <c r="O3774"/>
      <c r="P3774"/>
    </row>
    <row r="3775" spans="12:16">
      <c r="L3775"/>
      <c r="M3775"/>
      <c r="O3775"/>
      <c r="P3775"/>
    </row>
    <row r="3776" spans="12:16">
      <c r="L3776"/>
      <c r="M3776"/>
      <c r="O3776"/>
      <c r="P3776"/>
    </row>
    <row r="3777" spans="12:16">
      <c r="L3777"/>
      <c r="M3777"/>
      <c r="O3777"/>
      <c r="P3777"/>
    </row>
    <row r="3778" spans="12:16">
      <c r="L3778"/>
      <c r="M3778"/>
      <c r="O3778"/>
      <c r="P3778"/>
    </row>
    <row r="3779" spans="12:16">
      <c r="L3779"/>
      <c r="M3779"/>
      <c r="O3779"/>
      <c r="P3779"/>
    </row>
    <row r="3780" spans="12:16">
      <c r="L3780"/>
      <c r="M3780"/>
      <c r="O3780"/>
      <c r="P3780"/>
    </row>
    <row r="3781" spans="12:16">
      <c r="L3781"/>
      <c r="M3781"/>
      <c r="O3781"/>
      <c r="P3781"/>
    </row>
    <row r="3782" spans="12:16">
      <c r="L3782"/>
      <c r="M3782"/>
      <c r="O3782"/>
      <c r="P3782"/>
    </row>
    <row r="3783" spans="12:16">
      <c r="L3783"/>
      <c r="M3783"/>
      <c r="O3783"/>
      <c r="P3783"/>
    </row>
    <row r="3784" spans="12:16">
      <c r="L3784"/>
      <c r="M3784"/>
      <c r="O3784"/>
      <c r="P3784"/>
    </row>
    <row r="3785" spans="12:16">
      <c r="L3785"/>
      <c r="M3785"/>
      <c r="O3785"/>
      <c r="P3785"/>
    </row>
    <row r="3786" spans="12:16">
      <c r="L3786"/>
      <c r="M3786"/>
      <c r="O3786"/>
      <c r="P3786"/>
    </row>
    <row r="3787" spans="12:16">
      <c r="L3787"/>
      <c r="M3787"/>
      <c r="O3787"/>
      <c r="P3787"/>
    </row>
    <row r="3788" spans="12:16">
      <c r="L3788"/>
      <c r="M3788"/>
      <c r="O3788"/>
      <c r="P3788"/>
    </row>
    <row r="3789" spans="12:16">
      <c r="L3789"/>
      <c r="M3789"/>
      <c r="O3789"/>
      <c r="P3789"/>
    </row>
    <row r="3790" spans="12:16">
      <c r="L3790"/>
      <c r="M3790"/>
      <c r="O3790"/>
      <c r="P3790"/>
    </row>
    <row r="3791" spans="12:16">
      <c r="L3791"/>
      <c r="M3791"/>
      <c r="O3791"/>
      <c r="P3791"/>
    </row>
    <row r="3792" spans="12:16">
      <c r="L3792"/>
      <c r="M3792"/>
      <c r="O3792"/>
      <c r="P3792"/>
    </row>
    <row r="3793" spans="12:16">
      <c r="L3793"/>
      <c r="M3793"/>
      <c r="O3793"/>
      <c r="P3793"/>
    </row>
    <row r="3794" spans="12:16">
      <c r="L3794"/>
      <c r="M3794"/>
      <c r="O3794"/>
      <c r="P3794"/>
    </row>
    <row r="3795" spans="12:16">
      <c r="L3795"/>
      <c r="M3795"/>
      <c r="O3795"/>
      <c r="P3795"/>
    </row>
    <row r="3796" spans="12:16">
      <c r="L3796"/>
      <c r="M3796"/>
      <c r="O3796"/>
      <c r="P3796"/>
    </row>
    <row r="3797" spans="12:16">
      <c r="L3797"/>
      <c r="M3797"/>
      <c r="O3797"/>
      <c r="P3797"/>
    </row>
    <row r="3798" spans="12:16">
      <c r="L3798"/>
      <c r="M3798"/>
      <c r="O3798"/>
      <c r="P3798"/>
    </row>
    <row r="3799" spans="12:16">
      <c r="L3799"/>
      <c r="M3799"/>
      <c r="O3799"/>
      <c r="P3799"/>
    </row>
    <row r="3800" spans="12:16">
      <c r="L3800"/>
      <c r="M3800"/>
      <c r="O3800"/>
      <c r="P3800"/>
    </row>
    <row r="3801" spans="12:16">
      <c r="L3801"/>
      <c r="M3801"/>
      <c r="O3801"/>
      <c r="P3801"/>
    </row>
    <row r="3802" spans="12:16">
      <c r="L3802"/>
      <c r="M3802"/>
      <c r="O3802"/>
      <c r="P3802"/>
    </row>
    <row r="3803" spans="12:16">
      <c r="L3803"/>
      <c r="M3803"/>
      <c r="O3803"/>
      <c r="P3803"/>
    </row>
    <row r="3804" spans="12:16">
      <c r="L3804"/>
      <c r="M3804"/>
      <c r="O3804"/>
      <c r="P3804"/>
    </row>
    <row r="3805" spans="12:16">
      <c r="L3805"/>
      <c r="M3805"/>
      <c r="O3805"/>
      <c r="P3805"/>
    </row>
    <row r="3806" spans="12:16">
      <c r="L3806"/>
      <c r="M3806"/>
      <c r="O3806"/>
      <c r="P3806"/>
    </row>
    <row r="3807" spans="12:16">
      <c r="L3807"/>
      <c r="M3807"/>
      <c r="O3807"/>
      <c r="P3807"/>
    </row>
    <row r="3808" spans="12:16">
      <c r="L3808"/>
      <c r="M3808"/>
      <c r="O3808"/>
      <c r="P3808"/>
    </row>
    <row r="3809" spans="12:16">
      <c r="L3809"/>
      <c r="M3809"/>
      <c r="O3809"/>
      <c r="P3809"/>
    </row>
    <row r="3810" spans="12:16">
      <c r="L3810"/>
      <c r="M3810"/>
      <c r="O3810"/>
      <c r="P3810"/>
    </row>
    <row r="3811" spans="12:16">
      <c r="L3811"/>
      <c r="M3811"/>
      <c r="O3811"/>
      <c r="P3811"/>
    </row>
    <row r="3812" spans="12:16">
      <c r="L3812"/>
      <c r="M3812"/>
      <c r="O3812"/>
      <c r="P3812"/>
    </row>
    <row r="3813" spans="12:16">
      <c r="L3813"/>
      <c r="M3813"/>
      <c r="O3813"/>
      <c r="P3813"/>
    </row>
    <row r="3814" spans="12:16">
      <c r="L3814"/>
      <c r="M3814"/>
      <c r="O3814"/>
      <c r="P3814"/>
    </row>
    <row r="3815" spans="12:16">
      <c r="L3815"/>
      <c r="M3815"/>
      <c r="O3815"/>
      <c r="P3815"/>
    </row>
    <row r="3816" spans="12:16">
      <c r="L3816"/>
      <c r="M3816"/>
      <c r="O3816"/>
      <c r="P3816"/>
    </row>
    <row r="3817" spans="12:16">
      <c r="L3817"/>
      <c r="M3817"/>
      <c r="O3817"/>
      <c r="P3817"/>
    </row>
    <row r="3818" spans="12:16">
      <c r="L3818"/>
      <c r="M3818"/>
      <c r="O3818"/>
      <c r="P3818"/>
    </row>
    <row r="3819" spans="12:16">
      <c r="L3819"/>
      <c r="M3819"/>
      <c r="O3819"/>
      <c r="P3819"/>
    </row>
    <row r="3820" spans="12:16">
      <c r="L3820"/>
      <c r="M3820"/>
      <c r="O3820"/>
      <c r="P3820"/>
    </row>
    <row r="3821" spans="12:16">
      <c r="L3821"/>
      <c r="M3821"/>
      <c r="O3821"/>
      <c r="P3821"/>
    </row>
    <row r="3822" spans="12:16">
      <c r="L3822"/>
      <c r="M3822"/>
      <c r="O3822"/>
      <c r="P3822"/>
    </row>
    <row r="3823" spans="12:16">
      <c r="L3823"/>
      <c r="M3823"/>
      <c r="O3823"/>
      <c r="P3823"/>
    </row>
    <row r="3824" spans="12:16">
      <c r="L3824"/>
      <c r="M3824"/>
      <c r="O3824"/>
      <c r="P3824"/>
    </row>
    <row r="3825" spans="12:16">
      <c r="L3825"/>
      <c r="M3825"/>
      <c r="O3825"/>
      <c r="P3825"/>
    </row>
    <row r="3826" spans="12:16">
      <c r="L3826"/>
      <c r="M3826"/>
      <c r="O3826"/>
      <c r="P3826"/>
    </row>
    <row r="3827" spans="12:16">
      <c r="L3827"/>
      <c r="M3827"/>
      <c r="O3827"/>
      <c r="P3827"/>
    </row>
    <row r="3828" spans="12:16">
      <c r="L3828"/>
      <c r="M3828"/>
      <c r="O3828"/>
      <c r="P3828"/>
    </row>
    <row r="3829" spans="12:16">
      <c r="L3829"/>
      <c r="M3829"/>
      <c r="O3829"/>
      <c r="P3829"/>
    </row>
    <row r="3830" spans="12:16">
      <c r="L3830"/>
      <c r="M3830"/>
      <c r="O3830"/>
      <c r="P3830"/>
    </row>
    <row r="3831" spans="12:16">
      <c r="L3831"/>
      <c r="M3831"/>
      <c r="O3831"/>
      <c r="P3831"/>
    </row>
    <row r="3832" spans="12:16">
      <c r="L3832"/>
      <c r="M3832"/>
      <c r="O3832"/>
      <c r="P3832"/>
    </row>
    <row r="3833" spans="12:16">
      <c r="L3833"/>
      <c r="M3833"/>
      <c r="O3833"/>
      <c r="P3833"/>
    </row>
    <row r="3834" spans="12:16">
      <c r="L3834"/>
      <c r="M3834"/>
      <c r="O3834"/>
      <c r="P3834"/>
    </row>
    <row r="3835" spans="12:16">
      <c r="L3835"/>
      <c r="M3835"/>
      <c r="O3835"/>
      <c r="P3835"/>
    </row>
    <row r="3836" spans="12:16">
      <c r="L3836"/>
      <c r="M3836"/>
      <c r="O3836"/>
      <c r="P3836"/>
    </row>
    <row r="3837" spans="12:16">
      <c r="L3837"/>
      <c r="M3837"/>
      <c r="O3837"/>
      <c r="P3837"/>
    </row>
    <row r="3838" spans="12:16">
      <c r="L3838"/>
      <c r="M3838"/>
      <c r="O3838"/>
      <c r="P3838"/>
    </row>
    <row r="3839" spans="12:16">
      <c r="L3839"/>
      <c r="M3839"/>
      <c r="O3839"/>
      <c r="P3839"/>
    </row>
    <row r="3840" spans="12:16">
      <c r="L3840"/>
      <c r="M3840"/>
      <c r="O3840"/>
      <c r="P3840"/>
    </row>
    <row r="3841" spans="12:16">
      <c r="L3841"/>
      <c r="M3841"/>
      <c r="O3841"/>
      <c r="P3841"/>
    </row>
    <row r="3842" spans="12:16">
      <c r="L3842"/>
      <c r="M3842"/>
      <c r="O3842"/>
      <c r="P3842"/>
    </row>
    <row r="3843" spans="12:16">
      <c r="L3843"/>
      <c r="M3843"/>
      <c r="O3843"/>
      <c r="P3843"/>
    </row>
    <row r="3844" spans="12:16">
      <c r="L3844"/>
      <c r="M3844"/>
      <c r="O3844"/>
      <c r="P3844"/>
    </row>
    <row r="3845" spans="12:16">
      <c r="L3845"/>
      <c r="M3845"/>
      <c r="O3845"/>
      <c r="P3845"/>
    </row>
    <row r="3846" spans="12:16">
      <c r="L3846"/>
      <c r="M3846"/>
      <c r="O3846"/>
      <c r="P3846"/>
    </row>
    <row r="3847" spans="12:16">
      <c r="L3847"/>
      <c r="M3847"/>
      <c r="O3847"/>
      <c r="P3847"/>
    </row>
    <row r="3848" spans="12:16">
      <c r="L3848"/>
      <c r="M3848"/>
      <c r="O3848"/>
      <c r="P3848"/>
    </row>
    <row r="3849" spans="12:16">
      <c r="L3849"/>
      <c r="M3849"/>
      <c r="O3849"/>
      <c r="P3849"/>
    </row>
    <row r="3850" spans="12:16">
      <c r="L3850"/>
      <c r="M3850"/>
      <c r="O3850"/>
      <c r="P3850"/>
    </row>
    <row r="3851" spans="12:16">
      <c r="L3851"/>
      <c r="M3851"/>
      <c r="O3851"/>
      <c r="P3851"/>
    </row>
    <row r="3852" spans="12:16">
      <c r="L3852"/>
      <c r="M3852"/>
      <c r="O3852"/>
      <c r="P3852"/>
    </row>
    <row r="3853" spans="12:16">
      <c r="L3853"/>
      <c r="M3853"/>
      <c r="O3853"/>
      <c r="P3853"/>
    </row>
    <row r="3854" spans="12:16">
      <c r="L3854"/>
      <c r="M3854"/>
      <c r="O3854"/>
      <c r="P3854"/>
    </row>
    <row r="3855" spans="12:16">
      <c r="L3855"/>
      <c r="M3855"/>
      <c r="O3855"/>
      <c r="P3855"/>
    </row>
    <row r="3856" spans="12:16">
      <c r="L3856"/>
      <c r="M3856"/>
      <c r="O3856"/>
      <c r="P3856"/>
    </row>
    <row r="3857" spans="12:16">
      <c r="L3857"/>
      <c r="M3857"/>
      <c r="O3857"/>
      <c r="P3857"/>
    </row>
    <row r="3858" spans="12:16">
      <c r="L3858"/>
      <c r="M3858"/>
      <c r="O3858"/>
      <c r="P3858"/>
    </row>
    <row r="3859" spans="12:16">
      <c r="L3859"/>
      <c r="M3859"/>
      <c r="O3859"/>
      <c r="P3859"/>
    </row>
    <row r="3860" spans="12:16">
      <c r="L3860"/>
      <c r="M3860"/>
      <c r="O3860"/>
      <c r="P3860"/>
    </row>
    <row r="3861" spans="12:16">
      <c r="L3861"/>
      <c r="M3861"/>
      <c r="O3861"/>
      <c r="P3861"/>
    </row>
    <row r="3862" spans="12:16">
      <c r="L3862"/>
      <c r="M3862"/>
      <c r="O3862"/>
      <c r="P3862"/>
    </row>
    <row r="3863" spans="12:16">
      <c r="L3863"/>
      <c r="M3863"/>
      <c r="O3863"/>
      <c r="P3863"/>
    </row>
    <row r="3864" spans="12:16">
      <c r="L3864"/>
      <c r="M3864"/>
      <c r="O3864"/>
      <c r="P3864"/>
    </row>
    <row r="3865" spans="12:16">
      <c r="L3865"/>
      <c r="M3865"/>
      <c r="O3865"/>
      <c r="P3865"/>
    </row>
    <row r="3866" spans="12:16">
      <c r="L3866"/>
      <c r="M3866"/>
      <c r="O3866"/>
      <c r="P3866"/>
    </row>
    <row r="3867" spans="12:16">
      <c r="L3867"/>
      <c r="M3867"/>
      <c r="O3867"/>
      <c r="P3867"/>
    </row>
    <row r="3868" spans="12:16">
      <c r="L3868"/>
      <c r="M3868"/>
      <c r="O3868"/>
      <c r="P3868"/>
    </row>
    <row r="3869" spans="12:16">
      <c r="L3869"/>
      <c r="M3869"/>
      <c r="O3869"/>
      <c r="P3869"/>
    </row>
    <row r="3870" spans="12:16">
      <c r="L3870"/>
      <c r="M3870"/>
      <c r="O3870"/>
      <c r="P3870"/>
    </row>
    <row r="3871" spans="12:16">
      <c r="L3871"/>
      <c r="M3871"/>
      <c r="O3871"/>
      <c r="P3871"/>
    </row>
    <row r="3872" spans="12:16">
      <c r="L3872"/>
      <c r="M3872"/>
      <c r="O3872"/>
      <c r="P3872"/>
    </row>
    <row r="3873" spans="12:16">
      <c r="L3873"/>
      <c r="M3873"/>
      <c r="O3873"/>
      <c r="P3873"/>
    </row>
    <row r="3874" spans="12:16">
      <c r="L3874"/>
      <c r="M3874"/>
      <c r="O3874"/>
      <c r="P3874"/>
    </row>
    <row r="3875" spans="12:16">
      <c r="L3875"/>
      <c r="M3875"/>
      <c r="O3875"/>
      <c r="P3875"/>
    </row>
    <row r="3876" spans="12:16">
      <c r="L3876"/>
      <c r="M3876"/>
      <c r="O3876"/>
      <c r="P3876"/>
    </row>
    <row r="3877" spans="12:16">
      <c r="L3877"/>
      <c r="M3877"/>
      <c r="O3877"/>
      <c r="P3877"/>
    </row>
    <row r="3878" spans="12:16">
      <c r="L3878"/>
      <c r="M3878"/>
      <c r="O3878"/>
      <c r="P3878"/>
    </row>
    <row r="3879" spans="12:16">
      <c r="L3879"/>
      <c r="M3879"/>
      <c r="O3879"/>
      <c r="P3879"/>
    </row>
    <row r="3880" spans="12:16">
      <c r="L3880"/>
      <c r="M3880"/>
      <c r="O3880"/>
      <c r="P3880"/>
    </row>
    <row r="3881" spans="12:16">
      <c r="L3881"/>
      <c r="M3881"/>
      <c r="O3881"/>
      <c r="P3881"/>
    </row>
    <row r="3882" spans="12:16">
      <c r="L3882"/>
      <c r="M3882"/>
      <c r="O3882"/>
      <c r="P3882"/>
    </row>
    <row r="3883" spans="12:16">
      <c r="L3883"/>
      <c r="M3883"/>
      <c r="O3883"/>
      <c r="P3883"/>
    </row>
    <row r="3884" spans="12:16">
      <c r="L3884"/>
      <c r="M3884"/>
      <c r="O3884"/>
      <c r="P3884"/>
    </row>
    <row r="3885" spans="12:16">
      <c r="L3885"/>
      <c r="M3885"/>
      <c r="O3885"/>
      <c r="P3885"/>
    </row>
    <row r="3886" spans="12:16">
      <c r="L3886"/>
      <c r="M3886"/>
      <c r="O3886"/>
      <c r="P3886"/>
    </row>
    <row r="3887" spans="12:16">
      <c r="L3887"/>
      <c r="M3887"/>
      <c r="O3887"/>
      <c r="P3887"/>
    </row>
    <row r="3888" spans="12:16">
      <c r="L3888"/>
      <c r="M3888"/>
      <c r="O3888"/>
      <c r="P3888"/>
    </row>
    <row r="3889" spans="12:16">
      <c r="L3889"/>
      <c r="M3889"/>
      <c r="O3889"/>
      <c r="P3889"/>
    </row>
    <row r="3890" spans="12:16">
      <c r="L3890"/>
      <c r="M3890"/>
      <c r="O3890"/>
      <c r="P3890"/>
    </row>
    <row r="3891" spans="12:16">
      <c r="L3891"/>
      <c r="M3891"/>
      <c r="O3891"/>
      <c r="P3891"/>
    </row>
    <row r="3892" spans="12:16">
      <c r="L3892"/>
      <c r="M3892"/>
      <c r="O3892"/>
      <c r="P3892"/>
    </row>
    <row r="3893" spans="12:16">
      <c r="L3893"/>
      <c r="M3893"/>
      <c r="O3893"/>
      <c r="P3893"/>
    </row>
    <row r="3894" spans="12:16">
      <c r="L3894"/>
      <c r="M3894"/>
      <c r="O3894"/>
      <c r="P3894"/>
    </row>
    <row r="3895" spans="12:16">
      <c r="L3895"/>
      <c r="M3895"/>
      <c r="O3895"/>
      <c r="P3895"/>
    </row>
    <row r="3896" spans="12:16">
      <c r="L3896"/>
      <c r="M3896"/>
      <c r="O3896"/>
      <c r="P3896"/>
    </row>
    <row r="3897" spans="12:16">
      <c r="L3897"/>
      <c r="M3897"/>
      <c r="O3897"/>
      <c r="P3897"/>
    </row>
    <row r="3898" spans="12:16">
      <c r="L3898"/>
      <c r="M3898"/>
      <c r="O3898"/>
      <c r="P3898"/>
    </row>
    <row r="3899" spans="12:16">
      <c r="L3899"/>
      <c r="M3899"/>
      <c r="O3899"/>
      <c r="P3899"/>
    </row>
    <row r="3900" spans="12:16">
      <c r="L3900"/>
      <c r="M3900"/>
      <c r="O3900"/>
      <c r="P3900"/>
    </row>
    <row r="3901" spans="12:16">
      <c r="L3901"/>
      <c r="M3901"/>
      <c r="O3901"/>
      <c r="P3901"/>
    </row>
    <row r="3902" spans="12:16">
      <c r="L3902"/>
      <c r="M3902"/>
      <c r="O3902"/>
      <c r="P3902"/>
    </row>
    <row r="3903" spans="12:16">
      <c r="L3903"/>
      <c r="M3903"/>
      <c r="O3903"/>
      <c r="P3903"/>
    </row>
    <row r="3904" spans="12:16">
      <c r="L3904"/>
      <c r="M3904"/>
      <c r="O3904"/>
      <c r="P3904"/>
    </row>
    <row r="3905" spans="12:16">
      <c r="L3905"/>
      <c r="M3905"/>
      <c r="O3905"/>
      <c r="P3905"/>
    </row>
    <row r="3906" spans="12:16">
      <c r="L3906"/>
      <c r="M3906"/>
      <c r="O3906"/>
      <c r="P3906"/>
    </row>
    <row r="3907" spans="12:16">
      <c r="L3907"/>
      <c r="M3907"/>
      <c r="O3907"/>
      <c r="P3907"/>
    </row>
    <row r="3908" spans="12:16">
      <c r="L3908"/>
      <c r="M3908"/>
      <c r="O3908"/>
      <c r="P3908"/>
    </row>
    <row r="3909" spans="12:16">
      <c r="L3909"/>
      <c r="M3909"/>
      <c r="O3909"/>
      <c r="P3909"/>
    </row>
    <row r="3910" spans="12:16">
      <c r="L3910"/>
      <c r="M3910"/>
      <c r="O3910"/>
      <c r="P3910"/>
    </row>
    <row r="3911" spans="12:16">
      <c r="L3911"/>
      <c r="M3911"/>
      <c r="O3911"/>
      <c r="P3911"/>
    </row>
    <row r="3912" spans="12:16">
      <c r="L3912"/>
      <c r="M3912"/>
      <c r="O3912"/>
      <c r="P3912"/>
    </row>
    <row r="3913" spans="12:16">
      <c r="L3913"/>
      <c r="M3913"/>
      <c r="O3913"/>
      <c r="P3913"/>
    </row>
    <row r="3914" spans="12:16">
      <c r="L3914"/>
      <c r="M3914"/>
      <c r="O3914"/>
      <c r="P3914"/>
    </row>
    <row r="3915" spans="12:16">
      <c r="L3915"/>
      <c r="M3915"/>
      <c r="O3915"/>
      <c r="P3915"/>
    </row>
    <row r="3916" spans="12:16">
      <c r="L3916"/>
      <c r="M3916"/>
      <c r="O3916"/>
      <c r="P3916"/>
    </row>
    <row r="3917" spans="12:16">
      <c r="L3917"/>
      <c r="M3917"/>
      <c r="O3917"/>
      <c r="P3917"/>
    </row>
    <row r="3918" spans="12:16">
      <c r="L3918"/>
      <c r="M3918"/>
      <c r="O3918"/>
      <c r="P3918"/>
    </row>
    <row r="3919" spans="12:16">
      <c r="L3919"/>
      <c r="M3919"/>
      <c r="O3919"/>
      <c r="P3919"/>
    </row>
    <row r="3920" spans="12:16">
      <c r="L3920"/>
      <c r="M3920"/>
      <c r="O3920"/>
      <c r="P3920"/>
    </row>
    <row r="3921" spans="12:16">
      <c r="L3921"/>
      <c r="M3921"/>
      <c r="O3921"/>
      <c r="P3921"/>
    </row>
    <row r="3922" spans="12:16">
      <c r="L3922"/>
      <c r="M3922"/>
      <c r="O3922"/>
      <c r="P3922"/>
    </row>
    <row r="3923" spans="12:16">
      <c r="L3923"/>
      <c r="M3923"/>
      <c r="O3923"/>
      <c r="P3923"/>
    </row>
    <row r="3924" spans="12:16">
      <c r="L3924"/>
      <c r="M3924"/>
      <c r="O3924"/>
      <c r="P3924"/>
    </row>
    <row r="3925" spans="12:16">
      <c r="L3925"/>
      <c r="M3925"/>
      <c r="O3925"/>
      <c r="P3925"/>
    </row>
    <row r="3926" spans="12:16">
      <c r="L3926"/>
      <c r="M3926"/>
      <c r="O3926"/>
      <c r="P3926"/>
    </row>
    <row r="3927" spans="12:16">
      <c r="L3927"/>
      <c r="M3927"/>
      <c r="O3927"/>
      <c r="P3927"/>
    </row>
    <row r="3928" spans="12:16">
      <c r="L3928"/>
      <c r="M3928"/>
      <c r="O3928"/>
      <c r="P3928"/>
    </row>
    <row r="3929" spans="12:16">
      <c r="L3929"/>
      <c r="M3929"/>
      <c r="O3929"/>
      <c r="P3929"/>
    </row>
    <row r="3930" spans="12:16">
      <c r="L3930"/>
      <c r="M3930"/>
      <c r="O3930"/>
      <c r="P3930"/>
    </row>
    <row r="3931" spans="12:16">
      <c r="L3931"/>
      <c r="M3931"/>
      <c r="O3931"/>
      <c r="P3931"/>
    </row>
    <row r="3932" spans="12:16">
      <c r="L3932"/>
      <c r="M3932"/>
      <c r="O3932"/>
      <c r="P3932"/>
    </row>
    <row r="3933" spans="12:16">
      <c r="L3933"/>
      <c r="M3933"/>
      <c r="O3933"/>
      <c r="P3933"/>
    </row>
    <row r="3934" spans="12:16">
      <c r="L3934"/>
      <c r="M3934"/>
      <c r="O3934"/>
      <c r="P3934"/>
    </row>
    <row r="3935" spans="12:16">
      <c r="L3935"/>
      <c r="M3935"/>
      <c r="O3935"/>
      <c r="P3935"/>
    </row>
    <row r="3936" spans="12:16">
      <c r="L3936"/>
      <c r="M3936"/>
      <c r="O3936"/>
      <c r="P3936"/>
    </row>
    <row r="3937" spans="12:16">
      <c r="L3937"/>
      <c r="M3937"/>
      <c r="O3937"/>
      <c r="P3937"/>
    </row>
    <row r="3938" spans="12:16">
      <c r="L3938"/>
      <c r="M3938"/>
      <c r="O3938"/>
      <c r="P3938"/>
    </row>
    <row r="3939" spans="12:16">
      <c r="L3939"/>
      <c r="M3939"/>
      <c r="O3939"/>
      <c r="P3939"/>
    </row>
    <row r="3940" spans="12:16">
      <c r="L3940"/>
      <c r="M3940"/>
      <c r="O3940"/>
      <c r="P3940"/>
    </row>
    <row r="3941" spans="12:16">
      <c r="L3941"/>
      <c r="M3941"/>
      <c r="O3941"/>
      <c r="P3941"/>
    </row>
    <row r="3942" spans="12:16">
      <c r="L3942"/>
      <c r="M3942"/>
      <c r="O3942"/>
      <c r="P3942"/>
    </row>
    <row r="3943" spans="12:16">
      <c r="L3943"/>
      <c r="M3943"/>
      <c r="O3943"/>
      <c r="P3943"/>
    </row>
    <row r="3944" spans="12:16">
      <c r="L3944"/>
      <c r="M3944"/>
      <c r="O3944"/>
      <c r="P3944"/>
    </row>
    <row r="3945" spans="12:16">
      <c r="L3945"/>
      <c r="M3945"/>
      <c r="O3945"/>
      <c r="P3945"/>
    </row>
    <row r="3946" spans="12:16">
      <c r="L3946"/>
      <c r="M3946"/>
      <c r="O3946"/>
      <c r="P3946"/>
    </row>
    <row r="3947" spans="12:16">
      <c r="L3947"/>
      <c r="M3947"/>
      <c r="O3947"/>
      <c r="P3947"/>
    </row>
    <row r="3948" spans="12:16">
      <c r="L3948"/>
      <c r="M3948"/>
      <c r="O3948"/>
      <c r="P3948"/>
    </row>
    <row r="3949" spans="12:16">
      <c r="L3949"/>
      <c r="M3949"/>
      <c r="O3949"/>
      <c r="P3949"/>
    </row>
    <row r="3950" spans="12:16">
      <c r="L3950"/>
      <c r="M3950"/>
      <c r="O3950"/>
      <c r="P3950"/>
    </row>
    <row r="3951" spans="12:16">
      <c r="L3951"/>
      <c r="M3951"/>
      <c r="O3951"/>
      <c r="P3951"/>
    </row>
    <row r="3952" spans="12:16">
      <c r="L3952"/>
      <c r="M3952"/>
      <c r="O3952"/>
      <c r="P3952"/>
    </row>
    <row r="3953" spans="12:16">
      <c r="L3953"/>
      <c r="M3953"/>
      <c r="O3953"/>
      <c r="P3953"/>
    </row>
    <row r="3954" spans="12:16">
      <c r="L3954"/>
      <c r="M3954"/>
      <c r="O3954"/>
      <c r="P3954"/>
    </row>
    <row r="3955" spans="12:16">
      <c r="L3955"/>
      <c r="M3955"/>
      <c r="O3955"/>
      <c r="P3955"/>
    </row>
    <row r="3956" spans="12:16">
      <c r="L3956"/>
      <c r="M3956"/>
      <c r="O3956"/>
      <c r="P3956"/>
    </row>
    <row r="3957" spans="12:16">
      <c r="L3957"/>
      <c r="M3957"/>
      <c r="O3957"/>
      <c r="P3957"/>
    </row>
    <row r="3958" spans="12:16">
      <c r="L3958"/>
      <c r="M3958"/>
      <c r="O3958"/>
      <c r="P3958"/>
    </row>
    <row r="3959" spans="12:16">
      <c r="L3959"/>
      <c r="M3959"/>
      <c r="O3959"/>
      <c r="P3959"/>
    </row>
    <row r="3960" spans="12:16">
      <c r="L3960"/>
      <c r="M3960"/>
      <c r="O3960"/>
      <c r="P3960"/>
    </row>
    <row r="3961" spans="12:16">
      <c r="L3961"/>
      <c r="M3961"/>
      <c r="O3961"/>
      <c r="P3961"/>
    </row>
    <row r="3962" spans="12:16">
      <c r="L3962"/>
      <c r="M3962"/>
      <c r="O3962"/>
      <c r="P3962"/>
    </row>
    <row r="3963" spans="12:16">
      <c r="L3963"/>
      <c r="M3963"/>
      <c r="O3963"/>
      <c r="P3963"/>
    </row>
    <row r="3964" spans="12:16">
      <c r="L3964"/>
      <c r="M3964"/>
      <c r="O3964"/>
      <c r="P3964"/>
    </row>
    <row r="3965" spans="12:16">
      <c r="L3965"/>
      <c r="M3965"/>
      <c r="O3965"/>
      <c r="P3965"/>
    </row>
    <row r="3966" spans="12:16">
      <c r="L3966"/>
      <c r="M3966"/>
      <c r="O3966"/>
      <c r="P3966"/>
    </row>
    <row r="3967" spans="12:16">
      <c r="L3967"/>
      <c r="M3967"/>
      <c r="O3967"/>
      <c r="P3967"/>
    </row>
    <row r="3968" spans="12:16">
      <c r="L3968"/>
      <c r="M3968"/>
      <c r="O3968"/>
      <c r="P3968"/>
    </row>
    <row r="3969" spans="12:16">
      <c r="L3969"/>
      <c r="M3969"/>
      <c r="O3969"/>
      <c r="P3969"/>
    </row>
    <row r="3970" spans="12:16">
      <c r="L3970"/>
      <c r="M3970"/>
      <c r="O3970"/>
      <c r="P3970"/>
    </row>
    <row r="3971" spans="12:16">
      <c r="L3971"/>
      <c r="M3971"/>
      <c r="O3971"/>
      <c r="P3971"/>
    </row>
    <row r="3972" spans="12:16">
      <c r="L3972"/>
      <c r="M3972"/>
      <c r="O3972"/>
      <c r="P3972"/>
    </row>
    <row r="3973" spans="12:16">
      <c r="L3973"/>
      <c r="M3973"/>
      <c r="O3973"/>
      <c r="P3973"/>
    </row>
    <row r="3974" spans="12:16">
      <c r="L3974"/>
      <c r="M3974"/>
      <c r="O3974"/>
      <c r="P3974"/>
    </row>
    <row r="3975" spans="12:16">
      <c r="L3975"/>
      <c r="M3975"/>
      <c r="O3975"/>
      <c r="P3975"/>
    </row>
    <row r="3976" spans="12:16">
      <c r="L3976"/>
      <c r="M3976"/>
      <c r="O3976"/>
      <c r="P3976"/>
    </row>
    <row r="3977" spans="12:16">
      <c r="L3977"/>
      <c r="M3977"/>
      <c r="O3977"/>
      <c r="P3977"/>
    </row>
    <row r="3978" spans="12:16">
      <c r="L3978"/>
      <c r="M3978"/>
      <c r="O3978"/>
      <c r="P3978"/>
    </row>
    <row r="3979" spans="12:16">
      <c r="L3979"/>
      <c r="M3979"/>
      <c r="O3979"/>
      <c r="P3979"/>
    </row>
    <row r="3980" spans="12:16">
      <c r="L3980"/>
      <c r="M3980"/>
      <c r="O3980"/>
      <c r="P3980"/>
    </row>
    <row r="3981" spans="12:16">
      <c r="L3981"/>
      <c r="M3981"/>
      <c r="O3981"/>
      <c r="P3981"/>
    </row>
    <row r="3982" spans="12:16">
      <c r="L3982"/>
      <c r="M3982"/>
      <c r="O3982"/>
      <c r="P3982"/>
    </row>
    <row r="3983" spans="12:16">
      <c r="L3983"/>
      <c r="M3983"/>
      <c r="O3983"/>
      <c r="P3983"/>
    </row>
    <row r="3984" spans="12:16">
      <c r="L3984"/>
      <c r="M3984"/>
      <c r="O3984"/>
      <c r="P3984"/>
    </row>
    <row r="3985" spans="12:16">
      <c r="L3985"/>
      <c r="M3985"/>
      <c r="O3985"/>
      <c r="P3985"/>
    </row>
    <row r="3986" spans="12:16">
      <c r="L3986"/>
      <c r="M3986"/>
      <c r="O3986"/>
      <c r="P3986"/>
    </row>
    <row r="3987" spans="12:16">
      <c r="L3987"/>
      <c r="M3987"/>
      <c r="O3987"/>
      <c r="P3987"/>
    </row>
    <row r="3988" spans="12:16">
      <c r="L3988"/>
      <c r="M3988"/>
      <c r="O3988"/>
      <c r="P3988"/>
    </row>
    <row r="3989" spans="12:16">
      <c r="L3989"/>
      <c r="M3989"/>
      <c r="O3989"/>
      <c r="P3989"/>
    </row>
    <row r="3990" spans="12:16">
      <c r="L3990"/>
      <c r="M3990"/>
      <c r="O3990"/>
      <c r="P3990"/>
    </row>
    <row r="3991" spans="12:16">
      <c r="L3991"/>
      <c r="M3991"/>
      <c r="O3991"/>
      <c r="P3991"/>
    </row>
    <row r="3992" spans="12:16">
      <c r="L3992"/>
      <c r="M3992"/>
      <c r="O3992"/>
      <c r="P3992"/>
    </row>
    <row r="3993" spans="12:16">
      <c r="L3993"/>
      <c r="M3993"/>
      <c r="O3993"/>
      <c r="P3993"/>
    </row>
    <row r="3994" spans="12:16">
      <c r="L3994"/>
      <c r="M3994"/>
      <c r="O3994"/>
      <c r="P3994"/>
    </row>
    <row r="3995" spans="12:16">
      <c r="L3995"/>
      <c r="M3995"/>
      <c r="O3995"/>
      <c r="P3995"/>
    </row>
    <row r="3996" spans="12:16">
      <c r="L3996"/>
      <c r="M3996"/>
      <c r="O3996"/>
      <c r="P3996"/>
    </row>
    <row r="3997" spans="12:16">
      <c r="L3997"/>
      <c r="M3997"/>
      <c r="O3997"/>
      <c r="P3997"/>
    </row>
    <row r="3998" spans="12:16">
      <c r="L3998"/>
      <c r="M3998"/>
      <c r="O3998"/>
      <c r="P3998"/>
    </row>
    <row r="3999" spans="12:16">
      <c r="L3999"/>
      <c r="M3999"/>
      <c r="O3999"/>
      <c r="P3999"/>
    </row>
    <row r="4000" spans="12:16">
      <c r="L4000"/>
      <c r="M4000"/>
      <c r="O4000"/>
      <c r="P4000"/>
    </row>
    <row r="4001" spans="12:16">
      <c r="L4001"/>
      <c r="M4001"/>
      <c r="O4001"/>
      <c r="P4001"/>
    </row>
    <row r="4002" spans="12:16">
      <c r="L4002"/>
      <c r="M4002"/>
      <c r="O4002"/>
      <c r="P4002"/>
    </row>
    <row r="4003" spans="12:16">
      <c r="L4003"/>
      <c r="M4003"/>
      <c r="O4003"/>
      <c r="P4003"/>
    </row>
    <row r="4004" spans="12:16">
      <c r="L4004"/>
      <c r="M4004"/>
      <c r="O4004"/>
      <c r="P4004"/>
    </row>
    <row r="4005" spans="12:16">
      <c r="L4005"/>
      <c r="M4005"/>
      <c r="O4005"/>
      <c r="P4005"/>
    </row>
    <row r="4006" spans="12:16">
      <c r="L4006"/>
      <c r="M4006"/>
      <c r="O4006"/>
      <c r="P4006"/>
    </row>
    <row r="4007" spans="12:16">
      <c r="L4007"/>
      <c r="M4007"/>
      <c r="O4007"/>
      <c r="P4007"/>
    </row>
    <row r="4008" spans="12:16">
      <c r="L4008"/>
      <c r="M4008"/>
      <c r="O4008"/>
      <c r="P4008"/>
    </row>
    <row r="4009" spans="12:16">
      <c r="L4009"/>
      <c r="M4009"/>
      <c r="O4009"/>
      <c r="P4009"/>
    </row>
    <row r="4010" spans="12:16">
      <c r="L4010"/>
      <c r="M4010"/>
      <c r="O4010"/>
      <c r="P4010"/>
    </row>
    <row r="4011" spans="12:16">
      <c r="L4011"/>
      <c r="M4011"/>
      <c r="O4011"/>
      <c r="P4011"/>
    </row>
    <row r="4012" spans="12:16">
      <c r="L4012"/>
      <c r="M4012"/>
      <c r="O4012"/>
      <c r="P4012"/>
    </row>
    <row r="4013" spans="12:16">
      <c r="L4013"/>
      <c r="M4013"/>
      <c r="O4013"/>
      <c r="P4013"/>
    </row>
    <row r="4014" spans="12:16">
      <c r="L4014"/>
      <c r="M4014"/>
      <c r="O4014"/>
      <c r="P4014"/>
    </row>
    <row r="4015" spans="12:16">
      <c r="L4015"/>
      <c r="M4015"/>
      <c r="O4015"/>
      <c r="P4015"/>
    </row>
    <row r="4016" spans="12:16">
      <c r="L4016"/>
      <c r="M4016"/>
      <c r="O4016"/>
      <c r="P4016"/>
    </row>
    <row r="4017" spans="12:16">
      <c r="L4017"/>
      <c r="M4017"/>
      <c r="O4017"/>
      <c r="P4017"/>
    </row>
    <row r="4018" spans="12:16">
      <c r="L4018"/>
      <c r="M4018"/>
      <c r="O4018"/>
      <c r="P4018"/>
    </row>
    <row r="4019" spans="12:16">
      <c r="L4019"/>
      <c r="M4019"/>
      <c r="O4019"/>
      <c r="P4019"/>
    </row>
    <row r="4020" spans="12:16">
      <c r="L4020"/>
      <c r="M4020"/>
      <c r="O4020"/>
      <c r="P4020"/>
    </row>
    <row r="4021" spans="12:16">
      <c r="L4021"/>
      <c r="M4021"/>
      <c r="O4021"/>
      <c r="P4021"/>
    </row>
    <row r="4022" spans="12:16">
      <c r="L4022"/>
      <c r="M4022"/>
      <c r="O4022"/>
      <c r="P4022"/>
    </row>
    <row r="4023" spans="12:16">
      <c r="L4023"/>
      <c r="M4023"/>
      <c r="O4023"/>
      <c r="P4023"/>
    </row>
    <row r="4024" spans="12:16">
      <c r="L4024"/>
      <c r="M4024"/>
      <c r="O4024"/>
      <c r="P4024"/>
    </row>
    <row r="4025" spans="12:16">
      <c r="L4025"/>
      <c r="M4025"/>
      <c r="O4025"/>
      <c r="P4025"/>
    </row>
    <row r="4026" spans="12:16">
      <c r="L4026"/>
      <c r="M4026"/>
      <c r="O4026"/>
      <c r="P4026"/>
    </row>
    <row r="4027" spans="12:16">
      <c r="L4027"/>
      <c r="M4027"/>
      <c r="O4027"/>
      <c r="P4027"/>
    </row>
    <row r="4028" spans="12:16">
      <c r="L4028"/>
      <c r="M4028"/>
      <c r="O4028"/>
      <c r="P4028"/>
    </row>
    <row r="4029" spans="12:16">
      <c r="L4029"/>
      <c r="M4029"/>
      <c r="O4029"/>
      <c r="P4029"/>
    </row>
    <row r="4030" spans="12:16">
      <c r="L4030"/>
      <c r="M4030"/>
      <c r="O4030"/>
      <c r="P4030"/>
    </row>
    <row r="4031" spans="12:16">
      <c r="L4031"/>
      <c r="M4031"/>
      <c r="O4031"/>
      <c r="P4031"/>
    </row>
    <row r="4032" spans="12:16">
      <c r="L4032"/>
      <c r="M4032"/>
      <c r="O4032"/>
      <c r="P4032"/>
    </row>
    <row r="4033" spans="12:16">
      <c r="L4033"/>
      <c r="M4033"/>
      <c r="O4033"/>
      <c r="P4033"/>
    </row>
    <row r="4034" spans="12:16">
      <c r="L4034"/>
      <c r="M4034"/>
      <c r="O4034"/>
      <c r="P4034"/>
    </row>
    <row r="4035" spans="12:16">
      <c r="L4035"/>
      <c r="M4035"/>
      <c r="O4035"/>
      <c r="P4035"/>
    </row>
    <row r="4036" spans="12:16">
      <c r="L4036"/>
      <c r="M4036"/>
      <c r="O4036"/>
      <c r="P4036"/>
    </row>
    <row r="4037" spans="12:16">
      <c r="L4037"/>
      <c r="M4037"/>
      <c r="O4037"/>
      <c r="P4037"/>
    </row>
    <row r="4038" spans="12:16">
      <c r="L4038"/>
      <c r="M4038"/>
      <c r="O4038"/>
      <c r="P4038"/>
    </row>
    <row r="4039" spans="12:16">
      <c r="L4039"/>
      <c r="M4039"/>
      <c r="O4039"/>
      <c r="P4039"/>
    </row>
    <row r="4040" spans="12:16">
      <c r="L4040"/>
      <c r="M4040"/>
      <c r="O4040"/>
      <c r="P4040"/>
    </row>
    <row r="4041" spans="12:16">
      <c r="L4041"/>
      <c r="M4041"/>
      <c r="O4041"/>
      <c r="P4041"/>
    </row>
    <row r="4042" spans="12:16">
      <c r="L4042"/>
      <c r="M4042"/>
      <c r="O4042"/>
      <c r="P4042"/>
    </row>
    <row r="4043" spans="12:16">
      <c r="L4043"/>
      <c r="M4043"/>
      <c r="O4043"/>
      <c r="P4043"/>
    </row>
    <row r="4044" spans="12:16">
      <c r="L4044"/>
      <c r="M4044"/>
      <c r="O4044"/>
      <c r="P4044"/>
    </row>
    <row r="4045" spans="12:16">
      <c r="L4045"/>
      <c r="M4045"/>
      <c r="O4045"/>
      <c r="P4045"/>
    </row>
    <row r="4046" spans="12:16">
      <c r="L4046"/>
      <c r="M4046"/>
      <c r="O4046"/>
      <c r="P4046"/>
    </row>
    <row r="4047" spans="12:16">
      <c r="L4047"/>
      <c r="M4047"/>
      <c r="O4047"/>
      <c r="P4047"/>
    </row>
    <row r="4048" spans="12:16">
      <c r="L4048"/>
      <c r="M4048"/>
      <c r="O4048"/>
      <c r="P4048"/>
    </row>
    <row r="4049" spans="12:16">
      <c r="L4049"/>
      <c r="M4049"/>
      <c r="O4049"/>
      <c r="P4049"/>
    </row>
    <row r="4050" spans="12:16">
      <c r="L4050"/>
      <c r="M4050"/>
      <c r="O4050"/>
      <c r="P4050"/>
    </row>
    <row r="4051" spans="12:16">
      <c r="L4051"/>
      <c r="M4051"/>
      <c r="O4051"/>
      <c r="P4051"/>
    </row>
    <row r="4052" spans="12:16">
      <c r="L4052"/>
      <c r="M4052"/>
      <c r="O4052"/>
      <c r="P4052"/>
    </row>
    <row r="4053" spans="12:16">
      <c r="L4053"/>
      <c r="M4053"/>
      <c r="O4053"/>
      <c r="P4053"/>
    </row>
    <row r="4054" spans="12:16">
      <c r="L4054"/>
      <c r="M4054"/>
      <c r="O4054"/>
      <c r="P4054"/>
    </row>
    <row r="4055" spans="12:16">
      <c r="L4055"/>
      <c r="M4055"/>
      <c r="O4055"/>
      <c r="P4055"/>
    </row>
    <row r="4056" spans="12:16">
      <c r="L4056"/>
      <c r="M4056"/>
      <c r="O4056"/>
      <c r="P4056"/>
    </row>
    <row r="4057" spans="12:16">
      <c r="L4057"/>
      <c r="M4057"/>
      <c r="O4057"/>
      <c r="P4057"/>
    </row>
    <row r="4058" spans="12:16">
      <c r="L4058"/>
      <c r="M4058"/>
      <c r="O4058"/>
      <c r="P4058"/>
    </row>
    <row r="4059" spans="12:16">
      <c r="L4059"/>
      <c r="M4059"/>
      <c r="O4059"/>
      <c r="P4059"/>
    </row>
    <row r="4060" spans="12:16">
      <c r="L4060"/>
      <c r="M4060"/>
      <c r="O4060"/>
      <c r="P4060"/>
    </row>
    <row r="4061" spans="12:16">
      <c r="L4061"/>
      <c r="M4061"/>
      <c r="O4061"/>
      <c r="P4061"/>
    </row>
    <row r="4062" spans="12:16">
      <c r="L4062"/>
      <c r="M4062"/>
      <c r="O4062"/>
      <c r="P4062"/>
    </row>
    <row r="4063" spans="12:16">
      <c r="L4063"/>
      <c r="M4063"/>
      <c r="O4063"/>
      <c r="P4063"/>
    </row>
    <row r="4064" spans="12:16">
      <c r="L4064"/>
      <c r="M4064"/>
      <c r="O4064"/>
      <c r="P4064"/>
    </row>
    <row r="4065" spans="12:16">
      <c r="L4065"/>
      <c r="M4065"/>
      <c r="O4065"/>
      <c r="P4065"/>
    </row>
    <row r="4066" spans="12:16">
      <c r="L4066"/>
      <c r="M4066"/>
      <c r="O4066"/>
      <c r="P4066"/>
    </row>
    <row r="4067" spans="12:16">
      <c r="L4067"/>
      <c r="M4067"/>
      <c r="O4067"/>
      <c r="P4067"/>
    </row>
    <row r="4068" spans="12:16">
      <c r="L4068"/>
      <c r="M4068"/>
      <c r="O4068"/>
      <c r="P4068"/>
    </row>
    <row r="4069" spans="12:16">
      <c r="L4069"/>
      <c r="M4069"/>
      <c r="O4069"/>
      <c r="P4069"/>
    </row>
    <row r="4070" spans="12:16">
      <c r="L4070"/>
      <c r="M4070"/>
      <c r="O4070"/>
      <c r="P4070"/>
    </row>
    <row r="4071" spans="12:16">
      <c r="L4071"/>
      <c r="M4071"/>
      <c r="O4071"/>
      <c r="P4071"/>
    </row>
    <row r="4072" spans="12:16">
      <c r="L4072"/>
      <c r="M4072"/>
      <c r="O4072"/>
      <c r="P4072"/>
    </row>
    <row r="4073" spans="12:16">
      <c r="L4073"/>
      <c r="M4073"/>
      <c r="O4073"/>
      <c r="P4073"/>
    </row>
    <row r="4074" spans="12:16">
      <c r="L4074"/>
      <c r="M4074"/>
      <c r="O4074"/>
      <c r="P4074"/>
    </row>
    <row r="4075" spans="12:16">
      <c r="L4075"/>
      <c r="M4075"/>
      <c r="O4075"/>
      <c r="P4075"/>
    </row>
    <row r="4076" spans="12:16">
      <c r="L4076"/>
      <c r="M4076"/>
      <c r="O4076"/>
      <c r="P4076"/>
    </row>
    <row r="4077" spans="12:16">
      <c r="L4077"/>
      <c r="M4077"/>
      <c r="O4077"/>
      <c r="P4077"/>
    </row>
    <row r="4078" spans="12:16">
      <c r="L4078"/>
      <c r="M4078"/>
      <c r="O4078"/>
      <c r="P4078"/>
    </row>
    <row r="4079" spans="12:16">
      <c r="L4079"/>
      <c r="M4079"/>
      <c r="O4079"/>
      <c r="P4079"/>
    </row>
    <row r="4080" spans="12:16">
      <c r="L4080"/>
      <c r="M4080"/>
      <c r="O4080"/>
      <c r="P4080"/>
    </row>
    <row r="4081" spans="12:16">
      <c r="L4081"/>
      <c r="M4081"/>
      <c r="O4081"/>
      <c r="P4081"/>
    </row>
    <row r="4082" spans="12:16">
      <c r="L4082"/>
      <c r="M4082"/>
      <c r="O4082"/>
      <c r="P4082"/>
    </row>
    <row r="4083" spans="12:16">
      <c r="L4083"/>
      <c r="M4083"/>
      <c r="O4083"/>
      <c r="P4083"/>
    </row>
    <row r="4084" spans="12:16">
      <c r="L4084"/>
      <c r="M4084"/>
      <c r="O4084"/>
      <c r="P4084"/>
    </row>
    <row r="4085" spans="12:16">
      <c r="L4085"/>
      <c r="M4085"/>
      <c r="O4085"/>
      <c r="P4085"/>
    </row>
    <row r="4086" spans="12:16">
      <c r="L4086"/>
      <c r="M4086"/>
      <c r="O4086"/>
      <c r="P4086"/>
    </row>
    <row r="4087" spans="12:16">
      <c r="L4087"/>
      <c r="M4087"/>
      <c r="O4087"/>
      <c r="P4087"/>
    </row>
    <row r="4088" spans="12:16">
      <c r="L4088"/>
      <c r="M4088"/>
      <c r="O4088"/>
      <c r="P4088"/>
    </row>
    <row r="4089" spans="12:16">
      <c r="L4089"/>
      <c r="M4089"/>
      <c r="O4089"/>
      <c r="P4089"/>
    </row>
    <row r="4090" spans="12:16">
      <c r="L4090"/>
      <c r="M4090"/>
      <c r="O4090"/>
      <c r="P4090"/>
    </row>
    <row r="4091" spans="12:16">
      <c r="L4091"/>
      <c r="M4091"/>
      <c r="O4091"/>
      <c r="P4091"/>
    </row>
    <row r="4092" spans="12:16">
      <c r="L4092"/>
      <c r="M4092"/>
      <c r="O4092"/>
      <c r="P4092"/>
    </row>
    <row r="4093" spans="12:16">
      <c r="L4093"/>
      <c r="M4093"/>
      <c r="O4093"/>
      <c r="P4093"/>
    </row>
    <row r="4094" spans="12:16">
      <c r="L4094"/>
      <c r="M4094"/>
      <c r="O4094"/>
      <c r="P4094"/>
    </row>
    <row r="4095" spans="12:16">
      <c r="L4095"/>
      <c r="M4095"/>
      <c r="O4095"/>
      <c r="P4095"/>
    </row>
    <row r="4096" spans="12:16">
      <c r="L4096"/>
      <c r="M4096"/>
      <c r="O4096"/>
      <c r="P4096"/>
    </row>
    <row r="4097" spans="12:16">
      <c r="L4097"/>
      <c r="M4097"/>
      <c r="O4097"/>
      <c r="P4097"/>
    </row>
    <row r="4098" spans="12:16">
      <c r="L4098"/>
      <c r="M4098"/>
      <c r="O4098"/>
      <c r="P4098"/>
    </row>
    <row r="4099" spans="12:16">
      <c r="L4099"/>
      <c r="M4099"/>
      <c r="O4099"/>
      <c r="P4099"/>
    </row>
    <row r="4100" spans="12:16">
      <c r="L4100"/>
      <c r="M4100"/>
      <c r="O4100"/>
      <c r="P4100"/>
    </row>
    <row r="4101" spans="12:16">
      <c r="L4101"/>
      <c r="M4101"/>
      <c r="O4101"/>
      <c r="P4101"/>
    </row>
    <row r="4102" spans="12:16">
      <c r="L4102"/>
      <c r="M4102"/>
      <c r="O4102"/>
      <c r="P4102"/>
    </row>
    <row r="4103" spans="12:16">
      <c r="L4103"/>
      <c r="M4103"/>
      <c r="O4103"/>
      <c r="P4103"/>
    </row>
    <row r="4104" spans="12:16">
      <c r="L4104"/>
      <c r="M4104"/>
      <c r="O4104"/>
      <c r="P4104"/>
    </row>
    <row r="4105" spans="12:16">
      <c r="L4105"/>
      <c r="M4105"/>
      <c r="O4105"/>
      <c r="P4105"/>
    </row>
    <row r="4106" spans="12:16">
      <c r="L4106"/>
      <c r="M4106"/>
      <c r="O4106"/>
      <c r="P4106"/>
    </row>
    <row r="4107" spans="12:16">
      <c r="L4107"/>
      <c r="M4107"/>
      <c r="O4107"/>
      <c r="P4107"/>
    </row>
    <row r="4108" spans="12:16">
      <c r="L4108"/>
      <c r="M4108"/>
      <c r="O4108"/>
      <c r="P4108"/>
    </row>
    <row r="4109" spans="12:16">
      <c r="L4109"/>
      <c r="M4109"/>
      <c r="O4109"/>
      <c r="P4109"/>
    </row>
    <row r="4110" spans="12:16">
      <c r="L4110"/>
      <c r="M4110"/>
      <c r="O4110"/>
      <c r="P4110"/>
    </row>
    <row r="4111" spans="12:16">
      <c r="L4111"/>
      <c r="M4111"/>
      <c r="O4111"/>
      <c r="P4111"/>
    </row>
    <row r="4112" spans="12:16">
      <c r="L4112"/>
      <c r="M4112"/>
      <c r="O4112"/>
      <c r="P4112"/>
    </row>
    <row r="4113" spans="12:16">
      <c r="L4113"/>
      <c r="M4113"/>
      <c r="O4113"/>
      <c r="P4113"/>
    </row>
    <row r="4114" spans="12:16">
      <c r="L4114"/>
      <c r="M4114"/>
      <c r="O4114"/>
      <c r="P4114"/>
    </row>
    <row r="4115" spans="12:16">
      <c r="L4115"/>
      <c r="M4115"/>
      <c r="O4115"/>
      <c r="P4115"/>
    </row>
    <row r="4116" spans="12:16">
      <c r="L4116"/>
      <c r="M4116"/>
      <c r="O4116"/>
      <c r="P4116"/>
    </row>
    <row r="4117" spans="12:16">
      <c r="L4117"/>
      <c r="M4117"/>
      <c r="O4117"/>
      <c r="P4117"/>
    </row>
    <row r="4118" spans="12:16">
      <c r="L4118"/>
      <c r="M4118"/>
      <c r="O4118"/>
      <c r="P4118"/>
    </row>
    <row r="4119" spans="12:16">
      <c r="L4119"/>
      <c r="M4119"/>
      <c r="O4119"/>
      <c r="P4119"/>
    </row>
    <row r="4120" spans="12:16">
      <c r="L4120"/>
      <c r="M4120"/>
      <c r="O4120"/>
      <c r="P4120"/>
    </row>
    <row r="4121" spans="12:16">
      <c r="L4121"/>
      <c r="M4121"/>
      <c r="O4121"/>
      <c r="P4121"/>
    </row>
    <row r="4122" spans="12:16">
      <c r="L4122"/>
      <c r="M4122"/>
      <c r="O4122"/>
      <c r="P4122"/>
    </row>
    <row r="4123" spans="12:16">
      <c r="L4123"/>
      <c r="M4123"/>
      <c r="O4123"/>
      <c r="P4123"/>
    </row>
    <row r="4124" spans="12:16">
      <c r="L4124"/>
      <c r="M4124"/>
      <c r="O4124"/>
      <c r="P4124"/>
    </row>
    <row r="4125" spans="12:16">
      <c r="L4125"/>
      <c r="M4125"/>
      <c r="O4125"/>
      <c r="P4125"/>
    </row>
    <row r="4126" spans="12:16">
      <c r="L4126"/>
      <c r="M4126"/>
      <c r="O4126"/>
      <c r="P4126"/>
    </row>
    <row r="4127" spans="12:16">
      <c r="L4127"/>
      <c r="M4127"/>
      <c r="O4127"/>
      <c r="P4127"/>
    </row>
    <row r="4128" spans="12:16">
      <c r="L4128"/>
      <c r="M4128"/>
      <c r="O4128"/>
      <c r="P4128"/>
    </row>
    <row r="4129" spans="12:16">
      <c r="L4129"/>
      <c r="M4129"/>
      <c r="O4129"/>
      <c r="P4129"/>
    </row>
    <row r="4130" spans="12:16">
      <c r="L4130"/>
      <c r="M4130"/>
      <c r="O4130"/>
      <c r="P4130"/>
    </row>
    <row r="4131" spans="12:16">
      <c r="L4131"/>
      <c r="M4131"/>
      <c r="O4131"/>
      <c r="P4131"/>
    </row>
    <row r="4132" spans="12:16">
      <c r="L4132"/>
      <c r="M4132"/>
      <c r="O4132"/>
      <c r="P4132"/>
    </row>
    <row r="4133" spans="12:16">
      <c r="L4133"/>
      <c r="M4133"/>
      <c r="O4133"/>
      <c r="P4133"/>
    </row>
    <row r="4134" spans="12:16">
      <c r="L4134"/>
      <c r="M4134"/>
      <c r="O4134"/>
      <c r="P4134"/>
    </row>
    <row r="4135" spans="12:16">
      <c r="L4135"/>
      <c r="M4135"/>
      <c r="O4135"/>
      <c r="P4135"/>
    </row>
    <row r="4136" spans="12:16">
      <c r="L4136"/>
      <c r="M4136"/>
      <c r="O4136"/>
      <c r="P4136"/>
    </row>
    <row r="4137" spans="12:16">
      <c r="L4137"/>
      <c r="M4137"/>
      <c r="O4137"/>
      <c r="P4137"/>
    </row>
    <row r="4138" spans="12:16">
      <c r="L4138"/>
      <c r="M4138"/>
      <c r="O4138"/>
      <c r="P4138"/>
    </row>
    <row r="4139" spans="12:16">
      <c r="L4139"/>
      <c r="M4139"/>
      <c r="O4139"/>
      <c r="P4139"/>
    </row>
    <row r="4140" spans="12:16">
      <c r="L4140"/>
      <c r="M4140"/>
      <c r="O4140"/>
      <c r="P4140"/>
    </row>
    <row r="4141" spans="12:16">
      <c r="L4141"/>
      <c r="M4141"/>
      <c r="O4141"/>
      <c r="P4141"/>
    </row>
    <row r="4142" spans="12:16">
      <c r="L4142"/>
      <c r="M4142"/>
      <c r="O4142"/>
      <c r="P4142"/>
    </row>
    <row r="4143" spans="12:16">
      <c r="L4143"/>
      <c r="M4143"/>
      <c r="O4143"/>
      <c r="P4143"/>
    </row>
    <row r="4144" spans="12:16">
      <c r="L4144"/>
      <c r="M4144"/>
      <c r="O4144"/>
      <c r="P4144"/>
    </row>
    <row r="4145" spans="12:16">
      <c r="L4145"/>
      <c r="M4145"/>
      <c r="O4145"/>
      <c r="P4145"/>
    </row>
    <row r="4146" spans="12:16">
      <c r="L4146"/>
      <c r="M4146"/>
      <c r="O4146"/>
      <c r="P4146"/>
    </row>
    <row r="4147" spans="12:16">
      <c r="L4147"/>
      <c r="M4147"/>
      <c r="O4147"/>
      <c r="P4147"/>
    </row>
    <row r="4148" spans="12:16">
      <c r="L4148"/>
      <c r="M4148"/>
      <c r="O4148"/>
      <c r="P4148"/>
    </row>
    <row r="4149" spans="12:16">
      <c r="L4149"/>
      <c r="M4149"/>
      <c r="O4149"/>
      <c r="P4149"/>
    </row>
    <row r="4150" spans="12:16">
      <c r="L4150"/>
      <c r="M4150"/>
      <c r="O4150"/>
      <c r="P4150"/>
    </row>
    <row r="4151" spans="12:16">
      <c r="L4151"/>
      <c r="M4151"/>
      <c r="O4151"/>
      <c r="P4151"/>
    </row>
    <row r="4152" spans="12:16">
      <c r="L4152"/>
      <c r="M4152"/>
      <c r="O4152"/>
      <c r="P4152"/>
    </row>
    <row r="4153" spans="12:16">
      <c r="L4153"/>
      <c r="M4153"/>
      <c r="O4153"/>
      <c r="P4153"/>
    </row>
    <row r="4154" spans="12:16">
      <c r="L4154"/>
      <c r="M4154"/>
      <c r="O4154"/>
      <c r="P4154"/>
    </row>
    <row r="4155" spans="12:16">
      <c r="L4155"/>
      <c r="M4155"/>
      <c r="O4155"/>
      <c r="P4155"/>
    </row>
    <row r="4156" spans="12:16">
      <c r="L4156"/>
      <c r="M4156"/>
      <c r="O4156"/>
      <c r="P4156"/>
    </row>
    <row r="4157" spans="12:16">
      <c r="L4157"/>
      <c r="M4157"/>
      <c r="O4157"/>
      <c r="P4157"/>
    </row>
    <row r="4158" spans="12:16">
      <c r="L4158"/>
      <c r="M4158"/>
      <c r="O4158"/>
      <c r="P4158"/>
    </row>
    <row r="4159" spans="12:16">
      <c r="L4159"/>
      <c r="M4159"/>
      <c r="O4159"/>
      <c r="P4159"/>
    </row>
    <row r="4160" spans="12:16">
      <c r="L4160"/>
      <c r="M4160"/>
      <c r="O4160"/>
      <c r="P4160"/>
    </row>
    <row r="4161" spans="12:16">
      <c r="L4161"/>
      <c r="M4161"/>
      <c r="O4161"/>
      <c r="P4161"/>
    </row>
    <row r="4162" spans="12:16">
      <c r="L4162"/>
      <c r="M4162"/>
      <c r="O4162"/>
      <c r="P4162"/>
    </row>
    <row r="4163" spans="12:16">
      <c r="L4163"/>
      <c r="M4163"/>
      <c r="O4163"/>
      <c r="P4163"/>
    </row>
    <row r="4164" spans="12:16">
      <c r="L4164"/>
      <c r="M4164"/>
      <c r="O4164"/>
      <c r="P4164"/>
    </row>
    <row r="4165" spans="12:16">
      <c r="L4165"/>
      <c r="M4165"/>
      <c r="O4165"/>
      <c r="P4165"/>
    </row>
    <row r="4166" spans="12:16">
      <c r="L4166"/>
      <c r="M4166"/>
      <c r="O4166"/>
      <c r="P4166"/>
    </row>
    <row r="4167" spans="12:16">
      <c r="L4167"/>
      <c r="M4167"/>
      <c r="O4167"/>
      <c r="P4167"/>
    </row>
    <row r="4168" spans="12:16">
      <c r="L4168"/>
      <c r="M4168"/>
      <c r="O4168"/>
      <c r="P4168"/>
    </row>
    <row r="4169" spans="12:16">
      <c r="L4169"/>
      <c r="M4169"/>
      <c r="O4169"/>
      <c r="P4169"/>
    </row>
    <row r="4170" spans="12:16">
      <c r="L4170"/>
      <c r="M4170"/>
      <c r="O4170"/>
      <c r="P4170"/>
    </row>
    <row r="4171" spans="12:16">
      <c r="L4171"/>
      <c r="M4171"/>
      <c r="O4171"/>
      <c r="P4171"/>
    </row>
    <row r="4172" spans="12:16">
      <c r="L4172"/>
      <c r="M4172"/>
      <c r="O4172"/>
      <c r="P4172"/>
    </row>
    <row r="4173" spans="12:16">
      <c r="L4173"/>
      <c r="M4173"/>
      <c r="O4173"/>
      <c r="P4173"/>
    </row>
    <row r="4174" spans="12:16">
      <c r="L4174"/>
      <c r="M4174"/>
      <c r="O4174"/>
      <c r="P4174"/>
    </row>
    <row r="4175" spans="12:16">
      <c r="L4175"/>
      <c r="M4175"/>
      <c r="O4175"/>
      <c r="P4175"/>
    </row>
    <row r="4176" spans="12:16">
      <c r="L4176"/>
      <c r="M4176"/>
      <c r="O4176"/>
      <c r="P4176"/>
    </row>
    <row r="4177" spans="12:16">
      <c r="L4177"/>
      <c r="M4177"/>
      <c r="O4177"/>
      <c r="P4177"/>
    </row>
    <row r="4178" spans="12:16">
      <c r="L4178"/>
      <c r="M4178"/>
      <c r="O4178"/>
      <c r="P4178"/>
    </row>
    <row r="4179" spans="12:16">
      <c r="L4179"/>
      <c r="M4179"/>
      <c r="O4179"/>
      <c r="P4179"/>
    </row>
    <row r="4180" spans="12:16">
      <c r="L4180"/>
      <c r="M4180"/>
      <c r="O4180"/>
      <c r="P4180"/>
    </row>
    <row r="4181" spans="12:16">
      <c r="L4181"/>
      <c r="M4181"/>
      <c r="O4181"/>
      <c r="P4181"/>
    </row>
    <row r="4182" spans="12:16">
      <c r="L4182"/>
      <c r="M4182"/>
      <c r="O4182"/>
      <c r="P4182"/>
    </row>
    <row r="4183" spans="12:16">
      <c r="L4183"/>
      <c r="M4183"/>
      <c r="O4183"/>
      <c r="P4183"/>
    </row>
    <row r="4184" spans="12:16">
      <c r="L4184"/>
      <c r="M4184"/>
      <c r="O4184"/>
      <c r="P4184"/>
    </row>
    <row r="4185" spans="12:16">
      <c r="L4185"/>
      <c r="M4185"/>
      <c r="O4185"/>
      <c r="P4185"/>
    </row>
    <row r="4186" spans="12:16">
      <c r="L4186"/>
      <c r="M4186"/>
      <c r="O4186"/>
      <c r="P4186"/>
    </row>
    <row r="4187" spans="12:16">
      <c r="L4187"/>
      <c r="M4187"/>
      <c r="O4187"/>
      <c r="P4187"/>
    </row>
    <row r="4188" spans="12:16">
      <c r="L4188"/>
      <c r="M4188"/>
      <c r="O4188"/>
      <c r="P4188"/>
    </row>
    <row r="4189" spans="12:16">
      <c r="L4189"/>
      <c r="M4189"/>
      <c r="O4189"/>
      <c r="P4189"/>
    </row>
    <row r="4190" spans="12:16">
      <c r="L4190"/>
      <c r="M4190"/>
      <c r="O4190"/>
      <c r="P4190"/>
    </row>
    <row r="4191" spans="12:16">
      <c r="L4191"/>
      <c r="M4191"/>
      <c r="O4191"/>
      <c r="P4191"/>
    </row>
    <row r="4192" spans="12:16">
      <c r="L4192"/>
      <c r="M4192"/>
      <c r="O4192"/>
      <c r="P4192"/>
    </row>
    <row r="4193" spans="12:16">
      <c r="L4193"/>
      <c r="M4193"/>
      <c r="O4193"/>
      <c r="P4193"/>
    </row>
    <row r="4194" spans="12:16">
      <c r="L4194"/>
      <c r="M4194"/>
      <c r="O4194"/>
      <c r="P4194"/>
    </row>
    <row r="4195" spans="12:16">
      <c r="L4195"/>
      <c r="M4195"/>
      <c r="O4195"/>
      <c r="P4195"/>
    </row>
    <row r="4196" spans="12:16">
      <c r="L4196"/>
      <c r="M4196"/>
      <c r="O4196"/>
      <c r="P4196"/>
    </row>
    <row r="4197" spans="12:16">
      <c r="L4197"/>
      <c r="M4197"/>
      <c r="O4197"/>
      <c r="P4197"/>
    </row>
    <row r="4198" spans="12:16">
      <c r="L4198"/>
      <c r="M4198"/>
      <c r="O4198"/>
      <c r="P4198"/>
    </row>
    <row r="4199" spans="12:16">
      <c r="L4199"/>
      <c r="M4199"/>
      <c r="O4199"/>
      <c r="P4199"/>
    </row>
    <row r="4200" spans="12:16">
      <c r="L4200"/>
      <c r="M4200"/>
      <c r="O4200"/>
      <c r="P4200"/>
    </row>
    <row r="4201" spans="12:16">
      <c r="L4201"/>
      <c r="M4201"/>
      <c r="O4201"/>
      <c r="P4201"/>
    </row>
    <row r="4202" spans="12:16">
      <c r="L4202"/>
      <c r="M4202"/>
      <c r="O4202"/>
      <c r="P4202"/>
    </row>
    <row r="4203" spans="12:16">
      <c r="L4203"/>
      <c r="M4203"/>
      <c r="O4203"/>
      <c r="P4203"/>
    </row>
    <row r="4204" spans="12:16">
      <c r="L4204"/>
      <c r="M4204"/>
      <c r="O4204"/>
      <c r="P4204"/>
    </row>
    <row r="4205" spans="12:16">
      <c r="L4205"/>
      <c r="M4205"/>
      <c r="O4205"/>
      <c r="P4205"/>
    </row>
    <row r="4206" spans="12:16">
      <c r="L4206"/>
      <c r="M4206"/>
      <c r="O4206"/>
      <c r="P4206"/>
    </row>
    <row r="4207" spans="12:16">
      <c r="L4207"/>
      <c r="M4207"/>
      <c r="O4207"/>
      <c r="P4207"/>
    </row>
    <row r="4208" spans="12:16">
      <c r="L4208"/>
      <c r="M4208"/>
      <c r="O4208"/>
      <c r="P4208"/>
    </row>
    <row r="4209" spans="12:16">
      <c r="L4209"/>
      <c r="M4209"/>
      <c r="O4209"/>
      <c r="P4209"/>
    </row>
    <row r="4210" spans="12:16">
      <c r="L4210"/>
      <c r="M4210"/>
      <c r="O4210"/>
      <c r="P4210"/>
    </row>
    <row r="4211" spans="12:16">
      <c r="L4211"/>
      <c r="M4211"/>
      <c r="O4211"/>
      <c r="P4211"/>
    </row>
    <row r="4212" spans="12:16">
      <c r="L4212"/>
      <c r="M4212"/>
      <c r="O4212"/>
      <c r="P4212"/>
    </row>
    <row r="4213" spans="12:16">
      <c r="L4213"/>
      <c r="M4213"/>
      <c r="O4213"/>
      <c r="P4213"/>
    </row>
    <row r="4214" spans="12:16">
      <c r="L4214"/>
      <c r="M4214"/>
      <c r="O4214"/>
      <c r="P4214"/>
    </row>
    <row r="4215" spans="12:16">
      <c r="L4215"/>
      <c r="M4215"/>
      <c r="O4215"/>
      <c r="P4215"/>
    </row>
    <row r="4216" spans="12:16">
      <c r="L4216"/>
      <c r="M4216"/>
      <c r="O4216"/>
      <c r="P4216"/>
    </row>
    <row r="4217" spans="12:16">
      <c r="L4217"/>
      <c r="M4217"/>
      <c r="O4217"/>
      <c r="P4217"/>
    </row>
    <row r="4218" spans="12:16">
      <c r="L4218"/>
      <c r="M4218"/>
      <c r="O4218"/>
      <c r="P4218"/>
    </row>
    <row r="4219" spans="12:16">
      <c r="L4219"/>
      <c r="M4219"/>
      <c r="O4219"/>
      <c r="P4219"/>
    </row>
    <row r="4220" spans="12:16">
      <c r="L4220"/>
      <c r="M4220"/>
      <c r="O4220"/>
      <c r="P4220"/>
    </row>
    <row r="4221" spans="12:16">
      <c r="L4221"/>
      <c r="M4221"/>
      <c r="O4221"/>
      <c r="P4221"/>
    </row>
    <row r="4222" spans="12:16">
      <c r="L4222"/>
      <c r="M4222"/>
      <c r="O4222"/>
      <c r="P4222"/>
    </row>
    <row r="4223" spans="12:16">
      <c r="L4223"/>
      <c r="M4223"/>
      <c r="O4223"/>
      <c r="P4223"/>
    </row>
    <row r="4224" spans="12:16">
      <c r="L4224"/>
      <c r="M4224"/>
      <c r="O4224"/>
      <c r="P4224"/>
    </row>
    <row r="4225" spans="12:16">
      <c r="L4225"/>
      <c r="M4225"/>
      <c r="O4225"/>
      <c r="P4225"/>
    </row>
    <row r="4226" spans="12:16">
      <c r="L4226"/>
      <c r="M4226"/>
      <c r="O4226"/>
      <c r="P4226"/>
    </row>
    <row r="4227" spans="12:16">
      <c r="L4227"/>
      <c r="M4227"/>
      <c r="O4227"/>
      <c r="P4227"/>
    </row>
    <row r="4228" spans="12:16">
      <c r="L4228"/>
      <c r="M4228"/>
      <c r="O4228"/>
      <c r="P4228"/>
    </row>
    <row r="4229" spans="12:16">
      <c r="L4229"/>
      <c r="M4229"/>
      <c r="O4229"/>
      <c r="P4229"/>
    </row>
    <row r="4230" spans="12:16">
      <c r="L4230"/>
      <c r="M4230"/>
      <c r="O4230"/>
      <c r="P4230"/>
    </row>
    <row r="4231" spans="12:16">
      <c r="L4231"/>
      <c r="M4231"/>
      <c r="O4231"/>
      <c r="P4231"/>
    </row>
    <row r="4232" spans="12:16">
      <c r="L4232"/>
      <c r="M4232"/>
      <c r="O4232"/>
      <c r="P4232"/>
    </row>
    <row r="4233" spans="12:16">
      <c r="L4233"/>
      <c r="M4233"/>
      <c r="O4233"/>
      <c r="P4233"/>
    </row>
    <row r="4234" spans="12:16">
      <c r="L4234"/>
      <c r="M4234"/>
      <c r="O4234"/>
      <c r="P4234"/>
    </row>
    <row r="4235" spans="12:16">
      <c r="L4235"/>
      <c r="M4235"/>
      <c r="O4235"/>
      <c r="P4235"/>
    </row>
    <row r="4236" spans="12:16">
      <c r="L4236"/>
      <c r="M4236"/>
      <c r="O4236"/>
      <c r="P4236"/>
    </row>
    <row r="4237" spans="12:16">
      <c r="L4237"/>
      <c r="M4237"/>
      <c r="O4237"/>
      <c r="P4237"/>
    </row>
    <row r="4238" spans="12:16">
      <c r="L4238"/>
      <c r="M4238"/>
      <c r="O4238"/>
      <c r="P4238"/>
    </row>
    <row r="4239" spans="12:16">
      <c r="L4239"/>
      <c r="M4239"/>
      <c r="O4239"/>
      <c r="P4239"/>
    </row>
    <row r="4240" spans="12:16">
      <c r="L4240"/>
      <c r="M4240"/>
      <c r="O4240"/>
      <c r="P4240"/>
    </row>
    <row r="4241" spans="12:16">
      <c r="L4241"/>
      <c r="M4241"/>
      <c r="O4241"/>
      <c r="P4241"/>
    </row>
    <row r="4242" spans="12:16">
      <c r="L4242"/>
      <c r="M4242"/>
      <c r="O4242"/>
      <c r="P4242"/>
    </row>
    <row r="4243" spans="12:16">
      <c r="L4243"/>
      <c r="M4243"/>
      <c r="O4243"/>
      <c r="P4243"/>
    </row>
    <row r="4244" spans="12:16">
      <c r="L4244"/>
      <c r="M4244"/>
      <c r="O4244"/>
      <c r="P4244"/>
    </row>
    <row r="4245" spans="12:16">
      <c r="L4245"/>
      <c r="M4245"/>
      <c r="O4245"/>
      <c r="P4245"/>
    </row>
    <row r="4246" spans="12:16">
      <c r="L4246"/>
      <c r="M4246"/>
      <c r="O4246"/>
      <c r="P4246"/>
    </row>
    <row r="4247" spans="12:16">
      <c r="L4247"/>
      <c r="M4247"/>
      <c r="O4247"/>
      <c r="P4247"/>
    </row>
    <row r="4248" spans="12:16">
      <c r="L4248"/>
      <c r="M4248"/>
      <c r="O4248"/>
      <c r="P4248"/>
    </row>
    <row r="4249" spans="12:16">
      <c r="L4249"/>
      <c r="M4249"/>
      <c r="O4249"/>
      <c r="P4249"/>
    </row>
    <row r="4250" spans="12:16">
      <c r="L4250"/>
      <c r="M4250"/>
      <c r="O4250"/>
      <c r="P4250"/>
    </row>
    <row r="4251" spans="12:16">
      <c r="L4251"/>
      <c r="M4251"/>
      <c r="O4251"/>
      <c r="P4251"/>
    </row>
    <row r="4252" spans="12:16">
      <c r="L4252"/>
      <c r="M4252"/>
      <c r="O4252"/>
      <c r="P4252"/>
    </row>
    <row r="4253" spans="12:16">
      <c r="L4253"/>
      <c r="M4253"/>
      <c r="O4253"/>
      <c r="P4253"/>
    </row>
    <row r="4254" spans="12:16">
      <c r="L4254"/>
      <c r="M4254"/>
      <c r="O4254"/>
      <c r="P4254"/>
    </row>
    <row r="4255" spans="12:16">
      <c r="L4255"/>
      <c r="M4255"/>
      <c r="O4255"/>
      <c r="P4255"/>
    </row>
    <row r="4256" spans="12:16">
      <c r="L4256"/>
      <c r="M4256"/>
      <c r="O4256"/>
      <c r="P4256"/>
    </row>
    <row r="4257" spans="12:16">
      <c r="L4257"/>
      <c r="M4257"/>
      <c r="O4257"/>
      <c r="P4257"/>
    </row>
    <row r="4258" spans="12:16">
      <c r="L4258"/>
      <c r="M4258"/>
      <c r="O4258"/>
      <c r="P4258"/>
    </row>
    <row r="4259" spans="12:16">
      <c r="L4259"/>
      <c r="M4259"/>
      <c r="O4259"/>
      <c r="P4259"/>
    </row>
    <row r="4260" spans="12:16">
      <c r="L4260"/>
      <c r="M4260"/>
      <c r="O4260"/>
      <c r="P4260"/>
    </row>
    <row r="4261" spans="12:16">
      <c r="L4261"/>
      <c r="M4261"/>
      <c r="O4261"/>
      <c r="P4261"/>
    </row>
    <row r="4262" spans="12:16">
      <c r="L4262"/>
      <c r="M4262"/>
      <c r="O4262"/>
      <c r="P4262"/>
    </row>
    <row r="4263" spans="12:16">
      <c r="L4263"/>
      <c r="M4263"/>
      <c r="O4263"/>
      <c r="P4263"/>
    </row>
    <row r="4264" spans="12:16">
      <c r="L4264"/>
      <c r="M4264"/>
      <c r="O4264"/>
      <c r="P4264"/>
    </row>
    <row r="4265" spans="12:16">
      <c r="L4265"/>
      <c r="M4265"/>
      <c r="O4265"/>
      <c r="P4265"/>
    </row>
    <row r="4266" spans="12:16">
      <c r="L4266"/>
      <c r="M4266"/>
      <c r="O4266"/>
      <c r="P4266"/>
    </row>
    <row r="4267" spans="12:16">
      <c r="L4267"/>
      <c r="M4267"/>
      <c r="O4267"/>
      <c r="P4267"/>
    </row>
    <row r="4268" spans="12:16">
      <c r="L4268"/>
      <c r="M4268"/>
      <c r="O4268"/>
      <c r="P4268"/>
    </row>
    <row r="4269" spans="12:16">
      <c r="L4269"/>
      <c r="M4269"/>
      <c r="O4269"/>
      <c r="P4269"/>
    </row>
    <row r="4270" spans="12:16">
      <c r="L4270"/>
      <c r="M4270"/>
      <c r="O4270"/>
      <c r="P4270"/>
    </row>
    <row r="4271" spans="12:16">
      <c r="L4271"/>
      <c r="M4271"/>
      <c r="O4271"/>
      <c r="P4271"/>
    </row>
    <row r="4272" spans="12:16">
      <c r="L4272"/>
      <c r="M4272"/>
      <c r="O4272"/>
      <c r="P4272"/>
    </row>
    <row r="4273" spans="12:16">
      <c r="L4273"/>
      <c r="M4273"/>
      <c r="O4273"/>
      <c r="P4273"/>
    </row>
    <row r="4274" spans="12:16">
      <c r="L4274"/>
      <c r="M4274"/>
      <c r="O4274"/>
      <c r="P4274"/>
    </row>
    <row r="4275" spans="12:16">
      <c r="L4275"/>
      <c r="M4275"/>
      <c r="O4275"/>
      <c r="P4275"/>
    </row>
    <row r="4276" spans="12:16">
      <c r="L4276"/>
      <c r="M4276"/>
      <c r="O4276"/>
      <c r="P4276"/>
    </row>
    <row r="4277" spans="12:16">
      <c r="L4277"/>
      <c r="M4277"/>
      <c r="O4277"/>
      <c r="P4277"/>
    </row>
    <row r="4278" spans="12:16">
      <c r="L4278"/>
      <c r="M4278"/>
      <c r="O4278"/>
      <c r="P4278"/>
    </row>
    <row r="4279" spans="12:16">
      <c r="L4279"/>
      <c r="M4279"/>
      <c r="O4279"/>
      <c r="P4279"/>
    </row>
    <row r="4280" spans="12:16">
      <c r="L4280"/>
      <c r="M4280"/>
      <c r="O4280"/>
      <c r="P4280"/>
    </row>
    <row r="4281" spans="12:16">
      <c r="L4281"/>
      <c r="M4281"/>
      <c r="O4281"/>
      <c r="P4281"/>
    </row>
    <row r="4282" spans="12:16">
      <c r="L4282"/>
      <c r="M4282"/>
      <c r="O4282"/>
      <c r="P4282"/>
    </row>
    <row r="4283" spans="12:16">
      <c r="L4283"/>
      <c r="M4283"/>
      <c r="O4283"/>
      <c r="P4283"/>
    </row>
    <row r="4284" spans="12:16">
      <c r="L4284"/>
      <c r="M4284"/>
      <c r="O4284"/>
      <c r="P4284"/>
    </row>
    <row r="4285" spans="12:16">
      <c r="L4285"/>
      <c r="M4285"/>
      <c r="O4285"/>
      <c r="P4285"/>
    </row>
    <row r="4286" spans="12:16">
      <c r="L4286"/>
      <c r="M4286"/>
      <c r="O4286"/>
      <c r="P4286"/>
    </row>
    <row r="4287" spans="12:16">
      <c r="L4287"/>
      <c r="M4287"/>
      <c r="O4287"/>
      <c r="P4287"/>
    </row>
    <row r="4288" spans="12:16">
      <c r="L4288"/>
      <c r="M4288"/>
      <c r="O4288"/>
      <c r="P4288"/>
    </row>
    <row r="4289" spans="12:16">
      <c r="L4289"/>
      <c r="M4289"/>
      <c r="O4289"/>
      <c r="P4289"/>
    </row>
    <row r="4290" spans="12:16">
      <c r="L4290"/>
      <c r="M4290"/>
      <c r="O4290"/>
      <c r="P4290"/>
    </row>
    <row r="4291" spans="12:16">
      <c r="L4291"/>
      <c r="M4291"/>
      <c r="O4291"/>
      <c r="P4291"/>
    </row>
    <row r="4292" spans="12:16">
      <c r="L4292"/>
      <c r="M4292"/>
      <c r="O4292"/>
      <c r="P4292"/>
    </row>
    <row r="4293" spans="12:16">
      <c r="L4293"/>
      <c r="M4293"/>
      <c r="O4293"/>
      <c r="P4293"/>
    </row>
    <row r="4294" spans="12:16">
      <c r="L4294"/>
      <c r="M4294"/>
      <c r="O4294"/>
      <c r="P4294"/>
    </row>
    <row r="4295" spans="12:16">
      <c r="L4295"/>
      <c r="M4295"/>
      <c r="O4295"/>
      <c r="P4295"/>
    </row>
    <row r="4296" spans="12:16">
      <c r="L4296"/>
      <c r="M4296"/>
      <c r="O4296"/>
      <c r="P4296"/>
    </row>
    <row r="4297" spans="12:16">
      <c r="L4297"/>
      <c r="M4297"/>
      <c r="O4297"/>
      <c r="P4297"/>
    </row>
    <row r="4298" spans="12:16">
      <c r="L4298"/>
      <c r="M4298"/>
      <c r="O4298"/>
      <c r="P4298"/>
    </row>
    <row r="4299" spans="12:16">
      <c r="L4299"/>
      <c r="M4299"/>
      <c r="O4299"/>
      <c r="P4299"/>
    </row>
    <row r="4300" spans="12:16">
      <c r="L4300"/>
      <c r="M4300"/>
      <c r="O4300"/>
      <c r="P4300"/>
    </row>
    <row r="4301" spans="12:16">
      <c r="L4301"/>
      <c r="M4301"/>
      <c r="O4301"/>
      <c r="P4301"/>
    </row>
    <row r="4302" spans="12:16">
      <c r="L4302"/>
      <c r="M4302"/>
      <c r="O4302"/>
      <c r="P4302"/>
    </row>
    <row r="4303" spans="12:16">
      <c r="L4303"/>
      <c r="M4303"/>
      <c r="O4303"/>
      <c r="P4303"/>
    </row>
    <row r="4304" spans="12:16">
      <c r="L4304"/>
      <c r="M4304"/>
      <c r="O4304"/>
      <c r="P4304"/>
    </row>
    <row r="4305" spans="12:16">
      <c r="L4305"/>
      <c r="M4305"/>
      <c r="O4305"/>
      <c r="P4305"/>
    </row>
    <row r="4306" spans="12:16">
      <c r="L4306"/>
      <c r="M4306"/>
      <c r="O4306"/>
      <c r="P4306"/>
    </row>
    <row r="4307" spans="12:16">
      <c r="L4307"/>
      <c r="M4307"/>
      <c r="O4307"/>
      <c r="P4307"/>
    </row>
    <row r="4308" spans="12:16">
      <c r="L4308"/>
      <c r="M4308"/>
      <c r="O4308"/>
      <c r="P4308"/>
    </row>
    <row r="4309" spans="12:16">
      <c r="L4309"/>
      <c r="M4309"/>
      <c r="O4309"/>
      <c r="P4309"/>
    </row>
    <row r="4310" spans="12:16">
      <c r="L4310"/>
      <c r="M4310"/>
      <c r="O4310"/>
      <c r="P4310"/>
    </row>
    <row r="4311" spans="12:16">
      <c r="L4311"/>
      <c r="M4311"/>
      <c r="O4311"/>
      <c r="P4311"/>
    </row>
    <row r="4312" spans="12:16">
      <c r="L4312"/>
      <c r="M4312"/>
      <c r="O4312"/>
      <c r="P4312"/>
    </row>
    <row r="4313" spans="12:16">
      <c r="L4313"/>
      <c r="M4313"/>
      <c r="O4313"/>
      <c r="P4313"/>
    </row>
    <row r="4314" spans="12:16">
      <c r="L4314"/>
      <c r="M4314"/>
      <c r="O4314"/>
      <c r="P4314"/>
    </row>
    <row r="4315" spans="12:16">
      <c r="L4315"/>
      <c r="M4315"/>
      <c r="O4315"/>
      <c r="P4315"/>
    </row>
    <row r="4316" spans="12:16">
      <c r="L4316"/>
      <c r="M4316"/>
      <c r="O4316"/>
      <c r="P4316"/>
    </row>
    <row r="4317" spans="12:16">
      <c r="L4317"/>
      <c r="M4317"/>
      <c r="O4317"/>
      <c r="P4317"/>
    </row>
    <row r="4318" spans="12:16">
      <c r="L4318"/>
      <c r="M4318"/>
      <c r="O4318"/>
      <c r="P4318"/>
    </row>
    <row r="4319" spans="12:16">
      <c r="L4319"/>
      <c r="M4319"/>
      <c r="O4319"/>
      <c r="P4319"/>
    </row>
    <row r="4320" spans="12:16">
      <c r="L4320"/>
      <c r="M4320"/>
      <c r="O4320"/>
      <c r="P4320"/>
    </row>
    <row r="4321" spans="12:16">
      <c r="L4321"/>
      <c r="M4321"/>
      <c r="O4321"/>
      <c r="P4321"/>
    </row>
    <row r="4322" spans="12:16">
      <c r="L4322"/>
      <c r="M4322"/>
      <c r="O4322"/>
      <c r="P4322"/>
    </row>
    <row r="4323" spans="12:16">
      <c r="L4323"/>
      <c r="M4323"/>
      <c r="O4323"/>
      <c r="P4323"/>
    </row>
    <row r="4324" spans="12:16">
      <c r="L4324"/>
      <c r="M4324"/>
      <c r="O4324"/>
      <c r="P4324"/>
    </row>
    <row r="4325" spans="12:16">
      <c r="L4325"/>
      <c r="M4325"/>
      <c r="O4325"/>
      <c r="P4325"/>
    </row>
    <row r="4326" spans="12:16">
      <c r="L4326"/>
      <c r="M4326"/>
      <c r="O4326"/>
      <c r="P4326"/>
    </row>
    <row r="4327" spans="12:16">
      <c r="L4327"/>
      <c r="M4327"/>
      <c r="O4327"/>
      <c r="P4327"/>
    </row>
    <row r="4328" spans="12:16">
      <c r="L4328"/>
      <c r="M4328"/>
      <c r="O4328"/>
      <c r="P4328"/>
    </row>
    <row r="4329" spans="12:16">
      <c r="L4329"/>
      <c r="M4329"/>
      <c r="O4329"/>
      <c r="P4329"/>
    </row>
    <row r="4330" spans="12:16">
      <c r="L4330"/>
      <c r="M4330"/>
      <c r="O4330"/>
      <c r="P4330"/>
    </row>
    <row r="4331" spans="12:16">
      <c r="L4331"/>
      <c r="M4331"/>
      <c r="O4331"/>
      <c r="P4331"/>
    </row>
    <row r="4332" spans="12:16">
      <c r="L4332"/>
      <c r="M4332"/>
      <c r="O4332"/>
      <c r="P4332"/>
    </row>
    <row r="4333" spans="12:16">
      <c r="L4333"/>
      <c r="M4333"/>
      <c r="O4333"/>
      <c r="P4333"/>
    </row>
    <row r="4334" spans="12:16">
      <c r="L4334"/>
      <c r="M4334"/>
      <c r="O4334"/>
      <c r="P4334"/>
    </row>
    <row r="4335" spans="12:16">
      <c r="L4335"/>
      <c r="M4335"/>
      <c r="O4335"/>
      <c r="P4335"/>
    </row>
    <row r="4336" spans="12:16">
      <c r="L4336"/>
      <c r="M4336"/>
      <c r="O4336"/>
      <c r="P4336"/>
    </row>
    <row r="4337" spans="12:16">
      <c r="L4337"/>
      <c r="M4337"/>
      <c r="O4337"/>
      <c r="P4337"/>
    </row>
    <row r="4338" spans="12:16">
      <c r="L4338"/>
      <c r="M4338"/>
      <c r="O4338"/>
      <c r="P4338"/>
    </row>
    <row r="4339" spans="12:16">
      <c r="L4339"/>
      <c r="M4339"/>
      <c r="O4339"/>
      <c r="P4339"/>
    </row>
    <row r="4340" spans="12:16">
      <c r="L4340"/>
      <c r="M4340"/>
      <c r="O4340"/>
      <c r="P4340"/>
    </row>
    <row r="4341" spans="12:16">
      <c r="L4341"/>
      <c r="M4341"/>
      <c r="O4341"/>
      <c r="P4341"/>
    </row>
    <row r="4342" spans="12:16">
      <c r="L4342"/>
      <c r="M4342"/>
      <c r="O4342"/>
      <c r="P4342"/>
    </row>
    <row r="4343" spans="12:16">
      <c r="L4343"/>
      <c r="M4343"/>
      <c r="O4343"/>
      <c r="P4343"/>
    </row>
    <row r="4344" spans="12:16">
      <c r="L4344"/>
      <c r="M4344"/>
      <c r="O4344"/>
      <c r="P4344"/>
    </row>
    <row r="4345" spans="12:16">
      <c r="L4345"/>
      <c r="M4345"/>
      <c r="O4345"/>
      <c r="P4345"/>
    </row>
    <row r="4346" spans="12:16">
      <c r="L4346"/>
      <c r="M4346"/>
      <c r="O4346"/>
      <c r="P4346"/>
    </row>
    <row r="4347" spans="12:16">
      <c r="L4347"/>
      <c r="M4347"/>
      <c r="O4347"/>
      <c r="P4347"/>
    </row>
    <row r="4348" spans="12:16">
      <c r="L4348"/>
      <c r="M4348"/>
      <c r="O4348"/>
      <c r="P4348"/>
    </row>
    <row r="4349" spans="12:16">
      <c r="L4349"/>
      <c r="M4349"/>
      <c r="O4349"/>
      <c r="P4349"/>
    </row>
    <row r="4350" spans="12:16">
      <c r="L4350"/>
      <c r="M4350"/>
      <c r="O4350"/>
      <c r="P4350"/>
    </row>
    <row r="4351" spans="12:16">
      <c r="L4351"/>
      <c r="M4351"/>
      <c r="O4351"/>
      <c r="P4351"/>
    </row>
    <row r="4352" spans="12:16">
      <c r="L4352"/>
      <c r="M4352"/>
      <c r="O4352"/>
      <c r="P4352"/>
    </row>
    <row r="4353" spans="12:16">
      <c r="L4353"/>
      <c r="M4353"/>
      <c r="O4353"/>
      <c r="P4353"/>
    </row>
    <row r="4354" spans="12:16">
      <c r="L4354"/>
      <c r="M4354"/>
      <c r="O4354"/>
      <c r="P4354"/>
    </row>
    <row r="4355" spans="12:16">
      <c r="L4355"/>
      <c r="M4355"/>
      <c r="O4355"/>
      <c r="P4355"/>
    </row>
    <row r="4356" spans="12:16">
      <c r="L4356"/>
      <c r="M4356"/>
      <c r="O4356"/>
      <c r="P4356"/>
    </row>
    <row r="4357" spans="12:16">
      <c r="L4357"/>
      <c r="M4357"/>
      <c r="O4357"/>
      <c r="P4357"/>
    </row>
    <row r="4358" spans="12:16">
      <c r="L4358"/>
      <c r="M4358"/>
      <c r="O4358"/>
      <c r="P4358"/>
    </row>
    <row r="4359" spans="12:16">
      <c r="L4359"/>
      <c r="M4359"/>
      <c r="O4359"/>
      <c r="P4359"/>
    </row>
    <row r="4360" spans="12:16">
      <c r="L4360"/>
      <c r="M4360"/>
      <c r="O4360"/>
      <c r="P4360"/>
    </row>
    <row r="4361" spans="12:16">
      <c r="L4361"/>
      <c r="M4361"/>
      <c r="O4361"/>
      <c r="P4361"/>
    </row>
    <row r="4362" spans="12:16">
      <c r="L4362"/>
      <c r="M4362"/>
      <c r="O4362"/>
      <c r="P4362"/>
    </row>
    <row r="4363" spans="12:16">
      <c r="L4363"/>
      <c r="M4363"/>
      <c r="O4363"/>
      <c r="P4363"/>
    </row>
    <row r="4364" spans="12:16">
      <c r="L4364"/>
      <c r="M4364"/>
      <c r="O4364"/>
      <c r="P4364"/>
    </row>
    <row r="4365" spans="12:16">
      <c r="L4365"/>
      <c r="M4365"/>
      <c r="O4365"/>
      <c r="P4365"/>
    </row>
    <row r="4366" spans="12:16">
      <c r="L4366"/>
      <c r="M4366"/>
      <c r="O4366"/>
      <c r="P4366"/>
    </row>
    <row r="4367" spans="12:16">
      <c r="L4367"/>
      <c r="M4367"/>
      <c r="O4367"/>
      <c r="P4367"/>
    </row>
    <row r="4368" spans="12:16">
      <c r="L4368"/>
      <c r="M4368"/>
      <c r="O4368"/>
      <c r="P4368"/>
    </row>
    <row r="4369" spans="12:16">
      <c r="L4369"/>
      <c r="M4369"/>
      <c r="O4369"/>
      <c r="P4369"/>
    </row>
    <row r="4370" spans="12:16">
      <c r="L4370"/>
      <c r="M4370"/>
      <c r="O4370"/>
      <c r="P4370"/>
    </row>
    <row r="4371" spans="12:16">
      <c r="L4371"/>
      <c r="M4371"/>
      <c r="O4371"/>
      <c r="P4371"/>
    </row>
    <row r="4372" spans="12:16">
      <c r="L4372"/>
      <c r="M4372"/>
      <c r="O4372"/>
      <c r="P4372"/>
    </row>
    <row r="4373" spans="12:16">
      <c r="L4373"/>
      <c r="M4373"/>
      <c r="O4373"/>
      <c r="P4373"/>
    </row>
    <row r="4374" spans="12:16">
      <c r="L4374"/>
      <c r="M4374"/>
      <c r="O4374"/>
      <c r="P4374"/>
    </row>
    <row r="4375" spans="12:16">
      <c r="L4375"/>
      <c r="M4375"/>
      <c r="O4375"/>
      <c r="P4375"/>
    </row>
    <row r="4376" spans="12:16">
      <c r="L4376"/>
      <c r="M4376"/>
      <c r="O4376"/>
      <c r="P4376"/>
    </row>
    <row r="4377" spans="12:16">
      <c r="L4377"/>
      <c r="M4377"/>
      <c r="O4377"/>
      <c r="P4377"/>
    </row>
    <row r="4378" spans="12:16">
      <c r="L4378"/>
      <c r="M4378"/>
      <c r="O4378"/>
      <c r="P4378"/>
    </row>
    <row r="4379" spans="12:16">
      <c r="L4379"/>
      <c r="M4379"/>
      <c r="O4379"/>
      <c r="P4379"/>
    </row>
    <row r="4380" spans="12:16">
      <c r="L4380"/>
      <c r="M4380"/>
      <c r="O4380"/>
      <c r="P4380"/>
    </row>
    <row r="4381" spans="12:16">
      <c r="L4381"/>
      <c r="M4381"/>
      <c r="O4381"/>
      <c r="P4381"/>
    </row>
    <row r="4382" spans="12:16">
      <c r="L4382"/>
      <c r="M4382"/>
      <c r="O4382"/>
      <c r="P4382"/>
    </row>
    <row r="4383" spans="12:16">
      <c r="L4383"/>
      <c r="M4383"/>
      <c r="O4383"/>
      <c r="P4383"/>
    </row>
    <row r="4384" spans="12:16">
      <c r="L4384"/>
      <c r="M4384"/>
      <c r="O4384"/>
      <c r="P4384"/>
    </row>
    <row r="4385" spans="12:16">
      <c r="L4385"/>
      <c r="M4385"/>
      <c r="O4385"/>
      <c r="P4385"/>
    </row>
    <row r="4386" spans="12:16">
      <c r="L4386"/>
      <c r="M4386"/>
      <c r="O4386"/>
      <c r="P4386"/>
    </row>
    <row r="4387" spans="12:16">
      <c r="L4387"/>
      <c r="M4387"/>
      <c r="O4387"/>
      <c r="P4387"/>
    </row>
    <row r="4388" spans="12:16">
      <c r="L4388"/>
      <c r="M4388"/>
      <c r="O4388"/>
      <c r="P4388"/>
    </row>
    <row r="4389" spans="12:16">
      <c r="L4389"/>
      <c r="M4389"/>
      <c r="O4389"/>
      <c r="P4389"/>
    </row>
    <row r="4390" spans="12:16">
      <c r="L4390"/>
      <c r="M4390"/>
      <c r="O4390"/>
      <c r="P4390"/>
    </row>
    <row r="4391" spans="12:16">
      <c r="L4391"/>
      <c r="M4391"/>
      <c r="O4391"/>
      <c r="P4391"/>
    </row>
    <row r="4392" spans="12:16">
      <c r="L4392"/>
      <c r="M4392"/>
      <c r="O4392"/>
      <c r="P4392"/>
    </row>
    <row r="4393" spans="12:16">
      <c r="L4393"/>
      <c r="M4393"/>
      <c r="O4393"/>
      <c r="P4393"/>
    </row>
    <row r="4394" spans="12:16">
      <c r="L4394"/>
      <c r="M4394"/>
      <c r="O4394"/>
      <c r="P4394"/>
    </row>
    <row r="4395" spans="12:16">
      <c r="L4395"/>
      <c r="M4395"/>
      <c r="O4395"/>
      <c r="P4395"/>
    </row>
    <row r="4396" spans="12:16">
      <c r="L4396"/>
      <c r="M4396"/>
      <c r="O4396"/>
      <c r="P4396"/>
    </row>
    <row r="4397" spans="12:16">
      <c r="L4397"/>
      <c r="M4397"/>
      <c r="O4397"/>
      <c r="P4397"/>
    </row>
    <row r="4398" spans="12:16">
      <c r="L4398"/>
      <c r="M4398"/>
      <c r="O4398"/>
      <c r="P4398"/>
    </row>
    <row r="4399" spans="12:16">
      <c r="L4399"/>
      <c r="M4399"/>
      <c r="O4399"/>
      <c r="P4399"/>
    </row>
    <row r="4400" spans="12:16">
      <c r="L4400"/>
      <c r="M4400"/>
      <c r="O4400"/>
      <c r="P4400"/>
    </row>
    <row r="4401" spans="12:16">
      <c r="L4401"/>
      <c r="M4401"/>
      <c r="O4401"/>
      <c r="P4401"/>
    </row>
    <row r="4402" spans="12:16">
      <c r="L4402"/>
      <c r="M4402"/>
      <c r="O4402"/>
      <c r="P4402"/>
    </row>
    <row r="4403" spans="12:16">
      <c r="L4403"/>
      <c r="M4403"/>
      <c r="O4403"/>
      <c r="P4403"/>
    </row>
    <row r="4404" spans="12:16">
      <c r="L4404"/>
      <c r="M4404"/>
      <c r="O4404"/>
      <c r="P4404"/>
    </row>
    <row r="4405" spans="12:16">
      <c r="L4405"/>
      <c r="M4405"/>
      <c r="O4405"/>
      <c r="P4405"/>
    </row>
    <row r="4406" spans="12:16">
      <c r="L4406"/>
      <c r="M4406"/>
      <c r="O4406"/>
      <c r="P4406"/>
    </row>
    <row r="4407" spans="12:16">
      <c r="L4407"/>
      <c r="M4407"/>
      <c r="O4407"/>
      <c r="P4407"/>
    </row>
    <row r="4408" spans="12:16">
      <c r="L4408"/>
      <c r="M4408"/>
      <c r="O4408"/>
      <c r="P4408"/>
    </row>
    <row r="4409" spans="12:16">
      <c r="L4409"/>
      <c r="M4409"/>
      <c r="O4409"/>
      <c r="P4409"/>
    </row>
    <row r="4410" spans="12:16">
      <c r="L4410"/>
      <c r="M4410"/>
      <c r="O4410"/>
      <c r="P4410"/>
    </row>
    <row r="4411" spans="12:16">
      <c r="L4411"/>
      <c r="M4411"/>
      <c r="O4411"/>
      <c r="P4411"/>
    </row>
    <row r="4412" spans="12:16">
      <c r="L4412"/>
      <c r="M4412"/>
      <c r="O4412"/>
      <c r="P4412"/>
    </row>
    <row r="4413" spans="12:16">
      <c r="L4413"/>
      <c r="M4413"/>
      <c r="O4413"/>
      <c r="P4413"/>
    </row>
    <row r="4414" spans="12:16">
      <c r="L4414"/>
      <c r="M4414"/>
      <c r="O4414"/>
      <c r="P4414"/>
    </row>
    <row r="4415" spans="12:16">
      <c r="L4415"/>
      <c r="M4415"/>
      <c r="O4415"/>
      <c r="P4415"/>
    </row>
    <row r="4416" spans="12:16">
      <c r="L4416"/>
      <c r="M4416"/>
      <c r="O4416"/>
      <c r="P4416"/>
    </row>
    <row r="4417" spans="12:16">
      <c r="L4417"/>
      <c r="M4417"/>
      <c r="O4417"/>
      <c r="P4417"/>
    </row>
    <row r="4418" spans="12:16">
      <c r="L4418"/>
      <c r="M4418"/>
      <c r="O4418"/>
      <c r="P4418"/>
    </row>
    <row r="4419" spans="12:16">
      <c r="L4419"/>
      <c r="M4419"/>
      <c r="O4419"/>
      <c r="P4419"/>
    </row>
    <row r="4420" spans="12:16">
      <c r="L4420"/>
      <c r="M4420"/>
      <c r="O4420"/>
      <c r="P4420"/>
    </row>
    <row r="4421" spans="12:16">
      <c r="L4421"/>
      <c r="M4421"/>
      <c r="O4421"/>
      <c r="P4421"/>
    </row>
    <row r="4422" spans="12:16">
      <c r="L4422"/>
      <c r="M4422"/>
      <c r="O4422"/>
      <c r="P4422"/>
    </row>
    <row r="4423" spans="12:16">
      <c r="L4423"/>
      <c r="M4423"/>
      <c r="O4423"/>
      <c r="P4423"/>
    </row>
    <row r="4424" spans="12:16">
      <c r="L4424"/>
      <c r="M4424"/>
      <c r="O4424"/>
      <c r="P4424"/>
    </row>
    <row r="4425" spans="12:16">
      <c r="L4425"/>
      <c r="M4425"/>
      <c r="O4425"/>
      <c r="P4425"/>
    </row>
    <row r="4426" spans="12:16">
      <c r="L4426"/>
      <c r="M4426"/>
      <c r="O4426"/>
      <c r="P4426"/>
    </row>
    <row r="4427" spans="12:16">
      <c r="L4427"/>
      <c r="M4427"/>
      <c r="O4427"/>
      <c r="P4427"/>
    </row>
    <row r="4428" spans="12:16">
      <c r="L4428"/>
      <c r="M4428"/>
      <c r="O4428"/>
      <c r="P4428"/>
    </row>
    <row r="4429" spans="12:16">
      <c r="L4429"/>
      <c r="M4429"/>
      <c r="O4429"/>
      <c r="P4429"/>
    </row>
    <row r="4430" spans="12:16">
      <c r="L4430"/>
      <c r="M4430"/>
      <c r="O4430"/>
      <c r="P4430"/>
    </row>
    <row r="4431" spans="12:16">
      <c r="L4431"/>
      <c r="M4431"/>
      <c r="O4431"/>
      <c r="P4431"/>
    </row>
    <row r="4432" spans="12:16">
      <c r="L4432"/>
      <c r="M4432"/>
      <c r="O4432"/>
      <c r="P4432"/>
    </row>
    <row r="4433" spans="12:16">
      <c r="L4433"/>
      <c r="M4433"/>
      <c r="O4433"/>
      <c r="P4433"/>
    </row>
    <row r="4434" spans="12:16">
      <c r="L4434"/>
      <c r="M4434"/>
      <c r="O4434"/>
      <c r="P4434"/>
    </row>
    <row r="4435" spans="12:16">
      <c r="L4435"/>
      <c r="M4435"/>
      <c r="O4435"/>
      <c r="P4435"/>
    </row>
    <row r="4436" spans="12:16">
      <c r="L4436"/>
      <c r="M4436"/>
      <c r="O4436"/>
      <c r="P4436"/>
    </row>
    <row r="4437" spans="12:16">
      <c r="L4437"/>
      <c r="M4437"/>
      <c r="O4437"/>
      <c r="P4437"/>
    </row>
    <row r="4438" spans="12:16">
      <c r="L4438"/>
      <c r="M4438"/>
      <c r="O4438"/>
      <c r="P4438"/>
    </row>
    <row r="4439" spans="12:16">
      <c r="L4439"/>
      <c r="M4439"/>
      <c r="O4439"/>
      <c r="P4439"/>
    </row>
    <row r="4440" spans="12:16">
      <c r="L4440"/>
      <c r="M4440"/>
      <c r="O4440"/>
      <c r="P4440"/>
    </row>
    <row r="4441" spans="12:16">
      <c r="L4441"/>
      <c r="M4441"/>
      <c r="O4441"/>
      <c r="P4441"/>
    </row>
    <row r="4442" spans="12:16">
      <c r="L4442"/>
      <c r="M4442"/>
      <c r="O4442"/>
      <c r="P4442"/>
    </row>
    <row r="4443" spans="12:16">
      <c r="L4443"/>
      <c r="M4443"/>
      <c r="O4443"/>
      <c r="P4443"/>
    </row>
    <row r="4444" spans="12:16">
      <c r="L4444"/>
      <c r="M4444"/>
      <c r="O4444"/>
      <c r="P4444"/>
    </row>
    <row r="4445" spans="12:16">
      <c r="L4445"/>
      <c r="M4445"/>
      <c r="O4445"/>
      <c r="P4445"/>
    </row>
    <row r="4446" spans="12:16">
      <c r="L4446"/>
      <c r="M4446"/>
      <c r="O4446"/>
      <c r="P4446"/>
    </row>
    <row r="4447" spans="12:16">
      <c r="L4447"/>
      <c r="M4447"/>
      <c r="O4447"/>
      <c r="P4447"/>
    </row>
    <row r="4448" spans="12:16">
      <c r="L4448"/>
      <c r="M4448"/>
      <c r="O4448"/>
      <c r="P4448"/>
    </row>
    <row r="4449" spans="12:16">
      <c r="L4449"/>
      <c r="M4449"/>
      <c r="O4449"/>
      <c r="P4449"/>
    </row>
    <row r="4450" spans="12:16">
      <c r="L4450"/>
      <c r="M4450"/>
      <c r="O4450"/>
      <c r="P4450"/>
    </row>
    <row r="4451" spans="12:16">
      <c r="L4451"/>
      <c r="M4451"/>
      <c r="O4451"/>
      <c r="P4451"/>
    </row>
    <row r="4452" spans="12:16">
      <c r="L4452"/>
      <c r="M4452"/>
      <c r="O4452"/>
      <c r="P4452"/>
    </row>
    <row r="4453" spans="12:16">
      <c r="L4453"/>
      <c r="M4453"/>
      <c r="O4453"/>
      <c r="P4453"/>
    </row>
    <row r="4454" spans="12:16">
      <c r="L4454"/>
      <c r="M4454"/>
      <c r="O4454"/>
      <c r="P4454"/>
    </row>
    <row r="4455" spans="12:16">
      <c r="L4455"/>
      <c r="M4455"/>
      <c r="O4455"/>
      <c r="P4455"/>
    </row>
    <row r="4456" spans="12:16">
      <c r="L4456"/>
      <c r="M4456"/>
      <c r="O4456"/>
      <c r="P4456"/>
    </row>
    <row r="4457" spans="12:16">
      <c r="L4457"/>
      <c r="M4457"/>
      <c r="O4457"/>
      <c r="P4457"/>
    </row>
    <row r="4458" spans="12:16">
      <c r="L4458"/>
      <c r="M4458"/>
      <c r="O4458"/>
      <c r="P4458"/>
    </row>
    <row r="4459" spans="12:16">
      <c r="L4459"/>
      <c r="M4459"/>
      <c r="O4459"/>
      <c r="P4459"/>
    </row>
    <row r="4460" spans="12:16">
      <c r="L4460"/>
      <c r="M4460"/>
      <c r="O4460"/>
      <c r="P4460"/>
    </row>
    <row r="4461" spans="12:16">
      <c r="L4461"/>
      <c r="M4461"/>
      <c r="O4461"/>
      <c r="P4461"/>
    </row>
    <row r="4462" spans="12:16">
      <c r="L4462"/>
      <c r="M4462"/>
      <c r="O4462"/>
      <c r="P4462"/>
    </row>
    <row r="4463" spans="12:16">
      <c r="L4463"/>
      <c r="M4463"/>
      <c r="O4463"/>
      <c r="P4463"/>
    </row>
    <row r="4464" spans="12:16">
      <c r="L4464"/>
      <c r="M4464"/>
      <c r="O4464"/>
      <c r="P4464"/>
    </row>
    <row r="4465" spans="12:16">
      <c r="L4465"/>
      <c r="M4465"/>
      <c r="O4465"/>
      <c r="P4465"/>
    </row>
    <row r="4466" spans="12:16">
      <c r="L4466"/>
      <c r="M4466"/>
      <c r="O4466"/>
      <c r="P4466"/>
    </row>
    <row r="4467" spans="12:16">
      <c r="L4467"/>
      <c r="M4467"/>
      <c r="O4467"/>
      <c r="P4467"/>
    </row>
    <row r="4468" spans="12:16">
      <c r="L4468"/>
      <c r="M4468"/>
      <c r="O4468"/>
      <c r="P4468"/>
    </row>
    <row r="4469" spans="12:16">
      <c r="L4469"/>
      <c r="M4469"/>
      <c r="O4469"/>
      <c r="P4469"/>
    </row>
    <row r="4470" spans="12:16">
      <c r="L4470"/>
      <c r="M4470"/>
      <c r="O4470"/>
      <c r="P4470"/>
    </row>
    <row r="4471" spans="12:16">
      <c r="L4471"/>
      <c r="M4471"/>
      <c r="O4471"/>
      <c r="P4471"/>
    </row>
    <row r="4472" spans="12:16">
      <c r="L4472"/>
      <c r="M4472"/>
      <c r="O4472"/>
      <c r="P4472"/>
    </row>
    <row r="4473" spans="12:16">
      <c r="L4473"/>
      <c r="M4473"/>
      <c r="O4473"/>
      <c r="P4473"/>
    </row>
    <row r="4474" spans="12:16">
      <c r="L4474"/>
      <c r="M4474"/>
      <c r="O4474"/>
      <c r="P4474"/>
    </row>
    <row r="4475" spans="12:16">
      <c r="L4475"/>
      <c r="M4475"/>
      <c r="O4475"/>
      <c r="P4475"/>
    </row>
    <row r="4476" spans="12:16">
      <c r="L4476"/>
      <c r="M4476"/>
      <c r="O4476"/>
      <c r="P4476"/>
    </row>
    <row r="4477" spans="12:16">
      <c r="L4477"/>
      <c r="M4477"/>
      <c r="O4477"/>
      <c r="P4477"/>
    </row>
    <row r="4478" spans="12:16">
      <c r="L4478"/>
      <c r="M4478"/>
      <c r="O4478"/>
      <c r="P4478"/>
    </row>
    <row r="4479" spans="12:16">
      <c r="L4479"/>
      <c r="M4479"/>
      <c r="O4479"/>
      <c r="P4479"/>
    </row>
    <row r="4480" spans="12:16">
      <c r="L4480"/>
      <c r="M4480"/>
      <c r="O4480"/>
      <c r="P4480"/>
    </row>
    <row r="4481" spans="12:16">
      <c r="L4481"/>
      <c r="M4481"/>
      <c r="O4481"/>
      <c r="P4481"/>
    </row>
    <row r="4482" spans="12:16">
      <c r="L4482"/>
      <c r="M4482"/>
      <c r="O4482"/>
      <c r="P4482"/>
    </row>
    <row r="4483" spans="12:16">
      <c r="L4483"/>
      <c r="M4483"/>
      <c r="O4483"/>
      <c r="P4483"/>
    </row>
    <row r="4484" spans="12:16">
      <c r="L4484"/>
      <c r="M4484"/>
      <c r="O4484"/>
      <c r="P4484"/>
    </row>
    <row r="4485" spans="12:16">
      <c r="L4485"/>
      <c r="M4485"/>
      <c r="O4485"/>
      <c r="P4485"/>
    </row>
    <row r="4486" spans="12:16">
      <c r="L4486"/>
      <c r="M4486"/>
      <c r="O4486"/>
      <c r="P4486"/>
    </row>
    <row r="4487" spans="12:16">
      <c r="L4487"/>
      <c r="M4487"/>
      <c r="O4487"/>
      <c r="P4487"/>
    </row>
    <row r="4488" spans="12:16">
      <c r="L4488"/>
      <c r="M4488"/>
      <c r="O4488"/>
      <c r="P4488"/>
    </row>
    <row r="4489" spans="12:16">
      <c r="L4489"/>
      <c r="M4489"/>
      <c r="O4489"/>
      <c r="P4489"/>
    </row>
    <row r="4490" spans="12:16">
      <c r="L4490"/>
      <c r="M4490"/>
      <c r="O4490"/>
      <c r="P4490"/>
    </row>
    <row r="4491" spans="12:16">
      <c r="L4491"/>
      <c r="M4491"/>
      <c r="O4491"/>
      <c r="P4491"/>
    </row>
    <row r="4492" spans="12:16">
      <c r="L4492"/>
      <c r="M4492"/>
      <c r="O4492"/>
      <c r="P4492"/>
    </row>
    <row r="4493" spans="12:16">
      <c r="L4493"/>
      <c r="M4493"/>
      <c r="O4493"/>
      <c r="P4493"/>
    </row>
    <row r="4494" spans="12:16">
      <c r="L4494"/>
      <c r="M4494"/>
      <c r="O4494"/>
      <c r="P4494"/>
    </row>
    <row r="4495" spans="12:16">
      <c r="L4495"/>
      <c r="M4495"/>
      <c r="O4495"/>
      <c r="P4495"/>
    </row>
    <row r="4496" spans="12:16">
      <c r="L4496"/>
      <c r="M4496"/>
      <c r="O4496"/>
      <c r="P4496"/>
    </row>
    <row r="4497" spans="12:16">
      <c r="L4497"/>
      <c r="M4497"/>
      <c r="O4497"/>
      <c r="P4497"/>
    </row>
    <row r="4498" spans="12:16">
      <c r="L4498"/>
      <c r="M4498"/>
      <c r="O4498"/>
      <c r="P4498"/>
    </row>
    <row r="4499" spans="12:16">
      <c r="L4499"/>
      <c r="M4499"/>
      <c r="O4499"/>
      <c r="P4499"/>
    </row>
    <row r="4500" spans="12:16">
      <c r="L4500"/>
      <c r="M4500"/>
      <c r="O4500"/>
      <c r="P4500"/>
    </row>
    <row r="4501" spans="12:16">
      <c r="L4501"/>
      <c r="M4501"/>
      <c r="O4501"/>
      <c r="P4501"/>
    </row>
    <row r="4502" spans="12:16">
      <c r="L4502"/>
      <c r="M4502"/>
      <c r="O4502"/>
      <c r="P4502"/>
    </row>
    <row r="4503" spans="12:16">
      <c r="L4503"/>
      <c r="M4503"/>
      <c r="O4503"/>
      <c r="P4503"/>
    </row>
    <row r="4504" spans="12:16">
      <c r="L4504"/>
      <c r="M4504"/>
      <c r="O4504"/>
      <c r="P4504"/>
    </row>
    <row r="4505" spans="12:16">
      <c r="L4505"/>
      <c r="M4505"/>
      <c r="O4505"/>
      <c r="P4505"/>
    </row>
    <row r="4506" spans="12:16">
      <c r="L4506"/>
      <c r="M4506"/>
      <c r="O4506"/>
      <c r="P4506"/>
    </row>
    <row r="4507" spans="12:16">
      <c r="L4507"/>
      <c r="M4507"/>
      <c r="O4507"/>
      <c r="P4507"/>
    </row>
    <row r="4508" spans="12:16">
      <c r="L4508"/>
      <c r="M4508"/>
      <c r="O4508"/>
      <c r="P4508"/>
    </row>
    <row r="4509" spans="12:16">
      <c r="L4509"/>
      <c r="M4509"/>
      <c r="O4509"/>
      <c r="P4509"/>
    </row>
    <row r="4510" spans="12:16">
      <c r="L4510"/>
      <c r="M4510"/>
      <c r="O4510"/>
      <c r="P4510"/>
    </row>
    <row r="4511" spans="12:16">
      <c r="L4511"/>
      <c r="M4511"/>
      <c r="O4511"/>
      <c r="P4511"/>
    </row>
    <row r="4512" spans="12:16">
      <c r="L4512"/>
      <c r="M4512"/>
      <c r="O4512"/>
      <c r="P4512"/>
    </row>
    <row r="4513" spans="12:16">
      <c r="L4513"/>
      <c r="M4513"/>
      <c r="O4513"/>
      <c r="P4513"/>
    </row>
    <row r="4514" spans="12:16">
      <c r="L4514"/>
      <c r="M4514"/>
      <c r="O4514"/>
      <c r="P4514"/>
    </row>
    <row r="4515" spans="12:16">
      <c r="L4515"/>
      <c r="M4515"/>
      <c r="O4515"/>
      <c r="P4515"/>
    </row>
    <row r="4516" spans="12:16">
      <c r="L4516"/>
      <c r="M4516"/>
      <c r="O4516"/>
      <c r="P4516"/>
    </row>
    <row r="4517" spans="12:16">
      <c r="L4517"/>
      <c r="M4517"/>
      <c r="O4517"/>
      <c r="P4517"/>
    </row>
    <row r="4518" spans="12:16">
      <c r="L4518"/>
      <c r="M4518"/>
      <c r="O4518"/>
      <c r="P4518"/>
    </row>
    <row r="4519" spans="12:16">
      <c r="L4519"/>
      <c r="M4519"/>
      <c r="O4519"/>
      <c r="P4519"/>
    </row>
    <row r="4520" spans="12:16">
      <c r="L4520"/>
      <c r="M4520"/>
      <c r="O4520"/>
      <c r="P4520"/>
    </row>
    <row r="4521" spans="12:16">
      <c r="L4521"/>
      <c r="M4521"/>
      <c r="O4521"/>
      <c r="P4521"/>
    </row>
    <row r="4522" spans="12:16">
      <c r="L4522"/>
      <c r="M4522"/>
      <c r="O4522"/>
      <c r="P4522"/>
    </row>
    <row r="4523" spans="12:16">
      <c r="L4523"/>
      <c r="M4523"/>
      <c r="O4523"/>
      <c r="P4523"/>
    </row>
    <row r="4524" spans="12:16">
      <c r="L4524"/>
      <c r="M4524"/>
      <c r="O4524"/>
      <c r="P4524"/>
    </row>
    <row r="4525" spans="12:16">
      <c r="L4525"/>
      <c r="M4525"/>
      <c r="O4525"/>
      <c r="P4525"/>
    </row>
    <row r="4526" spans="12:16">
      <c r="L4526"/>
      <c r="M4526"/>
      <c r="O4526"/>
      <c r="P4526"/>
    </row>
    <row r="4527" spans="12:16">
      <c r="L4527"/>
      <c r="M4527"/>
      <c r="O4527"/>
      <c r="P4527"/>
    </row>
    <row r="4528" spans="12:16">
      <c r="L4528"/>
      <c r="M4528"/>
      <c r="O4528"/>
      <c r="P4528"/>
    </row>
    <row r="4529" spans="12:16">
      <c r="L4529"/>
      <c r="M4529"/>
      <c r="O4529"/>
      <c r="P4529"/>
    </row>
    <row r="4530" spans="12:16">
      <c r="L4530"/>
      <c r="M4530"/>
      <c r="O4530"/>
      <c r="P4530"/>
    </row>
    <row r="4531" spans="12:16">
      <c r="L4531"/>
      <c r="M4531"/>
      <c r="O4531"/>
      <c r="P4531"/>
    </row>
    <row r="4532" spans="12:16">
      <c r="L4532"/>
      <c r="M4532"/>
      <c r="O4532"/>
      <c r="P4532"/>
    </row>
    <row r="4533" spans="12:16">
      <c r="L4533"/>
      <c r="M4533"/>
      <c r="O4533"/>
      <c r="P4533"/>
    </row>
    <row r="4534" spans="12:16">
      <c r="L4534"/>
      <c r="M4534"/>
      <c r="O4534"/>
      <c r="P4534"/>
    </row>
    <row r="4535" spans="12:16">
      <c r="L4535"/>
      <c r="M4535"/>
      <c r="O4535"/>
      <c r="P4535"/>
    </row>
    <row r="4536" spans="12:16">
      <c r="L4536"/>
      <c r="M4536"/>
      <c r="O4536"/>
      <c r="P4536"/>
    </row>
    <row r="4537" spans="12:16">
      <c r="L4537"/>
      <c r="M4537"/>
      <c r="O4537"/>
      <c r="P4537"/>
    </row>
    <row r="4538" spans="12:16">
      <c r="L4538"/>
      <c r="M4538"/>
      <c r="O4538"/>
      <c r="P4538"/>
    </row>
    <row r="4539" spans="12:16">
      <c r="L4539"/>
      <c r="M4539"/>
      <c r="O4539"/>
      <c r="P4539"/>
    </row>
    <row r="4540" spans="12:16">
      <c r="L4540"/>
      <c r="M4540"/>
      <c r="O4540"/>
      <c r="P4540"/>
    </row>
    <row r="4541" spans="12:16">
      <c r="L4541"/>
      <c r="M4541"/>
      <c r="O4541"/>
      <c r="P4541"/>
    </row>
    <row r="4542" spans="12:16">
      <c r="L4542"/>
      <c r="M4542"/>
      <c r="O4542"/>
      <c r="P4542"/>
    </row>
    <row r="4543" spans="12:16">
      <c r="L4543"/>
      <c r="M4543"/>
      <c r="O4543"/>
      <c r="P4543"/>
    </row>
    <row r="4544" spans="12:16">
      <c r="L4544"/>
      <c r="M4544"/>
      <c r="O4544"/>
      <c r="P4544"/>
    </row>
    <row r="4545" spans="12:16">
      <c r="L4545"/>
      <c r="M4545"/>
      <c r="O4545"/>
      <c r="P4545"/>
    </row>
    <row r="4546" spans="12:16">
      <c r="L4546"/>
      <c r="M4546"/>
      <c r="O4546"/>
      <c r="P4546"/>
    </row>
    <row r="4547" spans="12:16">
      <c r="L4547"/>
      <c r="M4547"/>
      <c r="O4547"/>
      <c r="P4547"/>
    </row>
    <row r="4548" spans="12:16">
      <c r="L4548"/>
      <c r="M4548"/>
      <c r="O4548"/>
      <c r="P4548"/>
    </row>
    <row r="4549" spans="12:16">
      <c r="L4549"/>
      <c r="M4549"/>
      <c r="O4549"/>
      <c r="P4549"/>
    </row>
    <row r="4550" spans="12:16">
      <c r="L4550"/>
      <c r="M4550"/>
      <c r="O4550"/>
      <c r="P4550"/>
    </row>
    <row r="4551" spans="12:16">
      <c r="L4551"/>
      <c r="M4551"/>
      <c r="O4551"/>
      <c r="P4551"/>
    </row>
    <row r="4552" spans="12:16">
      <c r="L4552"/>
      <c r="M4552"/>
      <c r="O4552"/>
      <c r="P4552"/>
    </row>
    <row r="4553" spans="12:16">
      <c r="L4553"/>
      <c r="M4553"/>
      <c r="O4553"/>
      <c r="P4553"/>
    </row>
    <row r="4554" spans="12:16">
      <c r="L4554"/>
      <c r="M4554"/>
      <c r="O4554"/>
      <c r="P4554"/>
    </row>
    <row r="4555" spans="12:16">
      <c r="L4555"/>
      <c r="M4555"/>
      <c r="O4555"/>
      <c r="P4555"/>
    </row>
    <row r="4556" spans="12:16">
      <c r="L4556"/>
      <c r="M4556"/>
      <c r="O4556"/>
      <c r="P4556"/>
    </row>
    <row r="4557" spans="12:16">
      <c r="L4557"/>
      <c r="M4557"/>
      <c r="O4557"/>
      <c r="P4557"/>
    </row>
    <row r="4558" spans="12:16">
      <c r="L4558"/>
      <c r="M4558"/>
      <c r="O4558"/>
      <c r="P4558"/>
    </row>
    <row r="4559" spans="12:16">
      <c r="L4559"/>
      <c r="M4559"/>
      <c r="O4559"/>
      <c r="P4559"/>
    </row>
    <row r="4560" spans="12:16">
      <c r="L4560"/>
      <c r="M4560"/>
      <c r="O4560"/>
      <c r="P4560"/>
    </row>
    <row r="4561" spans="12:16">
      <c r="L4561"/>
      <c r="M4561"/>
      <c r="O4561"/>
      <c r="P4561"/>
    </row>
    <row r="4562" spans="12:16">
      <c r="L4562"/>
      <c r="M4562"/>
      <c r="O4562"/>
      <c r="P4562"/>
    </row>
    <row r="4563" spans="12:16">
      <c r="L4563"/>
      <c r="M4563"/>
      <c r="O4563"/>
      <c r="P4563"/>
    </row>
    <row r="4564" spans="12:16">
      <c r="L4564"/>
      <c r="M4564"/>
      <c r="O4564"/>
      <c r="P4564"/>
    </row>
    <row r="4565" spans="12:16">
      <c r="L4565"/>
      <c r="M4565"/>
      <c r="O4565"/>
      <c r="P4565"/>
    </row>
    <row r="4566" spans="12:16">
      <c r="L4566"/>
      <c r="M4566"/>
      <c r="O4566"/>
      <c r="P4566"/>
    </row>
    <row r="4567" spans="12:16">
      <c r="L4567"/>
      <c r="M4567"/>
      <c r="O4567"/>
      <c r="P4567"/>
    </row>
    <row r="4568" spans="12:16">
      <c r="L4568"/>
      <c r="M4568"/>
      <c r="O4568"/>
      <c r="P4568"/>
    </row>
    <row r="4569" spans="12:16">
      <c r="L4569"/>
      <c r="M4569"/>
      <c r="O4569"/>
      <c r="P4569"/>
    </row>
    <row r="4570" spans="12:16">
      <c r="L4570"/>
      <c r="M4570"/>
      <c r="O4570"/>
      <c r="P4570"/>
    </row>
    <row r="4571" spans="12:16">
      <c r="L4571"/>
      <c r="M4571"/>
      <c r="O4571"/>
      <c r="P4571"/>
    </row>
    <row r="4572" spans="12:16">
      <c r="L4572"/>
      <c r="M4572"/>
      <c r="O4572"/>
      <c r="P4572"/>
    </row>
    <row r="4573" spans="12:16">
      <c r="L4573"/>
      <c r="M4573"/>
      <c r="O4573"/>
      <c r="P4573"/>
    </row>
    <row r="4574" spans="12:16">
      <c r="L4574"/>
      <c r="M4574"/>
      <c r="O4574"/>
      <c r="P4574"/>
    </row>
    <row r="4575" spans="12:16">
      <c r="L4575"/>
      <c r="M4575"/>
      <c r="O4575"/>
      <c r="P4575"/>
    </row>
    <row r="4576" spans="12:16">
      <c r="L4576"/>
      <c r="M4576"/>
      <c r="O4576"/>
      <c r="P4576"/>
    </row>
    <row r="4577" spans="12:16">
      <c r="L4577"/>
      <c r="M4577"/>
      <c r="O4577"/>
      <c r="P4577"/>
    </row>
    <row r="4578" spans="12:16">
      <c r="L4578"/>
      <c r="M4578"/>
      <c r="O4578"/>
      <c r="P4578"/>
    </row>
    <row r="4579" spans="12:16">
      <c r="L4579"/>
      <c r="M4579"/>
      <c r="O4579"/>
      <c r="P4579"/>
    </row>
    <row r="4580" spans="12:16">
      <c r="L4580"/>
      <c r="M4580"/>
      <c r="O4580"/>
      <c r="P4580"/>
    </row>
    <row r="4581" spans="12:16">
      <c r="L4581"/>
      <c r="M4581"/>
      <c r="O4581"/>
      <c r="P4581"/>
    </row>
    <row r="4582" spans="12:16">
      <c r="L4582"/>
      <c r="M4582"/>
      <c r="O4582"/>
      <c r="P4582"/>
    </row>
    <row r="4583" spans="12:16">
      <c r="L4583"/>
      <c r="M4583"/>
      <c r="O4583"/>
      <c r="P4583"/>
    </row>
    <row r="4584" spans="12:16">
      <c r="L4584"/>
      <c r="M4584"/>
      <c r="O4584"/>
      <c r="P4584"/>
    </row>
    <row r="4585" spans="12:16">
      <c r="L4585"/>
      <c r="M4585"/>
      <c r="O4585"/>
      <c r="P4585"/>
    </row>
    <row r="4586" spans="12:16">
      <c r="L4586"/>
      <c r="M4586"/>
      <c r="O4586"/>
      <c r="P4586"/>
    </row>
    <row r="4587" spans="12:16">
      <c r="L4587"/>
      <c r="M4587"/>
      <c r="O4587"/>
      <c r="P4587"/>
    </row>
    <row r="4588" spans="12:16">
      <c r="L4588"/>
      <c r="M4588"/>
      <c r="O4588"/>
      <c r="P4588"/>
    </row>
    <row r="4589" spans="12:16">
      <c r="L4589"/>
      <c r="M4589"/>
      <c r="O4589"/>
      <c r="P4589"/>
    </row>
    <row r="4590" spans="12:16">
      <c r="L4590"/>
      <c r="M4590"/>
      <c r="O4590"/>
      <c r="P4590"/>
    </row>
    <row r="4591" spans="12:16">
      <c r="L4591"/>
      <c r="M4591"/>
      <c r="O4591"/>
      <c r="P4591"/>
    </row>
    <row r="4592" spans="12:16">
      <c r="L4592"/>
      <c r="M4592"/>
      <c r="O4592"/>
      <c r="P4592"/>
    </row>
    <row r="4593" spans="12:16">
      <c r="L4593"/>
      <c r="M4593"/>
      <c r="O4593"/>
      <c r="P4593"/>
    </row>
    <row r="4594" spans="12:16">
      <c r="L4594"/>
      <c r="M4594"/>
      <c r="O4594"/>
      <c r="P4594"/>
    </row>
    <row r="4595" spans="12:16">
      <c r="L4595"/>
      <c r="M4595"/>
      <c r="O4595"/>
      <c r="P4595"/>
    </row>
    <row r="4596" spans="12:16">
      <c r="L4596"/>
      <c r="M4596"/>
      <c r="O4596"/>
      <c r="P4596"/>
    </row>
    <row r="4597" spans="12:16">
      <c r="L4597"/>
      <c r="M4597"/>
      <c r="O4597"/>
      <c r="P4597"/>
    </row>
    <row r="4598" spans="12:16">
      <c r="L4598"/>
      <c r="M4598"/>
      <c r="O4598"/>
      <c r="P4598"/>
    </row>
    <row r="4599" spans="12:16">
      <c r="L4599"/>
      <c r="M4599"/>
      <c r="O4599"/>
      <c r="P4599"/>
    </row>
    <row r="4600" spans="12:16">
      <c r="L4600"/>
      <c r="M4600"/>
      <c r="O4600"/>
      <c r="P4600"/>
    </row>
    <row r="4601" spans="12:16">
      <c r="L4601"/>
      <c r="M4601"/>
      <c r="O4601"/>
      <c r="P4601"/>
    </row>
    <row r="4602" spans="12:16">
      <c r="L4602"/>
      <c r="M4602"/>
      <c r="O4602"/>
      <c r="P4602"/>
    </row>
    <row r="4603" spans="12:16">
      <c r="L4603"/>
      <c r="M4603"/>
      <c r="O4603"/>
      <c r="P4603"/>
    </row>
    <row r="4604" spans="12:16">
      <c r="L4604"/>
      <c r="M4604"/>
      <c r="O4604"/>
      <c r="P4604"/>
    </row>
    <row r="4605" spans="12:16">
      <c r="L4605"/>
      <c r="M4605"/>
      <c r="O4605"/>
      <c r="P4605"/>
    </row>
    <row r="4606" spans="12:16">
      <c r="L4606"/>
      <c r="M4606"/>
      <c r="O4606"/>
      <c r="P4606"/>
    </row>
    <row r="4607" spans="12:16">
      <c r="L4607"/>
      <c r="M4607"/>
      <c r="O4607"/>
      <c r="P4607"/>
    </row>
    <row r="4608" spans="12:16">
      <c r="L4608"/>
      <c r="M4608"/>
      <c r="O4608"/>
      <c r="P4608"/>
    </row>
    <row r="4609" spans="12:16">
      <c r="L4609"/>
      <c r="M4609"/>
      <c r="O4609"/>
      <c r="P4609"/>
    </row>
    <row r="4610" spans="12:16">
      <c r="L4610"/>
      <c r="M4610"/>
      <c r="O4610"/>
      <c r="P4610"/>
    </row>
    <row r="4611" spans="12:16">
      <c r="L4611"/>
      <c r="M4611"/>
      <c r="O4611"/>
      <c r="P4611"/>
    </row>
    <row r="4612" spans="12:16">
      <c r="L4612"/>
      <c r="M4612"/>
      <c r="O4612"/>
      <c r="P4612"/>
    </row>
    <row r="4613" spans="12:16">
      <c r="L4613"/>
      <c r="M4613"/>
      <c r="O4613"/>
      <c r="P4613"/>
    </row>
    <row r="4614" spans="12:16">
      <c r="L4614"/>
      <c r="M4614"/>
      <c r="O4614"/>
      <c r="P4614"/>
    </row>
    <row r="4615" spans="12:16">
      <c r="L4615"/>
      <c r="M4615"/>
      <c r="O4615"/>
      <c r="P4615"/>
    </row>
    <row r="4616" spans="12:16">
      <c r="L4616"/>
      <c r="M4616"/>
      <c r="O4616"/>
      <c r="P4616"/>
    </row>
    <row r="4617" spans="12:16">
      <c r="L4617"/>
      <c r="M4617"/>
      <c r="O4617"/>
      <c r="P4617"/>
    </row>
    <row r="4618" spans="12:16">
      <c r="L4618"/>
      <c r="M4618"/>
      <c r="O4618"/>
      <c r="P4618"/>
    </row>
    <row r="4619" spans="12:16">
      <c r="L4619"/>
      <c r="M4619"/>
      <c r="O4619"/>
      <c r="P4619"/>
    </row>
    <row r="4620" spans="12:16">
      <c r="L4620"/>
      <c r="M4620"/>
      <c r="O4620"/>
      <c r="P4620"/>
    </row>
    <row r="4621" spans="12:16">
      <c r="L4621"/>
      <c r="M4621"/>
      <c r="O4621"/>
      <c r="P4621"/>
    </row>
    <row r="4622" spans="12:16">
      <c r="L4622"/>
      <c r="M4622"/>
      <c r="O4622"/>
      <c r="P4622"/>
    </row>
    <row r="4623" spans="12:16">
      <c r="L4623"/>
      <c r="M4623"/>
      <c r="O4623"/>
      <c r="P4623"/>
    </row>
    <row r="4624" spans="12:16">
      <c r="L4624"/>
      <c r="M4624"/>
      <c r="O4624"/>
      <c r="P4624"/>
    </row>
    <row r="4625" spans="12:16">
      <c r="L4625"/>
      <c r="M4625"/>
      <c r="O4625"/>
      <c r="P4625"/>
    </row>
    <row r="4626" spans="12:16">
      <c r="L4626"/>
      <c r="M4626"/>
      <c r="O4626"/>
      <c r="P4626"/>
    </row>
    <row r="4627" spans="12:16">
      <c r="L4627"/>
      <c r="M4627"/>
      <c r="O4627"/>
      <c r="P4627"/>
    </row>
    <row r="4628" spans="12:16">
      <c r="L4628"/>
      <c r="M4628"/>
      <c r="O4628"/>
      <c r="P4628"/>
    </row>
    <row r="4629" spans="12:16">
      <c r="L4629"/>
      <c r="M4629"/>
      <c r="O4629"/>
      <c r="P4629"/>
    </row>
    <row r="4630" spans="12:16">
      <c r="L4630"/>
      <c r="M4630"/>
      <c r="O4630"/>
      <c r="P4630"/>
    </row>
    <row r="4631" spans="12:16">
      <c r="L4631"/>
      <c r="M4631"/>
      <c r="O4631"/>
      <c r="P4631"/>
    </row>
    <row r="4632" spans="12:16">
      <c r="L4632"/>
      <c r="M4632"/>
      <c r="O4632"/>
      <c r="P4632"/>
    </row>
    <row r="4633" spans="12:16">
      <c r="L4633"/>
      <c r="M4633"/>
      <c r="O4633"/>
      <c r="P4633"/>
    </row>
    <row r="4634" spans="12:16">
      <c r="L4634"/>
      <c r="M4634"/>
      <c r="O4634"/>
      <c r="P4634"/>
    </row>
    <row r="4635" spans="12:16">
      <c r="L4635"/>
      <c r="M4635"/>
      <c r="O4635"/>
      <c r="P4635"/>
    </row>
    <row r="4636" spans="12:16">
      <c r="L4636"/>
      <c r="M4636"/>
      <c r="O4636"/>
      <c r="P4636"/>
    </row>
    <row r="4637" spans="12:16">
      <c r="L4637"/>
      <c r="M4637"/>
      <c r="O4637"/>
      <c r="P4637"/>
    </row>
    <row r="4638" spans="12:16">
      <c r="L4638"/>
      <c r="M4638"/>
      <c r="O4638"/>
      <c r="P4638"/>
    </row>
    <row r="4639" spans="12:16">
      <c r="L4639"/>
      <c r="M4639"/>
      <c r="O4639"/>
      <c r="P4639"/>
    </row>
    <row r="4640" spans="12:16">
      <c r="L4640"/>
      <c r="M4640"/>
      <c r="O4640"/>
      <c r="P4640"/>
    </row>
    <row r="4641" spans="12:16">
      <c r="L4641"/>
      <c r="M4641"/>
      <c r="O4641"/>
      <c r="P4641"/>
    </row>
    <row r="4642" spans="12:16">
      <c r="L4642"/>
      <c r="M4642"/>
      <c r="O4642"/>
      <c r="P4642"/>
    </row>
    <row r="4643" spans="12:16">
      <c r="L4643"/>
      <c r="M4643"/>
      <c r="O4643"/>
      <c r="P4643"/>
    </row>
    <row r="4644" spans="12:16">
      <c r="L4644"/>
      <c r="M4644"/>
      <c r="O4644"/>
      <c r="P4644"/>
    </row>
    <row r="4645" spans="12:16">
      <c r="L4645"/>
      <c r="M4645"/>
      <c r="O4645"/>
      <c r="P4645"/>
    </row>
    <row r="4646" spans="12:16">
      <c r="L4646"/>
      <c r="M4646"/>
      <c r="O4646"/>
      <c r="P4646"/>
    </row>
    <row r="4647" spans="12:16">
      <c r="L4647"/>
      <c r="M4647"/>
      <c r="O4647"/>
      <c r="P4647"/>
    </row>
    <row r="4648" spans="12:16">
      <c r="L4648"/>
      <c r="M4648"/>
      <c r="O4648"/>
      <c r="P4648"/>
    </row>
    <row r="4649" spans="12:16">
      <c r="L4649"/>
      <c r="M4649"/>
      <c r="O4649"/>
      <c r="P4649"/>
    </row>
    <row r="4650" spans="12:16">
      <c r="L4650"/>
      <c r="M4650"/>
      <c r="O4650"/>
      <c r="P4650"/>
    </row>
    <row r="4651" spans="12:16">
      <c r="L4651"/>
      <c r="M4651"/>
      <c r="O4651"/>
      <c r="P4651"/>
    </row>
    <row r="4652" spans="12:16">
      <c r="L4652"/>
      <c r="M4652"/>
      <c r="O4652"/>
      <c r="P4652"/>
    </row>
    <row r="4653" spans="12:16">
      <c r="L4653"/>
      <c r="M4653"/>
      <c r="O4653"/>
      <c r="P4653"/>
    </row>
    <row r="4654" spans="12:16">
      <c r="L4654"/>
      <c r="M4654"/>
      <c r="O4654"/>
      <c r="P4654"/>
    </row>
    <row r="4655" spans="12:16">
      <c r="L4655"/>
      <c r="M4655"/>
      <c r="O4655"/>
      <c r="P4655"/>
    </row>
    <row r="4656" spans="12:16">
      <c r="L4656"/>
      <c r="M4656"/>
      <c r="O4656"/>
      <c r="P4656"/>
    </row>
    <row r="4657" spans="12:16">
      <c r="L4657"/>
      <c r="M4657"/>
      <c r="O4657"/>
      <c r="P4657"/>
    </row>
    <row r="4658" spans="12:16">
      <c r="L4658"/>
      <c r="M4658"/>
      <c r="O4658"/>
      <c r="P4658"/>
    </row>
    <row r="4659" spans="12:16">
      <c r="L4659"/>
      <c r="M4659"/>
      <c r="O4659"/>
      <c r="P4659"/>
    </row>
    <row r="4660" spans="12:16">
      <c r="L4660"/>
      <c r="M4660"/>
      <c r="O4660"/>
      <c r="P4660"/>
    </row>
    <row r="4661" spans="12:16">
      <c r="L4661"/>
      <c r="M4661"/>
      <c r="O4661"/>
      <c r="P4661"/>
    </row>
    <row r="4662" spans="12:16">
      <c r="L4662"/>
      <c r="M4662"/>
      <c r="O4662"/>
      <c r="P4662"/>
    </row>
    <row r="4663" spans="12:16">
      <c r="L4663"/>
      <c r="M4663"/>
      <c r="O4663"/>
      <c r="P4663"/>
    </row>
    <row r="4664" spans="12:16">
      <c r="L4664"/>
      <c r="M4664"/>
      <c r="O4664"/>
      <c r="P4664"/>
    </row>
    <row r="4665" spans="12:16">
      <c r="L4665"/>
      <c r="M4665"/>
      <c r="O4665"/>
      <c r="P4665"/>
    </row>
    <row r="4666" spans="12:16">
      <c r="L4666"/>
      <c r="M4666"/>
      <c r="O4666"/>
      <c r="P4666"/>
    </row>
    <row r="4667" spans="12:16">
      <c r="L4667"/>
      <c r="M4667"/>
      <c r="O4667"/>
      <c r="P4667"/>
    </row>
    <row r="4668" spans="12:16">
      <c r="L4668"/>
      <c r="M4668"/>
      <c r="O4668"/>
      <c r="P4668"/>
    </row>
    <row r="4669" spans="12:16">
      <c r="L4669"/>
      <c r="M4669"/>
      <c r="O4669"/>
      <c r="P4669"/>
    </row>
    <row r="4670" spans="12:16">
      <c r="L4670"/>
      <c r="M4670"/>
      <c r="O4670"/>
      <c r="P4670"/>
    </row>
    <row r="4671" spans="12:16">
      <c r="L4671"/>
      <c r="M4671"/>
      <c r="O4671"/>
      <c r="P4671"/>
    </row>
    <row r="4672" spans="12:16">
      <c r="L4672"/>
      <c r="M4672"/>
      <c r="O4672"/>
      <c r="P4672"/>
    </row>
    <row r="4673" spans="12:16">
      <c r="L4673"/>
      <c r="M4673"/>
      <c r="O4673"/>
      <c r="P4673"/>
    </row>
    <row r="4674" spans="12:16">
      <c r="L4674"/>
      <c r="M4674"/>
      <c r="O4674"/>
      <c r="P4674"/>
    </row>
    <row r="4675" spans="12:16">
      <c r="L4675"/>
      <c r="M4675"/>
      <c r="O4675"/>
      <c r="P4675"/>
    </row>
    <row r="4676" spans="12:16">
      <c r="L4676"/>
      <c r="M4676"/>
      <c r="O4676"/>
      <c r="P4676"/>
    </row>
    <row r="4677" spans="12:16">
      <c r="L4677"/>
      <c r="M4677"/>
      <c r="O4677"/>
      <c r="P4677"/>
    </row>
    <row r="4678" spans="12:16">
      <c r="L4678"/>
      <c r="M4678"/>
      <c r="O4678"/>
      <c r="P4678"/>
    </row>
    <row r="4679" spans="12:16">
      <c r="L4679"/>
      <c r="M4679"/>
      <c r="O4679"/>
      <c r="P4679"/>
    </row>
    <row r="4680" spans="12:16">
      <c r="L4680"/>
      <c r="M4680"/>
      <c r="O4680"/>
      <c r="P4680"/>
    </row>
    <row r="4681" spans="12:16">
      <c r="L4681"/>
      <c r="M4681"/>
      <c r="O4681"/>
      <c r="P4681"/>
    </row>
    <row r="4682" spans="12:16">
      <c r="L4682"/>
      <c r="M4682"/>
      <c r="O4682"/>
      <c r="P4682"/>
    </row>
    <row r="4683" spans="12:16">
      <c r="L4683"/>
      <c r="M4683"/>
      <c r="O4683"/>
      <c r="P4683"/>
    </row>
    <row r="4684" spans="12:16">
      <c r="L4684"/>
      <c r="M4684"/>
      <c r="O4684"/>
      <c r="P4684"/>
    </row>
    <row r="4685" spans="12:16">
      <c r="L4685"/>
      <c r="M4685"/>
      <c r="O4685"/>
      <c r="P4685"/>
    </row>
    <row r="4686" spans="12:16">
      <c r="L4686"/>
      <c r="M4686"/>
      <c r="O4686"/>
      <c r="P4686"/>
    </row>
    <row r="4687" spans="12:16">
      <c r="L4687"/>
      <c r="M4687"/>
      <c r="O4687"/>
      <c r="P4687"/>
    </row>
    <row r="4688" spans="12:16">
      <c r="L4688"/>
      <c r="M4688"/>
      <c r="O4688"/>
      <c r="P4688"/>
    </row>
    <row r="4689" spans="12:16">
      <c r="L4689"/>
      <c r="M4689"/>
      <c r="O4689"/>
      <c r="P4689"/>
    </row>
    <row r="4690" spans="12:16">
      <c r="L4690"/>
      <c r="M4690"/>
      <c r="O4690"/>
      <c r="P4690"/>
    </row>
    <row r="4691" spans="12:16">
      <c r="L4691"/>
      <c r="M4691"/>
      <c r="O4691"/>
      <c r="P4691"/>
    </row>
    <row r="4692" spans="12:16">
      <c r="L4692"/>
      <c r="M4692"/>
      <c r="O4692"/>
      <c r="P4692"/>
    </row>
    <row r="4693" spans="12:16">
      <c r="L4693"/>
      <c r="M4693"/>
      <c r="O4693"/>
      <c r="P4693"/>
    </row>
    <row r="4694" spans="12:16">
      <c r="L4694"/>
      <c r="M4694"/>
      <c r="O4694"/>
      <c r="P4694"/>
    </row>
    <row r="4695" spans="12:16">
      <c r="L4695"/>
      <c r="M4695"/>
      <c r="O4695"/>
      <c r="P4695"/>
    </row>
    <row r="4696" spans="12:16">
      <c r="L4696"/>
      <c r="M4696"/>
      <c r="O4696"/>
      <c r="P4696"/>
    </row>
    <row r="4697" spans="12:16">
      <c r="L4697"/>
      <c r="M4697"/>
      <c r="O4697"/>
      <c r="P4697"/>
    </row>
    <row r="4698" spans="12:16">
      <c r="L4698"/>
      <c r="M4698"/>
      <c r="O4698"/>
      <c r="P4698"/>
    </row>
    <row r="4699" spans="12:16">
      <c r="L4699"/>
      <c r="M4699"/>
      <c r="O4699"/>
      <c r="P4699"/>
    </row>
    <row r="4700" spans="12:16">
      <c r="L4700"/>
      <c r="M4700"/>
      <c r="O4700"/>
      <c r="P4700"/>
    </row>
    <row r="4701" spans="12:16">
      <c r="L4701"/>
      <c r="M4701"/>
      <c r="O4701"/>
      <c r="P4701"/>
    </row>
    <row r="4702" spans="12:16">
      <c r="L4702"/>
      <c r="M4702"/>
      <c r="O4702"/>
      <c r="P4702"/>
    </row>
    <row r="4703" spans="12:16">
      <c r="L4703"/>
      <c r="M4703"/>
      <c r="O4703"/>
      <c r="P4703"/>
    </row>
    <row r="4704" spans="12:16">
      <c r="L4704"/>
      <c r="M4704"/>
      <c r="O4704"/>
      <c r="P4704"/>
    </row>
    <row r="4705" spans="12:16">
      <c r="L4705"/>
      <c r="M4705"/>
      <c r="O4705"/>
      <c r="P4705"/>
    </row>
    <row r="4706" spans="12:16">
      <c r="L4706"/>
      <c r="M4706"/>
      <c r="O4706"/>
      <c r="P4706"/>
    </row>
    <row r="4707" spans="12:16">
      <c r="L4707"/>
      <c r="M4707"/>
      <c r="O4707"/>
      <c r="P4707"/>
    </row>
    <row r="4708" spans="12:16">
      <c r="L4708"/>
      <c r="M4708"/>
      <c r="O4708"/>
      <c r="P4708"/>
    </row>
    <row r="4709" spans="12:16">
      <c r="L4709"/>
      <c r="M4709"/>
      <c r="O4709"/>
      <c r="P4709"/>
    </row>
    <row r="4710" spans="12:16">
      <c r="L4710"/>
      <c r="M4710"/>
      <c r="O4710"/>
      <c r="P4710"/>
    </row>
    <row r="4711" spans="12:16">
      <c r="L4711"/>
      <c r="M4711"/>
      <c r="O4711"/>
      <c r="P4711"/>
    </row>
    <row r="4712" spans="12:16">
      <c r="L4712"/>
      <c r="M4712"/>
      <c r="O4712"/>
      <c r="P4712"/>
    </row>
    <row r="4713" spans="12:16">
      <c r="L4713"/>
      <c r="M4713"/>
      <c r="O4713"/>
      <c r="P4713"/>
    </row>
    <row r="4714" spans="12:16">
      <c r="L4714"/>
      <c r="M4714"/>
      <c r="O4714"/>
      <c r="P4714"/>
    </row>
    <row r="4715" spans="12:16">
      <c r="L4715"/>
      <c r="M4715"/>
      <c r="O4715"/>
      <c r="P4715"/>
    </row>
    <row r="4716" spans="12:16">
      <c r="L4716"/>
      <c r="M4716"/>
      <c r="O4716"/>
      <c r="P4716"/>
    </row>
    <row r="4717" spans="12:16">
      <c r="L4717"/>
      <c r="M4717"/>
      <c r="O4717"/>
      <c r="P4717"/>
    </row>
    <row r="4718" spans="12:16">
      <c r="L4718"/>
      <c r="M4718"/>
      <c r="O4718"/>
      <c r="P4718"/>
    </row>
    <row r="4719" spans="12:16">
      <c r="L4719"/>
      <c r="M4719"/>
      <c r="O4719"/>
      <c r="P4719"/>
    </row>
    <row r="4720" spans="12:16">
      <c r="L4720"/>
      <c r="M4720"/>
      <c r="O4720"/>
      <c r="P4720"/>
    </row>
    <row r="4721" spans="12:16">
      <c r="L4721"/>
      <c r="M4721"/>
      <c r="O4721"/>
      <c r="P4721"/>
    </row>
    <row r="4722" spans="12:16">
      <c r="L4722"/>
      <c r="M4722"/>
      <c r="O4722"/>
      <c r="P4722"/>
    </row>
    <row r="4723" spans="12:16">
      <c r="L4723"/>
      <c r="M4723"/>
      <c r="O4723"/>
      <c r="P4723"/>
    </row>
    <row r="4724" spans="12:16">
      <c r="L4724"/>
      <c r="M4724"/>
      <c r="O4724"/>
      <c r="P4724"/>
    </row>
    <row r="4725" spans="12:16">
      <c r="L4725"/>
      <c r="M4725"/>
      <c r="O4725"/>
      <c r="P4725"/>
    </row>
    <row r="4726" spans="12:16">
      <c r="L4726"/>
      <c r="M4726"/>
      <c r="O4726"/>
      <c r="P4726"/>
    </row>
    <row r="4727" spans="12:16">
      <c r="L4727"/>
      <c r="M4727"/>
      <c r="O4727"/>
      <c r="P4727"/>
    </row>
    <row r="4728" spans="12:16">
      <c r="L4728"/>
      <c r="M4728"/>
      <c r="O4728"/>
      <c r="P4728"/>
    </row>
    <row r="4729" spans="12:16">
      <c r="L4729"/>
      <c r="M4729"/>
      <c r="O4729"/>
      <c r="P4729"/>
    </row>
    <row r="4730" spans="12:16">
      <c r="L4730"/>
      <c r="M4730"/>
      <c r="O4730"/>
      <c r="P4730"/>
    </row>
    <row r="4731" spans="12:16">
      <c r="L4731"/>
      <c r="M4731"/>
      <c r="O4731"/>
      <c r="P4731"/>
    </row>
    <row r="4732" spans="12:16">
      <c r="L4732"/>
      <c r="M4732"/>
      <c r="O4732"/>
      <c r="P4732"/>
    </row>
    <row r="4733" spans="12:16">
      <c r="L4733"/>
      <c r="M4733"/>
      <c r="O4733"/>
      <c r="P4733"/>
    </row>
    <row r="4734" spans="12:16">
      <c r="L4734"/>
      <c r="M4734"/>
      <c r="O4734"/>
      <c r="P4734"/>
    </row>
    <row r="4735" spans="12:16">
      <c r="L4735"/>
      <c r="M4735"/>
      <c r="O4735"/>
      <c r="P4735"/>
    </row>
    <row r="4736" spans="12:16">
      <c r="L4736"/>
      <c r="M4736"/>
      <c r="O4736"/>
      <c r="P4736"/>
    </row>
    <row r="4737" spans="12:16">
      <c r="L4737"/>
      <c r="M4737"/>
      <c r="O4737"/>
      <c r="P4737"/>
    </row>
    <row r="4738" spans="12:16">
      <c r="L4738"/>
      <c r="M4738"/>
      <c r="O4738"/>
      <c r="P4738"/>
    </row>
    <row r="4739" spans="12:16">
      <c r="L4739"/>
      <c r="M4739"/>
      <c r="O4739"/>
      <c r="P4739"/>
    </row>
    <row r="4740" spans="12:16">
      <c r="L4740"/>
      <c r="M4740"/>
      <c r="O4740"/>
      <c r="P4740"/>
    </row>
    <row r="4741" spans="12:16">
      <c r="L4741"/>
      <c r="M4741"/>
      <c r="O4741"/>
      <c r="P4741"/>
    </row>
    <row r="4742" spans="12:16">
      <c r="L4742"/>
      <c r="M4742"/>
      <c r="O4742"/>
      <c r="P4742"/>
    </row>
    <row r="4743" spans="12:16">
      <c r="L4743"/>
      <c r="M4743"/>
      <c r="O4743"/>
      <c r="P4743"/>
    </row>
    <row r="4744" spans="12:16">
      <c r="L4744"/>
      <c r="M4744"/>
      <c r="O4744"/>
      <c r="P4744"/>
    </row>
    <row r="4745" spans="12:16">
      <c r="L4745"/>
      <c r="M4745"/>
      <c r="O4745"/>
      <c r="P4745"/>
    </row>
    <row r="4746" spans="12:16">
      <c r="L4746"/>
      <c r="M4746"/>
      <c r="O4746"/>
      <c r="P4746"/>
    </row>
    <row r="4747" spans="12:16">
      <c r="L4747"/>
      <c r="M4747"/>
      <c r="O4747"/>
      <c r="P4747"/>
    </row>
    <row r="4748" spans="12:16">
      <c r="L4748"/>
      <c r="M4748"/>
      <c r="O4748"/>
      <c r="P4748"/>
    </row>
    <row r="4749" spans="12:16">
      <c r="L4749"/>
      <c r="M4749"/>
      <c r="O4749"/>
      <c r="P4749"/>
    </row>
    <row r="4750" spans="12:16">
      <c r="L4750"/>
      <c r="M4750"/>
      <c r="O4750"/>
      <c r="P4750"/>
    </row>
    <row r="4751" spans="12:16">
      <c r="L4751"/>
      <c r="M4751"/>
      <c r="O4751"/>
      <c r="P4751"/>
    </row>
    <row r="4752" spans="12:16">
      <c r="L4752"/>
      <c r="M4752"/>
      <c r="O4752"/>
      <c r="P4752"/>
    </row>
    <row r="4753" spans="12:16">
      <c r="L4753"/>
      <c r="M4753"/>
      <c r="O4753"/>
      <c r="P4753"/>
    </row>
    <row r="4754" spans="12:16">
      <c r="L4754"/>
      <c r="M4754"/>
      <c r="O4754"/>
      <c r="P4754"/>
    </row>
    <row r="4755" spans="12:16">
      <c r="L4755"/>
      <c r="M4755"/>
      <c r="O4755"/>
      <c r="P4755"/>
    </row>
    <row r="4756" spans="12:16">
      <c r="L4756"/>
      <c r="M4756"/>
      <c r="O4756"/>
      <c r="P4756"/>
    </row>
    <row r="4757" spans="12:16">
      <c r="L4757"/>
      <c r="M4757"/>
      <c r="O4757"/>
      <c r="P4757"/>
    </row>
    <row r="4758" spans="12:16">
      <c r="L4758"/>
      <c r="M4758"/>
      <c r="O4758"/>
      <c r="P4758"/>
    </row>
    <row r="4759" spans="12:16">
      <c r="L4759"/>
      <c r="M4759"/>
      <c r="O4759"/>
      <c r="P4759"/>
    </row>
    <row r="4760" spans="12:16">
      <c r="L4760"/>
      <c r="M4760"/>
      <c r="O4760"/>
      <c r="P4760"/>
    </row>
    <row r="4761" spans="12:16">
      <c r="L4761"/>
      <c r="M4761"/>
      <c r="O4761"/>
      <c r="P4761"/>
    </row>
    <row r="4762" spans="12:16">
      <c r="L4762"/>
      <c r="M4762"/>
      <c r="O4762"/>
      <c r="P4762"/>
    </row>
    <row r="4763" spans="12:16">
      <c r="L4763"/>
      <c r="M4763"/>
      <c r="O4763"/>
      <c r="P4763"/>
    </row>
    <row r="4764" spans="12:16">
      <c r="L4764"/>
      <c r="M4764"/>
      <c r="O4764"/>
      <c r="P4764"/>
    </row>
    <row r="4765" spans="12:16">
      <c r="L4765"/>
      <c r="M4765"/>
      <c r="O4765"/>
      <c r="P4765"/>
    </row>
    <row r="4766" spans="12:16">
      <c r="L4766"/>
      <c r="M4766"/>
      <c r="O4766"/>
      <c r="P4766"/>
    </row>
    <row r="4767" spans="12:16">
      <c r="L4767"/>
      <c r="M4767"/>
      <c r="O4767"/>
      <c r="P4767"/>
    </row>
    <row r="4768" spans="12:16">
      <c r="L4768"/>
      <c r="M4768"/>
      <c r="O4768"/>
      <c r="P4768"/>
    </row>
    <row r="4769" spans="12:16">
      <c r="L4769"/>
      <c r="M4769"/>
      <c r="O4769"/>
      <c r="P4769"/>
    </row>
    <row r="4770" spans="12:16">
      <c r="L4770"/>
      <c r="M4770"/>
      <c r="O4770"/>
      <c r="P4770"/>
    </row>
    <row r="4771" spans="12:16">
      <c r="L4771"/>
      <c r="M4771"/>
      <c r="O4771"/>
      <c r="P4771"/>
    </row>
    <row r="4772" spans="12:16">
      <c r="L4772"/>
      <c r="M4772"/>
      <c r="O4772"/>
      <c r="P4772"/>
    </row>
    <row r="4773" spans="12:16">
      <c r="L4773"/>
      <c r="M4773"/>
      <c r="O4773"/>
      <c r="P4773"/>
    </row>
    <row r="4774" spans="12:16">
      <c r="L4774"/>
      <c r="M4774"/>
      <c r="O4774"/>
      <c r="P4774"/>
    </row>
    <row r="4775" spans="12:16">
      <c r="L4775"/>
      <c r="M4775"/>
      <c r="O4775"/>
      <c r="P4775"/>
    </row>
    <row r="4776" spans="12:16">
      <c r="L4776"/>
      <c r="M4776"/>
      <c r="O4776"/>
      <c r="P4776"/>
    </row>
    <row r="4777" spans="12:16">
      <c r="L4777"/>
      <c r="M4777"/>
      <c r="O4777"/>
      <c r="P4777"/>
    </row>
    <row r="4778" spans="12:16">
      <c r="L4778"/>
      <c r="M4778"/>
      <c r="O4778"/>
      <c r="P4778"/>
    </row>
    <row r="4779" spans="12:16">
      <c r="L4779"/>
      <c r="M4779"/>
      <c r="O4779"/>
      <c r="P4779"/>
    </row>
    <row r="4780" spans="12:16">
      <c r="L4780"/>
      <c r="M4780"/>
      <c r="O4780"/>
      <c r="P4780"/>
    </row>
    <row r="4781" spans="12:16">
      <c r="L4781"/>
      <c r="M4781"/>
      <c r="O4781"/>
      <c r="P4781"/>
    </row>
    <row r="4782" spans="12:16">
      <c r="L4782"/>
      <c r="M4782"/>
      <c r="O4782"/>
      <c r="P4782"/>
    </row>
    <row r="4783" spans="12:16">
      <c r="L4783"/>
      <c r="M4783"/>
      <c r="O4783"/>
      <c r="P4783"/>
    </row>
    <row r="4784" spans="12:16">
      <c r="L4784"/>
      <c r="M4784"/>
      <c r="O4784"/>
      <c r="P4784"/>
    </row>
    <row r="4785" spans="12:16">
      <c r="L4785"/>
      <c r="M4785"/>
      <c r="O4785"/>
      <c r="P4785"/>
    </row>
    <row r="4786" spans="12:16">
      <c r="L4786"/>
      <c r="M4786"/>
      <c r="O4786"/>
      <c r="P4786"/>
    </row>
    <row r="4787" spans="12:16">
      <c r="L4787"/>
      <c r="M4787"/>
      <c r="O4787"/>
      <c r="P4787"/>
    </row>
    <row r="4788" spans="12:16">
      <c r="L4788"/>
      <c r="M4788"/>
      <c r="O4788"/>
      <c r="P4788"/>
    </row>
    <row r="4789" spans="12:16">
      <c r="L4789"/>
      <c r="M4789"/>
      <c r="O4789"/>
      <c r="P4789"/>
    </row>
    <row r="4790" spans="12:16">
      <c r="L4790"/>
      <c r="M4790"/>
      <c r="O4790"/>
      <c r="P4790"/>
    </row>
    <row r="4791" spans="12:16">
      <c r="L4791"/>
      <c r="M4791"/>
      <c r="O4791"/>
      <c r="P4791"/>
    </row>
    <row r="4792" spans="12:16">
      <c r="L4792"/>
      <c r="M4792"/>
      <c r="O4792"/>
      <c r="P4792"/>
    </row>
    <row r="4793" spans="12:16">
      <c r="L4793"/>
      <c r="M4793"/>
      <c r="O4793"/>
      <c r="P4793"/>
    </row>
    <row r="4794" spans="12:16">
      <c r="L4794"/>
      <c r="M4794"/>
      <c r="O4794"/>
      <c r="P4794"/>
    </row>
    <row r="4795" spans="12:16">
      <c r="L4795"/>
      <c r="M4795"/>
      <c r="O4795"/>
      <c r="P4795"/>
    </row>
    <row r="4796" spans="12:16">
      <c r="L4796"/>
      <c r="M4796"/>
      <c r="O4796"/>
      <c r="P4796"/>
    </row>
    <row r="4797" spans="12:16">
      <c r="L4797"/>
      <c r="M4797"/>
      <c r="O4797"/>
      <c r="P4797"/>
    </row>
    <row r="4798" spans="12:16">
      <c r="L4798"/>
      <c r="M4798"/>
      <c r="O4798"/>
      <c r="P4798"/>
    </row>
    <row r="4799" spans="12:16">
      <c r="L4799"/>
      <c r="M4799"/>
      <c r="O4799"/>
      <c r="P4799"/>
    </row>
    <row r="4800" spans="12:16">
      <c r="L4800"/>
      <c r="M4800"/>
      <c r="O4800"/>
      <c r="P4800"/>
    </row>
    <row r="4801" spans="12:16">
      <c r="L4801"/>
      <c r="M4801"/>
      <c r="O4801"/>
      <c r="P4801"/>
    </row>
    <row r="4802" spans="12:16">
      <c r="L4802"/>
      <c r="M4802"/>
      <c r="O4802"/>
      <c r="P4802"/>
    </row>
    <row r="4803" spans="12:16">
      <c r="L4803"/>
      <c r="M4803"/>
      <c r="O4803"/>
      <c r="P4803"/>
    </row>
    <row r="4804" spans="12:16">
      <c r="L4804"/>
      <c r="M4804"/>
      <c r="O4804"/>
      <c r="P4804"/>
    </row>
    <row r="4805" spans="12:16">
      <c r="L4805"/>
      <c r="M4805"/>
      <c r="O4805"/>
      <c r="P4805"/>
    </row>
    <row r="4806" spans="12:16">
      <c r="L4806"/>
      <c r="M4806"/>
      <c r="O4806"/>
      <c r="P4806"/>
    </row>
    <row r="4807" spans="12:16">
      <c r="L4807"/>
      <c r="M4807"/>
      <c r="O4807"/>
      <c r="P4807"/>
    </row>
    <row r="4808" spans="12:16">
      <c r="L4808"/>
      <c r="M4808"/>
      <c r="O4808"/>
      <c r="P4808"/>
    </row>
    <row r="4809" spans="12:16">
      <c r="L4809"/>
      <c r="M4809"/>
      <c r="O4809"/>
      <c r="P4809"/>
    </row>
    <row r="4810" spans="12:16">
      <c r="L4810"/>
      <c r="M4810"/>
      <c r="O4810"/>
      <c r="P4810"/>
    </row>
    <row r="4811" spans="12:16">
      <c r="L4811"/>
      <c r="M4811"/>
      <c r="O4811"/>
      <c r="P4811"/>
    </row>
    <row r="4812" spans="12:16">
      <c r="L4812"/>
      <c r="M4812"/>
      <c r="O4812"/>
      <c r="P4812"/>
    </row>
    <row r="4813" spans="12:16">
      <c r="L4813"/>
      <c r="M4813"/>
      <c r="O4813"/>
      <c r="P4813"/>
    </row>
    <row r="4814" spans="12:16">
      <c r="L4814"/>
      <c r="M4814"/>
      <c r="O4814"/>
      <c r="P4814"/>
    </row>
    <row r="4815" spans="12:16">
      <c r="L4815"/>
      <c r="M4815"/>
      <c r="O4815"/>
      <c r="P4815"/>
    </row>
    <row r="4816" spans="12:16">
      <c r="L4816"/>
      <c r="M4816"/>
      <c r="O4816"/>
      <c r="P4816"/>
    </row>
    <row r="4817" spans="12:16">
      <c r="L4817"/>
      <c r="M4817"/>
      <c r="O4817"/>
      <c r="P4817"/>
    </row>
    <row r="4818" spans="12:16">
      <c r="L4818"/>
      <c r="M4818"/>
      <c r="O4818"/>
      <c r="P4818"/>
    </row>
    <row r="4819" spans="12:16">
      <c r="L4819"/>
      <c r="M4819"/>
      <c r="O4819"/>
      <c r="P4819"/>
    </row>
    <row r="4820" spans="12:16">
      <c r="L4820"/>
      <c r="M4820"/>
      <c r="O4820"/>
      <c r="P4820"/>
    </row>
    <row r="4821" spans="12:16">
      <c r="L4821"/>
      <c r="M4821"/>
      <c r="O4821"/>
      <c r="P4821"/>
    </row>
    <row r="4822" spans="12:16">
      <c r="L4822"/>
      <c r="M4822"/>
      <c r="O4822"/>
      <c r="P4822"/>
    </row>
    <row r="4823" spans="12:16">
      <c r="L4823"/>
      <c r="M4823"/>
      <c r="O4823"/>
      <c r="P4823"/>
    </row>
    <row r="4824" spans="12:16">
      <c r="L4824"/>
      <c r="M4824"/>
      <c r="O4824"/>
      <c r="P4824"/>
    </row>
    <row r="4825" spans="12:16">
      <c r="L4825"/>
      <c r="M4825"/>
      <c r="O4825"/>
      <c r="P4825"/>
    </row>
    <row r="4826" spans="12:16">
      <c r="L4826"/>
      <c r="M4826"/>
      <c r="O4826"/>
      <c r="P4826"/>
    </row>
    <row r="4827" spans="12:16">
      <c r="L4827"/>
      <c r="M4827"/>
      <c r="O4827"/>
      <c r="P4827"/>
    </row>
    <row r="4828" spans="12:16">
      <c r="L4828"/>
      <c r="M4828"/>
      <c r="O4828"/>
      <c r="P4828"/>
    </row>
    <row r="4829" spans="12:16">
      <c r="L4829"/>
      <c r="M4829"/>
      <c r="O4829"/>
      <c r="P4829"/>
    </row>
    <row r="4830" spans="12:16">
      <c r="L4830"/>
      <c r="M4830"/>
      <c r="O4830"/>
      <c r="P4830"/>
    </row>
    <row r="4831" spans="12:16">
      <c r="L4831"/>
      <c r="M4831"/>
      <c r="O4831"/>
      <c r="P4831"/>
    </row>
    <row r="4832" spans="12:16">
      <c r="L4832"/>
      <c r="M4832"/>
      <c r="O4832"/>
      <c r="P4832"/>
    </row>
    <row r="4833" spans="12:16">
      <c r="L4833"/>
      <c r="M4833"/>
      <c r="O4833"/>
      <c r="P4833"/>
    </row>
    <row r="4834" spans="12:16">
      <c r="L4834"/>
      <c r="M4834"/>
      <c r="O4834"/>
      <c r="P4834"/>
    </row>
    <row r="4835" spans="12:16">
      <c r="L4835"/>
      <c r="M4835"/>
      <c r="O4835"/>
      <c r="P4835"/>
    </row>
    <row r="4836" spans="12:16">
      <c r="L4836"/>
      <c r="M4836"/>
      <c r="O4836"/>
      <c r="P4836"/>
    </row>
    <row r="4837" spans="12:16">
      <c r="L4837"/>
      <c r="M4837"/>
      <c r="O4837"/>
      <c r="P4837"/>
    </row>
    <row r="4838" spans="12:16">
      <c r="L4838"/>
      <c r="M4838"/>
      <c r="O4838"/>
      <c r="P4838"/>
    </row>
    <row r="4839" spans="12:16">
      <c r="L4839"/>
      <c r="M4839"/>
      <c r="O4839"/>
      <c r="P4839"/>
    </row>
    <row r="4840" spans="12:16">
      <c r="L4840"/>
      <c r="M4840"/>
      <c r="O4840"/>
      <c r="P4840"/>
    </row>
    <row r="4841" spans="12:16">
      <c r="L4841"/>
      <c r="M4841"/>
      <c r="O4841"/>
      <c r="P4841"/>
    </row>
    <row r="4842" spans="12:16">
      <c r="L4842"/>
      <c r="M4842"/>
      <c r="O4842"/>
      <c r="P4842"/>
    </row>
    <row r="4843" spans="12:16">
      <c r="L4843"/>
      <c r="M4843"/>
      <c r="O4843"/>
      <c r="P4843"/>
    </row>
    <row r="4844" spans="12:16">
      <c r="L4844"/>
      <c r="M4844"/>
      <c r="O4844"/>
      <c r="P4844"/>
    </row>
    <row r="4845" spans="12:16">
      <c r="L4845"/>
      <c r="M4845"/>
      <c r="O4845"/>
      <c r="P4845"/>
    </row>
    <row r="4846" spans="12:16">
      <c r="L4846"/>
      <c r="M4846"/>
      <c r="O4846"/>
      <c r="P4846"/>
    </row>
    <row r="4847" spans="12:16">
      <c r="L4847"/>
      <c r="M4847"/>
      <c r="O4847"/>
      <c r="P4847"/>
    </row>
    <row r="4848" spans="12:16">
      <c r="L4848"/>
      <c r="M4848"/>
      <c r="O4848"/>
      <c r="P4848"/>
    </row>
    <row r="4849" spans="12:16">
      <c r="L4849"/>
      <c r="M4849"/>
      <c r="O4849"/>
      <c r="P4849"/>
    </row>
    <row r="4850" spans="12:16">
      <c r="L4850"/>
      <c r="M4850"/>
      <c r="O4850"/>
      <c r="P4850"/>
    </row>
    <row r="4851" spans="12:16">
      <c r="L4851"/>
      <c r="M4851"/>
      <c r="O4851"/>
      <c r="P4851"/>
    </row>
    <row r="4852" spans="12:16">
      <c r="L4852"/>
      <c r="M4852"/>
      <c r="O4852"/>
      <c r="P4852"/>
    </row>
    <row r="4853" spans="12:16">
      <c r="L4853"/>
      <c r="M4853"/>
      <c r="O4853"/>
      <c r="P4853"/>
    </row>
    <row r="4854" spans="12:16">
      <c r="L4854"/>
      <c r="M4854"/>
      <c r="O4854"/>
      <c r="P4854"/>
    </row>
    <row r="4855" spans="12:16">
      <c r="L4855"/>
      <c r="M4855"/>
      <c r="O4855"/>
      <c r="P4855"/>
    </row>
    <row r="4856" spans="12:16">
      <c r="L4856"/>
      <c r="M4856"/>
      <c r="O4856"/>
      <c r="P4856"/>
    </row>
    <row r="4857" spans="12:16">
      <c r="L4857"/>
      <c r="M4857"/>
      <c r="O4857"/>
      <c r="P4857"/>
    </row>
    <row r="4858" spans="12:16">
      <c r="L4858"/>
      <c r="M4858"/>
      <c r="O4858"/>
      <c r="P4858"/>
    </row>
    <row r="4859" spans="12:16">
      <c r="L4859"/>
      <c r="M4859"/>
      <c r="O4859"/>
      <c r="P4859"/>
    </row>
    <row r="4860" spans="12:16">
      <c r="L4860"/>
      <c r="M4860"/>
      <c r="O4860"/>
      <c r="P4860"/>
    </row>
    <row r="4861" spans="12:16">
      <c r="L4861"/>
      <c r="M4861"/>
      <c r="O4861"/>
      <c r="P4861"/>
    </row>
    <row r="4862" spans="12:16">
      <c r="L4862"/>
      <c r="M4862"/>
      <c r="O4862"/>
      <c r="P4862"/>
    </row>
    <row r="4863" spans="12:16">
      <c r="L4863"/>
      <c r="M4863"/>
      <c r="O4863"/>
      <c r="P4863"/>
    </row>
    <row r="4864" spans="12:16">
      <c r="L4864"/>
      <c r="M4864"/>
      <c r="O4864"/>
      <c r="P4864"/>
    </row>
    <row r="4865" spans="12:16">
      <c r="L4865"/>
      <c r="M4865"/>
      <c r="O4865"/>
      <c r="P4865"/>
    </row>
    <row r="4866" spans="12:16">
      <c r="L4866"/>
      <c r="M4866"/>
      <c r="O4866"/>
      <c r="P4866"/>
    </row>
    <row r="4867" spans="12:16">
      <c r="L4867"/>
      <c r="M4867"/>
      <c r="O4867"/>
      <c r="P4867"/>
    </row>
    <row r="4868" spans="12:16">
      <c r="L4868"/>
      <c r="M4868"/>
      <c r="O4868"/>
      <c r="P4868"/>
    </row>
    <row r="4869" spans="12:16">
      <c r="L4869"/>
      <c r="M4869"/>
      <c r="O4869"/>
      <c r="P4869"/>
    </row>
    <row r="4870" spans="12:16">
      <c r="L4870"/>
      <c r="M4870"/>
      <c r="O4870"/>
      <c r="P4870"/>
    </row>
    <row r="4871" spans="12:16">
      <c r="L4871"/>
      <c r="M4871"/>
      <c r="O4871"/>
      <c r="P4871"/>
    </row>
    <row r="4872" spans="12:16">
      <c r="L4872"/>
      <c r="M4872"/>
      <c r="O4872"/>
      <c r="P4872"/>
    </row>
    <row r="4873" spans="12:16">
      <c r="L4873"/>
      <c r="M4873"/>
      <c r="O4873"/>
      <c r="P4873"/>
    </row>
    <row r="4874" spans="12:16">
      <c r="L4874"/>
      <c r="M4874"/>
      <c r="O4874"/>
      <c r="P4874"/>
    </row>
    <row r="4875" spans="12:16">
      <c r="L4875"/>
      <c r="M4875"/>
      <c r="O4875"/>
      <c r="P4875"/>
    </row>
    <row r="4876" spans="12:16">
      <c r="L4876"/>
      <c r="M4876"/>
      <c r="O4876"/>
      <c r="P4876"/>
    </row>
    <row r="4877" spans="12:16">
      <c r="L4877"/>
      <c r="M4877"/>
      <c r="O4877"/>
      <c r="P4877"/>
    </row>
    <row r="4878" spans="12:16">
      <c r="L4878"/>
      <c r="M4878"/>
      <c r="O4878"/>
      <c r="P4878"/>
    </row>
    <row r="4879" spans="12:16">
      <c r="L4879"/>
      <c r="M4879"/>
      <c r="O4879"/>
      <c r="P4879"/>
    </row>
    <row r="4880" spans="12:16">
      <c r="L4880"/>
      <c r="M4880"/>
      <c r="O4880"/>
      <c r="P4880"/>
    </row>
    <row r="4881" spans="12:16">
      <c r="L4881"/>
      <c r="M4881"/>
      <c r="O4881"/>
      <c r="P4881"/>
    </row>
    <row r="4882" spans="12:16">
      <c r="L4882"/>
      <c r="M4882"/>
      <c r="O4882"/>
      <c r="P4882"/>
    </row>
    <row r="4883" spans="12:16">
      <c r="L4883"/>
      <c r="M4883"/>
      <c r="O4883"/>
      <c r="P4883"/>
    </row>
    <row r="4884" spans="12:16">
      <c r="L4884"/>
      <c r="M4884"/>
      <c r="O4884"/>
      <c r="P4884"/>
    </row>
    <row r="4885" spans="12:16">
      <c r="L4885"/>
      <c r="M4885"/>
      <c r="O4885"/>
      <c r="P4885"/>
    </row>
    <row r="4886" spans="12:16">
      <c r="L4886"/>
      <c r="M4886"/>
      <c r="O4886"/>
      <c r="P4886"/>
    </row>
    <row r="4887" spans="12:16">
      <c r="L4887"/>
      <c r="M4887"/>
      <c r="O4887"/>
      <c r="P4887"/>
    </row>
    <row r="4888" spans="12:16">
      <c r="L4888"/>
      <c r="M4888"/>
      <c r="O4888"/>
      <c r="P4888"/>
    </row>
    <row r="4889" spans="12:16">
      <c r="L4889"/>
      <c r="M4889"/>
      <c r="O4889"/>
      <c r="P4889"/>
    </row>
    <row r="4890" spans="12:16">
      <c r="L4890"/>
      <c r="M4890"/>
      <c r="O4890"/>
      <c r="P4890"/>
    </row>
    <row r="4891" spans="12:16">
      <c r="L4891"/>
      <c r="M4891"/>
      <c r="O4891"/>
      <c r="P4891"/>
    </row>
    <row r="4892" spans="12:16">
      <c r="L4892"/>
      <c r="M4892"/>
      <c r="O4892"/>
      <c r="P4892"/>
    </row>
    <row r="4893" spans="12:16">
      <c r="L4893"/>
      <c r="M4893"/>
      <c r="O4893"/>
      <c r="P4893"/>
    </row>
    <row r="4894" spans="12:16">
      <c r="L4894"/>
      <c r="M4894"/>
      <c r="O4894"/>
      <c r="P4894"/>
    </row>
    <row r="4895" spans="12:16">
      <c r="L4895"/>
      <c r="M4895"/>
      <c r="O4895"/>
      <c r="P4895"/>
    </row>
    <row r="4896" spans="12:16">
      <c r="L4896"/>
      <c r="M4896"/>
      <c r="O4896"/>
      <c r="P4896"/>
    </row>
    <row r="4897" spans="12:16">
      <c r="L4897"/>
      <c r="M4897"/>
      <c r="O4897"/>
      <c r="P4897"/>
    </row>
    <row r="4898" spans="12:16">
      <c r="L4898"/>
      <c r="M4898"/>
      <c r="O4898"/>
      <c r="P4898"/>
    </row>
    <row r="4899" spans="12:16">
      <c r="L4899"/>
      <c r="M4899"/>
      <c r="O4899"/>
      <c r="P4899"/>
    </row>
    <row r="4900" spans="12:16">
      <c r="L4900"/>
      <c r="M4900"/>
      <c r="O4900"/>
      <c r="P4900"/>
    </row>
    <row r="4901" spans="12:16">
      <c r="L4901"/>
      <c r="M4901"/>
      <c r="O4901"/>
      <c r="P4901"/>
    </row>
    <row r="4902" spans="12:16">
      <c r="L4902"/>
      <c r="M4902"/>
      <c r="O4902"/>
      <c r="P4902"/>
    </row>
    <row r="4903" spans="12:16">
      <c r="L4903"/>
      <c r="M4903"/>
      <c r="O4903"/>
      <c r="P4903"/>
    </row>
    <row r="4904" spans="12:16">
      <c r="L4904"/>
      <c r="M4904"/>
      <c r="O4904"/>
      <c r="P4904"/>
    </row>
    <row r="4905" spans="12:16">
      <c r="L4905"/>
      <c r="M4905"/>
      <c r="O4905"/>
      <c r="P4905"/>
    </row>
    <row r="4906" spans="12:16">
      <c r="L4906"/>
      <c r="M4906"/>
      <c r="O4906"/>
      <c r="P4906"/>
    </row>
    <row r="4907" spans="12:16">
      <c r="L4907"/>
      <c r="M4907"/>
      <c r="O4907"/>
      <c r="P4907"/>
    </row>
    <row r="4908" spans="12:16">
      <c r="L4908"/>
      <c r="M4908"/>
      <c r="O4908"/>
      <c r="P4908"/>
    </row>
    <row r="4909" spans="12:16">
      <c r="L4909"/>
      <c r="M4909"/>
      <c r="O4909"/>
      <c r="P4909"/>
    </row>
    <row r="4910" spans="12:16">
      <c r="L4910"/>
      <c r="M4910"/>
      <c r="O4910"/>
      <c r="P4910"/>
    </row>
    <row r="4911" spans="12:16">
      <c r="L4911"/>
      <c r="M4911"/>
      <c r="O4911"/>
      <c r="P4911"/>
    </row>
    <row r="4912" spans="12:16">
      <c r="L4912"/>
      <c r="M4912"/>
      <c r="O4912"/>
      <c r="P4912"/>
    </row>
    <row r="4913" spans="12:16">
      <c r="L4913"/>
      <c r="M4913"/>
      <c r="O4913"/>
      <c r="P4913"/>
    </row>
    <row r="4914" spans="12:16">
      <c r="L4914"/>
      <c r="M4914"/>
      <c r="O4914"/>
      <c r="P4914"/>
    </row>
    <row r="4915" spans="12:16">
      <c r="L4915"/>
      <c r="M4915"/>
      <c r="O4915"/>
      <c r="P4915"/>
    </row>
    <row r="4916" spans="12:16">
      <c r="L4916"/>
      <c r="M4916"/>
      <c r="O4916"/>
      <c r="P4916"/>
    </row>
    <row r="4917" spans="12:16">
      <c r="L4917"/>
      <c r="M4917"/>
      <c r="O4917"/>
      <c r="P4917"/>
    </row>
    <row r="4918" spans="12:16">
      <c r="L4918"/>
      <c r="M4918"/>
      <c r="O4918"/>
      <c r="P4918"/>
    </row>
    <row r="4919" spans="12:16">
      <c r="L4919"/>
      <c r="M4919"/>
      <c r="O4919"/>
      <c r="P4919"/>
    </row>
    <row r="4920" spans="12:16">
      <c r="L4920"/>
      <c r="M4920"/>
      <c r="O4920"/>
      <c r="P4920"/>
    </row>
    <row r="4921" spans="12:16">
      <c r="L4921"/>
      <c r="M4921"/>
      <c r="O4921"/>
      <c r="P4921"/>
    </row>
    <row r="4922" spans="12:16">
      <c r="L4922"/>
      <c r="M4922"/>
      <c r="O4922"/>
      <c r="P4922"/>
    </row>
    <row r="4923" spans="12:16">
      <c r="L4923"/>
      <c r="M4923"/>
      <c r="O4923"/>
      <c r="P4923"/>
    </row>
    <row r="4924" spans="12:16">
      <c r="L4924"/>
      <c r="M4924"/>
      <c r="O4924"/>
      <c r="P4924"/>
    </row>
    <row r="4925" spans="12:16">
      <c r="L4925"/>
      <c r="M4925"/>
      <c r="O4925"/>
      <c r="P4925"/>
    </row>
    <row r="4926" spans="12:16">
      <c r="L4926"/>
      <c r="M4926"/>
      <c r="O4926"/>
      <c r="P4926"/>
    </row>
    <row r="4927" spans="12:16">
      <c r="L4927"/>
      <c r="M4927"/>
      <c r="O4927"/>
      <c r="P4927"/>
    </row>
    <row r="4928" spans="12:16">
      <c r="L4928"/>
      <c r="M4928"/>
      <c r="O4928"/>
      <c r="P4928"/>
    </row>
    <row r="4929" spans="12:16">
      <c r="L4929"/>
      <c r="M4929"/>
      <c r="O4929"/>
      <c r="P4929"/>
    </row>
    <row r="4930" spans="12:16">
      <c r="L4930"/>
      <c r="M4930"/>
      <c r="O4930"/>
      <c r="P4930"/>
    </row>
    <row r="4931" spans="12:16">
      <c r="L4931"/>
      <c r="M4931"/>
      <c r="O4931"/>
      <c r="P4931"/>
    </row>
    <row r="4932" spans="12:16">
      <c r="L4932"/>
      <c r="M4932"/>
      <c r="O4932"/>
      <c r="P4932"/>
    </row>
    <row r="4933" spans="12:16">
      <c r="L4933"/>
      <c r="M4933"/>
      <c r="O4933"/>
      <c r="P4933"/>
    </row>
    <row r="4934" spans="12:16">
      <c r="L4934"/>
      <c r="M4934"/>
      <c r="O4934"/>
      <c r="P4934"/>
    </row>
    <row r="4935" spans="12:16">
      <c r="L4935"/>
      <c r="M4935"/>
      <c r="O4935"/>
      <c r="P4935"/>
    </row>
    <row r="4936" spans="12:16">
      <c r="L4936"/>
      <c r="M4936"/>
      <c r="O4936"/>
      <c r="P4936"/>
    </row>
    <row r="4937" spans="12:16">
      <c r="L4937"/>
      <c r="M4937"/>
      <c r="O4937"/>
      <c r="P4937"/>
    </row>
    <row r="4938" spans="12:16">
      <c r="L4938"/>
      <c r="M4938"/>
      <c r="O4938"/>
      <c r="P4938"/>
    </row>
    <row r="4939" spans="12:16">
      <c r="L4939"/>
      <c r="M4939"/>
      <c r="O4939"/>
      <c r="P4939"/>
    </row>
    <row r="4940" spans="12:16">
      <c r="L4940"/>
      <c r="M4940"/>
      <c r="O4940"/>
      <c r="P4940"/>
    </row>
    <row r="4941" spans="12:16">
      <c r="L4941"/>
      <c r="M4941"/>
      <c r="O4941"/>
      <c r="P4941"/>
    </row>
    <row r="4942" spans="12:16">
      <c r="L4942"/>
      <c r="M4942"/>
      <c r="O4942"/>
      <c r="P4942"/>
    </row>
    <row r="4943" spans="12:16">
      <c r="L4943"/>
      <c r="M4943"/>
      <c r="O4943"/>
      <c r="P4943"/>
    </row>
    <row r="4944" spans="12:16">
      <c r="L4944"/>
      <c r="M4944"/>
      <c r="O4944"/>
      <c r="P4944"/>
    </row>
    <row r="4945" spans="12:16">
      <c r="L4945"/>
      <c r="M4945"/>
      <c r="O4945"/>
      <c r="P4945"/>
    </row>
    <row r="4946" spans="12:16">
      <c r="L4946"/>
      <c r="M4946"/>
      <c r="O4946"/>
      <c r="P4946"/>
    </row>
    <row r="4947" spans="12:16">
      <c r="L4947"/>
      <c r="M4947"/>
      <c r="O4947"/>
      <c r="P4947"/>
    </row>
    <row r="4948" spans="12:16">
      <c r="L4948"/>
      <c r="M4948"/>
      <c r="O4948"/>
      <c r="P4948"/>
    </row>
    <row r="4949" spans="12:16">
      <c r="L4949"/>
      <c r="M4949"/>
      <c r="O4949"/>
      <c r="P4949"/>
    </row>
    <row r="4950" spans="12:16">
      <c r="L4950"/>
      <c r="M4950"/>
      <c r="O4950"/>
      <c r="P4950"/>
    </row>
    <row r="4951" spans="12:16">
      <c r="L4951"/>
      <c r="M4951"/>
      <c r="O4951"/>
      <c r="P4951"/>
    </row>
    <row r="4952" spans="12:16">
      <c r="L4952"/>
      <c r="M4952"/>
      <c r="O4952"/>
      <c r="P4952"/>
    </row>
    <row r="4953" spans="12:16">
      <c r="L4953"/>
      <c r="M4953"/>
      <c r="O4953"/>
      <c r="P4953"/>
    </row>
    <row r="4954" spans="12:16">
      <c r="L4954"/>
      <c r="M4954"/>
      <c r="O4954"/>
      <c r="P4954"/>
    </row>
    <row r="4955" spans="12:16">
      <c r="L4955"/>
      <c r="M4955"/>
      <c r="O4955"/>
      <c r="P4955"/>
    </row>
    <row r="4956" spans="12:16">
      <c r="L4956"/>
      <c r="M4956"/>
      <c r="O4956"/>
      <c r="P4956"/>
    </row>
    <row r="4957" spans="12:16">
      <c r="L4957"/>
      <c r="M4957"/>
      <c r="O4957"/>
      <c r="P4957"/>
    </row>
    <row r="4958" spans="12:16">
      <c r="L4958"/>
      <c r="M4958"/>
      <c r="O4958"/>
      <c r="P4958"/>
    </row>
    <row r="4959" spans="12:16">
      <c r="L4959"/>
      <c r="M4959"/>
      <c r="O4959"/>
      <c r="P4959"/>
    </row>
    <row r="4960" spans="12:16">
      <c r="L4960"/>
      <c r="M4960"/>
      <c r="O4960"/>
      <c r="P4960"/>
    </row>
    <row r="4961" spans="12:16">
      <c r="L4961"/>
      <c r="M4961"/>
      <c r="O4961"/>
      <c r="P4961"/>
    </row>
    <row r="4962" spans="12:16">
      <c r="L4962"/>
      <c r="M4962"/>
      <c r="O4962"/>
      <c r="P4962"/>
    </row>
    <row r="4963" spans="12:16">
      <c r="L4963"/>
      <c r="M4963"/>
      <c r="O4963"/>
      <c r="P4963"/>
    </row>
    <row r="4964" spans="12:16">
      <c r="L4964"/>
      <c r="M4964"/>
      <c r="O4964"/>
      <c r="P4964"/>
    </row>
    <row r="4965" spans="12:16">
      <c r="L4965"/>
      <c r="M4965"/>
      <c r="O4965"/>
      <c r="P4965"/>
    </row>
    <row r="4966" spans="12:16">
      <c r="L4966"/>
      <c r="M4966"/>
      <c r="O4966"/>
      <c r="P4966"/>
    </row>
    <row r="4967" spans="12:16">
      <c r="L4967"/>
      <c r="M4967"/>
      <c r="O4967"/>
      <c r="P4967"/>
    </row>
    <row r="4968" spans="12:16">
      <c r="L4968"/>
      <c r="M4968"/>
      <c r="O4968"/>
      <c r="P4968"/>
    </row>
    <row r="4969" spans="12:16">
      <c r="L4969"/>
      <c r="M4969"/>
      <c r="O4969"/>
      <c r="P4969"/>
    </row>
    <row r="4970" spans="12:16">
      <c r="L4970"/>
      <c r="M4970"/>
      <c r="O4970"/>
      <c r="P4970"/>
    </row>
    <row r="4971" spans="12:16">
      <c r="L4971"/>
      <c r="M4971"/>
      <c r="O4971"/>
      <c r="P4971"/>
    </row>
    <row r="4972" spans="12:16">
      <c r="L4972"/>
      <c r="M4972"/>
      <c r="O4972"/>
      <c r="P4972"/>
    </row>
    <row r="4973" spans="12:16">
      <c r="L4973"/>
      <c r="M4973"/>
      <c r="O4973"/>
      <c r="P4973"/>
    </row>
    <row r="4974" spans="12:16">
      <c r="L4974"/>
      <c r="M4974"/>
      <c r="O4974"/>
      <c r="P4974"/>
    </row>
    <row r="4975" spans="12:16">
      <c r="L4975"/>
      <c r="M4975"/>
      <c r="O4975"/>
      <c r="P4975"/>
    </row>
    <row r="4976" spans="12:16">
      <c r="L4976"/>
      <c r="M4976"/>
      <c r="O4976"/>
      <c r="P4976"/>
    </row>
    <row r="4977" spans="12:16">
      <c r="L4977"/>
      <c r="M4977"/>
      <c r="O4977"/>
      <c r="P4977"/>
    </row>
    <row r="4978" spans="12:16">
      <c r="L4978"/>
      <c r="M4978"/>
      <c r="O4978"/>
      <c r="P4978"/>
    </row>
    <row r="4979" spans="12:16">
      <c r="L4979"/>
      <c r="M4979"/>
      <c r="O4979"/>
      <c r="P4979"/>
    </row>
    <row r="4980" spans="12:16">
      <c r="L4980"/>
      <c r="M4980"/>
      <c r="O4980"/>
      <c r="P4980"/>
    </row>
    <row r="4981" spans="12:16">
      <c r="L4981"/>
      <c r="M4981"/>
      <c r="O4981"/>
      <c r="P4981"/>
    </row>
    <row r="4982" spans="12:16">
      <c r="L4982"/>
      <c r="M4982"/>
      <c r="O4982"/>
      <c r="P4982"/>
    </row>
    <row r="4983" spans="12:16">
      <c r="L4983"/>
      <c r="M4983"/>
      <c r="O4983"/>
      <c r="P4983"/>
    </row>
    <row r="4984" spans="12:16">
      <c r="L4984"/>
      <c r="M4984"/>
      <c r="O4984"/>
      <c r="P4984"/>
    </row>
    <row r="4985" spans="12:16">
      <c r="L4985"/>
      <c r="M4985"/>
      <c r="O4985"/>
      <c r="P4985"/>
    </row>
    <row r="4986" spans="12:16">
      <c r="L4986"/>
      <c r="M4986"/>
      <c r="O4986"/>
      <c r="P4986"/>
    </row>
    <row r="4987" spans="12:16">
      <c r="L4987"/>
      <c r="M4987"/>
      <c r="O4987"/>
      <c r="P4987"/>
    </row>
    <row r="4988" spans="12:16">
      <c r="L4988"/>
      <c r="M4988"/>
      <c r="O4988"/>
      <c r="P4988"/>
    </row>
    <row r="4989" spans="12:16">
      <c r="L4989"/>
      <c r="M4989"/>
      <c r="O4989"/>
      <c r="P4989"/>
    </row>
    <row r="4990" spans="12:16">
      <c r="L4990"/>
      <c r="M4990"/>
      <c r="O4990"/>
      <c r="P4990"/>
    </row>
    <row r="4991" spans="12:16">
      <c r="L4991"/>
      <c r="M4991"/>
      <c r="O4991"/>
      <c r="P4991"/>
    </row>
    <row r="4992" spans="12:16">
      <c r="L4992"/>
      <c r="M4992"/>
      <c r="O4992"/>
      <c r="P4992"/>
    </row>
    <row r="4993" spans="12:16">
      <c r="L4993"/>
      <c r="M4993"/>
      <c r="O4993"/>
      <c r="P4993"/>
    </row>
    <row r="4994" spans="12:16">
      <c r="L4994"/>
      <c r="M4994"/>
      <c r="O4994"/>
      <c r="P4994"/>
    </row>
    <row r="4995" spans="12:16">
      <c r="L4995"/>
      <c r="M4995"/>
      <c r="O4995"/>
      <c r="P4995"/>
    </row>
    <row r="4996" spans="12:16">
      <c r="L4996"/>
      <c r="M4996"/>
      <c r="O4996"/>
      <c r="P4996"/>
    </row>
    <row r="4997" spans="12:16">
      <c r="L4997"/>
      <c r="M4997"/>
      <c r="O4997"/>
      <c r="P4997"/>
    </row>
    <row r="4998" spans="12:16">
      <c r="L4998"/>
      <c r="M4998"/>
      <c r="O4998"/>
      <c r="P4998"/>
    </row>
    <row r="4999" spans="12:16">
      <c r="L4999"/>
      <c r="M4999"/>
      <c r="O4999"/>
      <c r="P4999"/>
    </row>
    <row r="5000" spans="12:16">
      <c r="L5000"/>
      <c r="M5000"/>
      <c r="O5000"/>
      <c r="P5000"/>
    </row>
    <row r="5001" spans="12:16">
      <c r="L5001"/>
      <c r="M5001"/>
      <c r="O5001"/>
      <c r="P5001"/>
    </row>
    <row r="5002" spans="12:16">
      <c r="L5002"/>
      <c r="M5002"/>
      <c r="O5002"/>
      <c r="P5002"/>
    </row>
    <row r="5003" spans="12:16">
      <c r="L5003"/>
      <c r="M5003"/>
      <c r="O5003"/>
      <c r="P5003"/>
    </row>
    <row r="5004" spans="12:16">
      <c r="L5004"/>
      <c r="M5004"/>
      <c r="O5004"/>
      <c r="P5004"/>
    </row>
    <row r="5005" spans="12:16">
      <c r="L5005"/>
      <c r="M5005"/>
      <c r="O5005"/>
      <c r="P5005"/>
    </row>
    <row r="5006" spans="12:16">
      <c r="L5006"/>
      <c r="M5006"/>
      <c r="O5006"/>
      <c r="P5006"/>
    </row>
    <row r="5007" spans="12:16">
      <c r="L5007"/>
      <c r="M5007"/>
      <c r="O5007"/>
      <c r="P5007"/>
    </row>
    <row r="5008" spans="12:16">
      <c r="L5008"/>
      <c r="M5008"/>
      <c r="O5008"/>
      <c r="P5008"/>
    </row>
    <row r="5009" spans="12:16">
      <c r="L5009"/>
      <c r="M5009"/>
      <c r="O5009"/>
      <c r="P5009"/>
    </row>
    <row r="5010" spans="12:16">
      <c r="L5010"/>
      <c r="M5010"/>
      <c r="O5010"/>
      <c r="P5010"/>
    </row>
    <row r="5011" spans="12:16">
      <c r="L5011"/>
      <c r="M5011"/>
      <c r="O5011"/>
      <c r="P5011"/>
    </row>
    <row r="5012" spans="12:16">
      <c r="L5012"/>
      <c r="M5012"/>
      <c r="O5012"/>
      <c r="P5012"/>
    </row>
    <row r="5013" spans="12:16">
      <c r="L5013"/>
      <c r="M5013"/>
      <c r="O5013"/>
      <c r="P5013"/>
    </row>
    <row r="5014" spans="12:16">
      <c r="L5014"/>
      <c r="M5014"/>
      <c r="O5014"/>
      <c r="P5014"/>
    </row>
    <row r="5015" spans="12:16">
      <c r="L5015"/>
      <c r="M5015"/>
      <c r="O5015"/>
      <c r="P5015"/>
    </row>
    <row r="5016" spans="12:16">
      <c r="L5016"/>
      <c r="M5016"/>
      <c r="O5016"/>
      <c r="P5016"/>
    </row>
    <row r="5017" spans="12:16">
      <c r="L5017"/>
      <c r="M5017"/>
      <c r="O5017"/>
      <c r="P5017"/>
    </row>
    <row r="5018" spans="12:16">
      <c r="L5018"/>
      <c r="M5018"/>
      <c r="O5018"/>
      <c r="P5018"/>
    </row>
    <row r="5019" spans="12:16">
      <c r="L5019"/>
      <c r="M5019"/>
      <c r="O5019"/>
      <c r="P5019"/>
    </row>
    <row r="5020" spans="12:16">
      <c r="L5020"/>
      <c r="M5020"/>
      <c r="O5020"/>
      <c r="P5020"/>
    </row>
    <row r="5021" spans="12:16">
      <c r="L5021"/>
      <c r="M5021"/>
      <c r="O5021"/>
      <c r="P5021"/>
    </row>
    <row r="5022" spans="12:16">
      <c r="L5022"/>
      <c r="M5022"/>
      <c r="O5022"/>
      <c r="P5022"/>
    </row>
    <row r="5023" spans="12:16">
      <c r="L5023"/>
      <c r="M5023"/>
      <c r="O5023"/>
      <c r="P5023"/>
    </row>
    <row r="5024" spans="12:16">
      <c r="L5024"/>
      <c r="M5024"/>
      <c r="O5024"/>
      <c r="P5024"/>
    </row>
    <row r="5025" spans="12:16">
      <c r="L5025"/>
      <c r="M5025"/>
      <c r="O5025"/>
      <c r="P5025"/>
    </row>
    <row r="5026" spans="12:16">
      <c r="L5026"/>
      <c r="M5026"/>
      <c r="O5026"/>
      <c r="P5026"/>
    </row>
    <row r="5027" spans="12:16">
      <c r="L5027"/>
      <c r="M5027"/>
      <c r="O5027"/>
      <c r="P5027"/>
    </row>
    <row r="5028" spans="12:16">
      <c r="L5028"/>
      <c r="M5028"/>
      <c r="O5028"/>
      <c r="P5028"/>
    </row>
    <row r="5029" spans="12:16">
      <c r="L5029"/>
      <c r="M5029"/>
      <c r="O5029"/>
      <c r="P5029"/>
    </row>
    <row r="5030" spans="12:16">
      <c r="L5030"/>
      <c r="M5030"/>
      <c r="O5030"/>
      <c r="P5030"/>
    </row>
    <row r="5031" spans="12:16">
      <c r="L5031"/>
      <c r="M5031"/>
      <c r="O5031"/>
      <c r="P5031"/>
    </row>
    <row r="5032" spans="12:16">
      <c r="L5032"/>
      <c r="M5032"/>
      <c r="O5032"/>
      <c r="P5032"/>
    </row>
    <row r="5033" spans="12:16">
      <c r="L5033"/>
      <c r="M5033"/>
      <c r="O5033"/>
      <c r="P5033"/>
    </row>
    <row r="5034" spans="12:16">
      <c r="L5034"/>
      <c r="M5034"/>
      <c r="O5034"/>
      <c r="P5034"/>
    </row>
    <row r="5035" spans="12:16">
      <c r="L5035"/>
      <c r="M5035"/>
      <c r="O5035"/>
      <c r="P5035"/>
    </row>
    <row r="5036" spans="12:16">
      <c r="L5036"/>
      <c r="M5036"/>
      <c r="O5036"/>
      <c r="P5036"/>
    </row>
    <row r="5037" spans="12:16">
      <c r="L5037"/>
      <c r="M5037"/>
      <c r="O5037"/>
      <c r="P5037"/>
    </row>
    <row r="5038" spans="12:16">
      <c r="L5038"/>
      <c r="M5038"/>
      <c r="O5038"/>
      <c r="P5038"/>
    </row>
    <row r="5039" spans="12:16">
      <c r="L5039"/>
      <c r="M5039"/>
      <c r="O5039"/>
      <c r="P5039"/>
    </row>
    <row r="5040" spans="12:16">
      <c r="L5040"/>
      <c r="M5040"/>
      <c r="O5040"/>
      <c r="P5040"/>
    </row>
    <row r="5041" spans="12:16">
      <c r="L5041"/>
      <c r="M5041"/>
      <c r="O5041"/>
      <c r="P5041"/>
    </row>
    <row r="5042" spans="12:16">
      <c r="L5042"/>
      <c r="M5042"/>
      <c r="O5042"/>
      <c r="P5042"/>
    </row>
    <row r="5043" spans="12:16">
      <c r="L5043"/>
      <c r="M5043"/>
      <c r="O5043"/>
      <c r="P5043"/>
    </row>
    <row r="5044" spans="12:16">
      <c r="L5044"/>
      <c r="M5044"/>
      <c r="O5044"/>
      <c r="P5044"/>
    </row>
    <row r="5045" spans="12:16">
      <c r="L5045"/>
      <c r="M5045"/>
      <c r="O5045"/>
      <c r="P5045"/>
    </row>
    <row r="5046" spans="12:16">
      <c r="L5046"/>
      <c r="M5046"/>
      <c r="O5046"/>
      <c r="P5046"/>
    </row>
    <row r="5047" spans="12:16">
      <c r="L5047"/>
      <c r="M5047"/>
      <c r="O5047"/>
      <c r="P5047"/>
    </row>
    <row r="5048" spans="12:16">
      <c r="L5048"/>
      <c r="M5048"/>
      <c r="O5048"/>
      <c r="P5048"/>
    </row>
    <row r="5049" spans="12:16">
      <c r="L5049"/>
      <c r="M5049"/>
      <c r="O5049"/>
      <c r="P5049"/>
    </row>
    <row r="5050" spans="12:16">
      <c r="L5050"/>
      <c r="M5050"/>
      <c r="O5050"/>
      <c r="P5050"/>
    </row>
    <row r="5051" spans="12:16">
      <c r="L5051"/>
      <c r="M5051"/>
      <c r="O5051"/>
      <c r="P5051"/>
    </row>
    <row r="5052" spans="12:16">
      <c r="L5052"/>
      <c r="M5052"/>
      <c r="O5052"/>
      <c r="P5052"/>
    </row>
    <row r="5053" spans="12:16">
      <c r="L5053"/>
      <c r="M5053"/>
      <c r="O5053"/>
      <c r="P5053"/>
    </row>
    <row r="5054" spans="12:16">
      <c r="L5054"/>
      <c r="M5054"/>
      <c r="O5054"/>
      <c r="P5054"/>
    </row>
    <row r="5055" spans="12:16">
      <c r="L5055"/>
      <c r="M5055"/>
      <c r="O5055"/>
      <c r="P5055"/>
    </row>
    <row r="5056" spans="12:16">
      <c r="L5056"/>
      <c r="M5056"/>
      <c r="O5056"/>
      <c r="P5056"/>
    </row>
    <row r="5057" spans="12:16">
      <c r="L5057"/>
      <c r="M5057"/>
      <c r="O5057"/>
      <c r="P5057"/>
    </row>
    <row r="5058" spans="12:16">
      <c r="L5058"/>
      <c r="M5058"/>
      <c r="O5058"/>
      <c r="P5058"/>
    </row>
    <row r="5059" spans="12:16">
      <c r="L5059"/>
      <c r="M5059"/>
      <c r="O5059"/>
      <c r="P5059"/>
    </row>
    <row r="5060" spans="12:16">
      <c r="L5060"/>
      <c r="M5060"/>
      <c r="O5060"/>
      <c r="P5060"/>
    </row>
    <row r="5061" spans="12:16">
      <c r="L5061"/>
      <c r="M5061"/>
      <c r="O5061"/>
      <c r="P5061"/>
    </row>
    <row r="5062" spans="12:16">
      <c r="L5062"/>
      <c r="M5062"/>
      <c r="O5062"/>
      <c r="P5062"/>
    </row>
    <row r="5063" spans="12:16">
      <c r="L5063"/>
      <c r="M5063"/>
      <c r="O5063"/>
      <c r="P5063"/>
    </row>
    <row r="5064" spans="12:16">
      <c r="L5064"/>
      <c r="M5064"/>
      <c r="O5064"/>
      <c r="P5064"/>
    </row>
    <row r="5065" spans="12:16">
      <c r="L5065"/>
      <c r="M5065"/>
      <c r="O5065"/>
      <c r="P5065"/>
    </row>
    <row r="5066" spans="12:16">
      <c r="L5066"/>
      <c r="M5066"/>
      <c r="O5066"/>
      <c r="P5066"/>
    </row>
    <row r="5067" spans="12:16">
      <c r="L5067"/>
      <c r="M5067"/>
      <c r="O5067"/>
      <c r="P5067"/>
    </row>
    <row r="5068" spans="12:16">
      <c r="L5068"/>
      <c r="M5068"/>
      <c r="O5068"/>
      <c r="P5068"/>
    </row>
    <row r="5069" spans="12:16">
      <c r="L5069"/>
      <c r="M5069"/>
      <c r="O5069"/>
      <c r="P5069"/>
    </row>
    <row r="5070" spans="12:16">
      <c r="L5070"/>
      <c r="M5070"/>
      <c r="O5070"/>
      <c r="P5070"/>
    </row>
    <row r="5071" spans="12:16">
      <c r="L5071"/>
      <c r="M5071"/>
      <c r="O5071"/>
      <c r="P5071"/>
    </row>
    <row r="5072" spans="12:16">
      <c r="L5072"/>
      <c r="M5072"/>
      <c r="O5072"/>
      <c r="P5072"/>
    </row>
    <row r="5073" spans="12:16">
      <c r="L5073"/>
      <c r="M5073"/>
      <c r="O5073"/>
      <c r="P5073"/>
    </row>
    <row r="5074" spans="12:16">
      <c r="L5074"/>
      <c r="M5074"/>
      <c r="O5074"/>
      <c r="P5074"/>
    </row>
    <row r="5075" spans="12:16">
      <c r="L5075"/>
      <c r="M5075"/>
      <c r="O5075"/>
      <c r="P5075"/>
    </row>
    <row r="5076" spans="12:16">
      <c r="L5076"/>
      <c r="M5076"/>
      <c r="O5076"/>
      <c r="P5076"/>
    </row>
    <row r="5077" spans="12:16">
      <c r="L5077"/>
      <c r="M5077"/>
      <c r="O5077"/>
      <c r="P5077"/>
    </row>
    <row r="5078" spans="12:16">
      <c r="L5078"/>
      <c r="M5078"/>
      <c r="O5078"/>
      <c r="P5078"/>
    </row>
    <row r="5079" spans="12:16">
      <c r="L5079"/>
      <c r="M5079"/>
      <c r="O5079"/>
      <c r="P5079"/>
    </row>
    <row r="5080" spans="12:16">
      <c r="L5080"/>
      <c r="M5080"/>
      <c r="O5080"/>
      <c r="P5080"/>
    </row>
    <row r="5081" spans="12:16">
      <c r="L5081"/>
      <c r="M5081"/>
      <c r="O5081"/>
      <c r="P5081"/>
    </row>
    <row r="5082" spans="12:16">
      <c r="L5082"/>
      <c r="M5082"/>
      <c r="O5082"/>
      <c r="P5082"/>
    </row>
    <row r="5083" spans="12:16">
      <c r="L5083"/>
      <c r="M5083"/>
      <c r="O5083"/>
      <c r="P5083"/>
    </row>
    <row r="5084" spans="12:16">
      <c r="L5084"/>
      <c r="M5084"/>
      <c r="O5084"/>
      <c r="P5084"/>
    </row>
    <row r="5085" spans="12:16">
      <c r="L5085"/>
      <c r="M5085"/>
      <c r="O5085"/>
      <c r="P5085"/>
    </row>
    <row r="5086" spans="12:16">
      <c r="L5086"/>
      <c r="M5086"/>
      <c r="O5086"/>
      <c r="P5086"/>
    </row>
    <row r="5087" spans="12:16">
      <c r="L5087"/>
      <c r="M5087"/>
      <c r="O5087"/>
      <c r="P5087"/>
    </row>
    <row r="5088" spans="12:16">
      <c r="L5088"/>
      <c r="M5088"/>
      <c r="O5088"/>
      <c r="P5088"/>
    </row>
    <row r="5089" spans="12:16">
      <c r="L5089"/>
      <c r="M5089"/>
      <c r="O5089"/>
      <c r="P5089"/>
    </row>
    <row r="5090" spans="12:16">
      <c r="L5090"/>
      <c r="M5090"/>
      <c r="O5090"/>
      <c r="P5090"/>
    </row>
    <row r="5091" spans="12:16">
      <c r="L5091"/>
      <c r="M5091"/>
      <c r="O5091"/>
      <c r="P5091"/>
    </row>
    <row r="5092" spans="12:16">
      <c r="L5092"/>
      <c r="M5092"/>
      <c r="O5092"/>
      <c r="P5092"/>
    </row>
    <row r="5093" spans="12:16">
      <c r="L5093"/>
      <c r="M5093"/>
      <c r="O5093"/>
      <c r="P5093"/>
    </row>
    <row r="5094" spans="12:16">
      <c r="L5094"/>
      <c r="M5094"/>
      <c r="O5094"/>
      <c r="P5094"/>
    </row>
    <row r="5095" spans="12:16">
      <c r="L5095"/>
      <c r="M5095"/>
      <c r="O5095"/>
      <c r="P5095"/>
    </row>
    <row r="5096" spans="12:16">
      <c r="L5096"/>
      <c r="M5096"/>
      <c r="O5096"/>
      <c r="P5096"/>
    </row>
    <row r="5097" spans="12:16">
      <c r="L5097"/>
      <c r="M5097"/>
      <c r="O5097"/>
      <c r="P5097"/>
    </row>
    <row r="5098" spans="12:16">
      <c r="L5098"/>
      <c r="M5098"/>
      <c r="O5098"/>
      <c r="P5098"/>
    </row>
    <row r="5099" spans="12:16">
      <c r="L5099"/>
      <c r="M5099"/>
      <c r="O5099"/>
      <c r="P5099"/>
    </row>
    <row r="5100" spans="12:16">
      <c r="L5100"/>
      <c r="M5100"/>
      <c r="O5100"/>
      <c r="P5100"/>
    </row>
    <row r="5101" spans="12:16">
      <c r="L5101"/>
      <c r="M5101"/>
      <c r="O5101"/>
      <c r="P5101"/>
    </row>
    <row r="5102" spans="12:16">
      <c r="L5102"/>
      <c r="M5102"/>
      <c r="O5102"/>
      <c r="P5102"/>
    </row>
    <row r="5103" spans="12:16">
      <c r="L5103"/>
      <c r="M5103"/>
      <c r="O5103"/>
      <c r="P5103"/>
    </row>
    <row r="5104" spans="12:16">
      <c r="L5104"/>
      <c r="M5104"/>
      <c r="O5104"/>
      <c r="P5104"/>
    </row>
    <row r="5105" spans="12:16">
      <c r="L5105"/>
      <c r="M5105"/>
      <c r="O5105"/>
      <c r="P5105"/>
    </row>
    <row r="5106" spans="12:16">
      <c r="L5106"/>
      <c r="M5106"/>
      <c r="O5106"/>
      <c r="P5106"/>
    </row>
    <row r="5107" spans="12:16">
      <c r="L5107"/>
      <c r="M5107"/>
      <c r="O5107"/>
      <c r="P5107"/>
    </row>
    <row r="5108" spans="12:16">
      <c r="L5108"/>
      <c r="M5108"/>
      <c r="O5108"/>
      <c r="P5108"/>
    </row>
    <row r="5109" spans="12:16">
      <c r="L5109"/>
      <c r="M5109"/>
      <c r="O5109"/>
      <c r="P5109"/>
    </row>
    <row r="5110" spans="12:16">
      <c r="L5110"/>
      <c r="M5110"/>
      <c r="O5110"/>
      <c r="P5110"/>
    </row>
    <row r="5111" spans="12:16">
      <c r="L5111"/>
      <c r="M5111"/>
      <c r="O5111"/>
      <c r="P5111"/>
    </row>
    <row r="5112" spans="12:16">
      <c r="L5112"/>
      <c r="M5112"/>
      <c r="O5112"/>
      <c r="P5112"/>
    </row>
    <row r="5113" spans="12:16">
      <c r="L5113"/>
      <c r="M5113"/>
      <c r="O5113"/>
      <c r="P5113"/>
    </row>
    <row r="5114" spans="12:16">
      <c r="L5114"/>
      <c r="M5114"/>
      <c r="O5114"/>
      <c r="P5114"/>
    </row>
    <row r="5115" spans="12:16">
      <c r="L5115"/>
      <c r="M5115"/>
      <c r="O5115"/>
      <c r="P5115"/>
    </row>
    <row r="5116" spans="12:16">
      <c r="L5116"/>
      <c r="M5116"/>
      <c r="O5116"/>
      <c r="P5116"/>
    </row>
    <row r="5117" spans="12:16">
      <c r="L5117"/>
      <c r="M5117"/>
      <c r="O5117"/>
      <c r="P5117"/>
    </row>
    <row r="5118" spans="12:16">
      <c r="L5118"/>
      <c r="M5118"/>
      <c r="O5118"/>
      <c r="P5118"/>
    </row>
    <row r="5119" spans="12:16">
      <c r="L5119"/>
      <c r="M5119"/>
      <c r="O5119"/>
      <c r="P5119"/>
    </row>
    <row r="5120" spans="12:16">
      <c r="L5120"/>
      <c r="M5120"/>
      <c r="O5120"/>
      <c r="P5120"/>
    </row>
    <row r="5121" spans="12:16">
      <c r="L5121"/>
      <c r="M5121"/>
      <c r="O5121"/>
      <c r="P5121"/>
    </row>
    <row r="5122" spans="12:16">
      <c r="L5122"/>
      <c r="M5122"/>
      <c r="O5122"/>
      <c r="P5122"/>
    </row>
    <row r="5123" spans="12:16">
      <c r="L5123"/>
      <c r="M5123"/>
      <c r="O5123"/>
      <c r="P5123"/>
    </row>
    <row r="5124" spans="12:16">
      <c r="L5124"/>
      <c r="M5124"/>
      <c r="O5124"/>
      <c r="P5124"/>
    </row>
    <row r="5125" spans="12:16">
      <c r="L5125"/>
      <c r="M5125"/>
      <c r="O5125"/>
      <c r="P5125"/>
    </row>
    <row r="5126" spans="12:16">
      <c r="L5126"/>
      <c r="M5126"/>
      <c r="O5126"/>
      <c r="P5126"/>
    </row>
    <row r="5127" spans="12:16">
      <c r="L5127"/>
      <c r="M5127"/>
      <c r="O5127"/>
      <c r="P5127"/>
    </row>
    <row r="5128" spans="12:16">
      <c r="L5128"/>
      <c r="M5128"/>
      <c r="O5128"/>
      <c r="P5128"/>
    </row>
    <row r="5129" spans="12:16">
      <c r="L5129"/>
      <c r="M5129"/>
      <c r="O5129"/>
      <c r="P5129"/>
    </row>
    <row r="5130" spans="12:16">
      <c r="L5130"/>
      <c r="M5130"/>
      <c r="O5130"/>
      <c r="P5130"/>
    </row>
    <row r="5131" spans="12:16">
      <c r="L5131"/>
      <c r="M5131"/>
      <c r="O5131"/>
      <c r="P5131"/>
    </row>
    <row r="5132" spans="12:16">
      <c r="L5132"/>
      <c r="M5132"/>
      <c r="O5132"/>
      <c r="P5132"/>
    </row>
    <row r="5133" spans="12:16">
      <c r="L5133"/>
      <c r="M5133"/>
      <c r="O5133"/>
      <c r="P5133"/>
    </row>
    <row r="5134" spans="12:16">
      <c r="L5134"/>
      <c r="M5134"/>
      <c r="O5134"/>
      <c r="P5134"/>
    </row>
    <row r="5135" spans="12:16">
      <c r="L5135"/>
      <c r="M5135"/>
      <c r="O5135"/>
      <c r="P5135"/>
    </row>
    <row r="5136" spans="12:16">
      <c r="L5136"/>
      <c r="M5136"/>
      <c r="O5136"/>
      <c r="P5136"/>
    </row>
    <row r="5137" spans="12:16">
      <c r="L5137"/>
      <c r="M5137"/>
      <c r="O5137"/>
      <c r="P5137"/>
    </row>
    <row r="5138" spans="12:16">
      <c r="L5138"/>
      <c r="M5138"/>
      <c r="O5138"/>
      <c r="P5138"/>
    </row>
    <row r="5139" spans="12:16">
      <c r="L5139"/>
      <c r="M5139"/>
      <c r="O5139"/>
      <c r="P5139"/>
    </row>
    <row r="5140" spans="12:16">
      <c r="L5140"/>
      <c r="M5140"/>
      <c r="O5140"/>
      <c r="P5140"/>
    </row>
    <row r="5141" spans="12:16">
      <c r="L5141"/>
      <c r="M5141"/>
      <c r="O5141"/>
      <c r="P5141"/>
    </row>
    <row r="5142" spans="12:16">
      <c r="L5142"/>
      <c r="M5142"/>
      <c r="O5142"/>
      <c r="P5142"/>
    </row>
    <row r="5143" spans="12:16">
      <c r="L5143"/>
      <c r="M5143"/>
      <c r="O5143"/>
      <c r="P5143"/>
    </row>
    <row r="5144" spans="12:16">
      <c r="L5144"/>
      <c r="M5144"/>
      <c r="O5144"/>
      <c r="P5144"/>
    </row>
    <row r="5145" spans="12:16">
      <c r="L5145"/>
      <c r="M5145"/>
      <c r="O5145"/>
      <c r="P5145"/>
    </row>
    <row r="5146" spans="12:16">
      <c r="L5146"/>
      <c r="M5146"/>
      <c r="O5146"/>
      <c r="P5146"/>
    </row>
    <row r="5147" spans="12:16">
      <c r="L5147"/>
      <c r="M5147"/>
      <c r="O5147"/>
      <c r="P5147"/>
    </row>
    <row r="5148" spans="12:16">
      <c r="L5148"/>
      <c r="M5148"/>
      <c r="O5148"/>
      <c r="P5148"/>
    </row>
    <row r="5149" spans="12:16">
      <c r="L5149"/>
      <c r="M5149"/>
      <c r="O5149"/>
      <c r="P5149"/>
    </row>
    <row r="5150" spans="12:16">
      <c r="L5150"/>
      <c r="M5150"/>
      <c r="O5150"/>
      <c r="P5150"/>
    </row>
    <row r="5151" spans="12:16">
      <c r="L5151"/>
      <c r="M5151"/>
      <c r="O5151"/>
      <c r="P5151"/>
    </row>
    <row r="5152" spans="12:16">
      <c r="L5152"/>
      <c r="M5152"/>
      <c r="O5152"/>
      <c r="P5152"/>
    </row>
    <row r="5153" spans="12:16">
      <c r="L5153"/>
      <c r="M5153"/>
      <c r="O5153"/>
      <c r="P5153"/>
    </row>
    <row r="5154" spans="12:16">
      <c r="L5154"/>
      <c r="M5154"/>
      <c r="O5154"/>
      <c r="P5154"/>
    </row>
    <row r="5155" spans="12:16">
      <c r="L5155"/>
      <c r="M5155"/>
      <c r="O5155"/>
      <c r="P5155"/>
    </row>
    <row r="5156" spans="12:16">
      <c r="L5156"/>
      <c r="M5156"/>
      <c r="O5156"/>
      <c r="P5156"/>
    </row>
    <row r="5157" spans="12:16">
      <c r="L5157"/>
      <c r="M5157"/>
      <c r="O5157"/>
      <c r="P5157"/>
    </row>
    <row r="5158" spans="12:16">
      <c r="L5158"/>
      <c r="M5158"/>
      <c r="O5158"/>
      <c r="P5158"/>
    </row>
    <row r="5159" spans="12:16">
      <c r="L5159"/>
      <c r="M5159"/>
      <c r="O5159"/>
      <c r="P5159"/>
    </row>
    <row r="5160" spans="12:16">
      <c r="L5160"/>
      <c r="M5160"/>
      <c r="O5160"/>
      <c r="P5160"/>
    </row>
    <row r="5161" spans="12:16">
      <c r="L5161"/>
      <c r="M5161"/>
      <c r="O5161"/>
      <c r="P5161"/>
    </row>
    <row r="5162" spans="12:16">
      <c r="L5162"/>
      <c r="M5162"/>
      <c r="O5162"/>
      <c r="P5162"/>
    </row>
    <row r="5163" spans="12:16">
      <c r="L5163"/>
      <c r="M5163"/>
      <c r="O5163"/>
      <c r="P5163"/>
    </row>
    <row r="5164" spans="12:16">
      <c r="L5164"/>
      <c r="M5164"/>
      <c r="O5164"/>
      <c r="P5164"/>
    </row>
    <row r="5165" spans="12:16">
      <c r="L5165"/>
      <c r="M5165"/>
      <c r="O5165"/>
      <c r="P5165"/>
    </row>
    <row r="5166" spans="12:16">
      <c r="L5166"/>
      <c r="M5166"/>
      <c r="O5166"/>
      <c r="P5166"/>
    </row>
    <row r="5167" spans="12:16">
      <c r="L5167"/>
      <c r="M5167"/>
      <c r="O5167"/>
      <c r="P5167"/>
    </row>
    <row r="5168" spans="12:16">
      <c r="L5168"/>
      <c r="M5168"/>
      <c r="O5168"/>
      <c r="P5168"/>
    </row>
    <row r="5169" spans="12:16">
      <c r="L5169"/>
      <c r="M5169"/>
      <c r="O5169"/>
      <c r="P5169"/>
    </row>
    <row r="5170" spans="12:16">
      <c r="L5170"/>
      <c r="M5170"/>
      <c r="O5170"/>
      <c r="P5170"/>
    </row>
    <row r="5171" spans="12:16">
      <c r="L5171"/>
      <c r="M5171"/>
      <c r="O5171"/>
      <c r="P5171"/>
    </row>
    <row r="5172" spans="12:16">
      <c r="L5172"/>
      <c r="M5172"/>
      <c r="O5172"/>
      <c r="P5172"/>
    </row>
    <row r="5173" spans="12:16">
      <c r="L5173"/>
      <c r="M5173"/>
      <c r="O5173"/>
      <c r="P5173"/>
    </row>
    <row r="5174" spans="12:16">
      <c r="L5174"/>
      <c r="M5174"/>
      <c r="O5174"/>
      <c r="P5174"/>
    </row>
    <row r="5175" spans="12:16">
      <c r="L5175"/>
      <c r="M5175"/>
      <c r="O5175"/>
      <c r="P5175"/>
    </row>
    <row r="5176" spans="12:16">
      <c r="L5176"/>
      <c r="M5176"/>
      <c r="O5176"/>
      <c r="P5176"/>
    </row>
    <row r="5177" spans="12:16">
      <c r="L5177"/>
      <c r="M5177"/>
      <c r="O5177"/>
      <c r="P5177"/>
    </row>
    <row r="5178" spans="12:16">
      <c r="L5178"/>
      <c r="M5178"/>
      <c r="O5178"/>
      <c r="P5178"/>
    </row>
    <row r="5179" spans="12:16">
      <c r="L5179"/>
      <c r="M5179"/>
      <c r="O5179"/>
      <c r="P5179"/>
    </row>
    <row r="5180" spans="12:16">
      <c r="L5180"/>
      <c r="M5180"/>
      <c r="O5180"/>
      <c r="P5180"/>
    </row>
    <row r="5181" spans="12:16">
      <c r="L5181"/>
      <c r="M5181"/>
      <c r="O5181"/>
      <c r="P5181"/>
    </row>
    <row r="5182" spans="12:16">
      <c r="L5182"/>
      <c r="M5182"/>
      <c r="O5182"/>
      <c r="P5182"/>
    </row>
    <row r="5183" spans="12:16">
      <c r="L5183"/>
      <c r="M5183"/>
      <c r="O5183"/>
      <c r="P5183"/>
    </row>
    <row r="5184" spans="12:16">
      <c r="L5184"/>
      <c r="M5184"/>
      <c r="O5184"/>
      <c r="P5184"/>
    </row>
    <row r="5185" spans="12:16">
      <c r="L5185"/>
      <c r="M5185"/>
      <c r="O5185"/>
      <c r="P5185"/>
    </row>
    <row r="5186" spans="12:16">
      <c r="L5186"/>
      <c r="M5186"/>
      <c r="O5186"/>
      <c r="P5186"/>
    </row>
    <row r="5187" spans="12:16">
      <c r="L5187"/>
      <c r="M5187"/>
      <c r="O5187"/>
      <c r="P5187"/>
    </row>
    <row r="5188" spans="12:16">
      <c r="L5188"/>
      <c r="M5188"/>
      <c r="O5188"/>
      <c r="P5188"/>
    </row>
    <row r="5189" spans="12:16">
      <c r="L5189"/>
      <c r="M5189"/>
      <c r="O5189"/>
      <c r="P5189"/>
    </row>
    <row r="5190" spans="12:16">
      <c r="L5190"/>
      <c r="M5190"/>
      <c r="O5190"/>
      <c r="P5190"/>
    </row>
    <row r="5191" spans="12:16">
      <c r="L5191"/>
      <c r="M5191"/>
      <c r="O5191"/>
      <c r="P5191"/>
    </row>
    <row r="5192" spans="12:16">
      <c r="L5192"/>
      <c r="M5192"/>
      <c r="O5192"/>
      <c r="P5192"/>
    </row>
    <row r="5193" spans="12:16">
      <c r="L5193"/>
      <c r="M5193"/>
      <c r="O5193"/>
      <c r="P5193"/>
    </row>
    <row r="5194" spans="12:16">
      <c r="L5194"/>
      <c r="M5194"/>
      <c r="O5194"/>
      <c r="P5194"/>
    </row>
    <row r="5195" spans="12:16">
      <c r="L5195"/>
      <c r="M5195"/>
      <c r="O5195"/>
      <c r="P5195"/>
    </row>
    <row r="5196" spans="12:16">
      <c r="L5196"/>
      <c r="M5196"/>
      <c r="O5196"/>
      <c r="P5196"/>
    </row>
    <row r="5197" spans="12:16">
      <c r="L5197"/>
      <c r="M5197"/>
      <c r="O5197"/>
      <c r="P5197"/>
    </row>
    <row r="5198" spans="12:16">
      <c r="L5198"/>
      <c r="M5198"/>
      <c r="O5198"/>
      <c r="P5198"/>
    </row>
    <row r="5199" spans="12:16">
      <c r="L5199"/>
      <c r="M5199"/>
      <c r="O5199"/>
      <c r="P5199"/>
    </row>
    <row r="5200" spans="12:16">
      <c r="L5200"/>
      <c r="M5200"/>
      <c r="O5200"/>
      <c r="P5200"/>
    </row>
    <row r="5201" spans="12:16">
      <c r="L5201"/>
      <c r="M5201"/>
      <c r="O5201"/>
      <c r="P5201"/>
    </row>
    <row r="5202" spans="12:16">
      <c r="L5202"/>
      <c r="M5202"/>
      <c r="O5202"/>
      <c r="P5202"/>
    </row>
    <row r="5203" spans="12:16">
      <c r="L5203"/>
      <c r="M5203"/>
      <c r="O5203"/>
      <c r="P5203"/>
    </row>
    <row r="5204" spans="12:16">
      <c r="L5204"/>
      <c r="M5204"/>
      <c r="O5204"/>
      <c r="P5204"/>
    </row>
    <row r="5205" spans="12:16">
      <c r="L5205"/>
      <c r="M5205"/>
      <c r="O5205"/>
      <c r="P5205"/>
    </row>
    <row r="5206" spans="12:16">
      <c r="L5206"/>
      <c r="M5206"/>
      <c r="O5206"/>
      <c r="P5206"/>
    </row>
    <row r="5207" spans="12:16">
      <c r="L5207"/>
      <c r="M5207"/>
      <c r="O5207"/>
      <c r="P5207"/>
    </row>
    <row r="5208" spans="12:16">
      <c r="L5208"/>
      <c r="M5208"/>
      <c r="O5208"/>
      <c r="P5208"/>
    </row>
    <row r="5209" spans="12:16">
      <c r="L5209"/>
      <c r="M5209"/>
      <c r="O5209"/>
      <c r="P5209"/>
    </row>
    <row r="5210" spans="12:16">
      <c r="L5210"/>
      <c r="M5210"/>
      <c r="O5210"/>
      <c r="P5210"/>
    </row>
    <row r="5211" spans="12:16">
      <c r="L5211"/>
      <c r="M5211"/>
      <c r="O5211"/>
      <c r="P5211"/>
    </row>
    <row r="5212" spans="12:16">
      <c r="L5212"/>
      <c r="M5212"/>
      <c r="O5212"/>
      <c r="P5212"/>
    </row>
    <row r="5213" spans="12:16">
      <c r="L5213"/>
      <c r="M5213"/>
      <c r="O5213"/>
      <c r="P5213"/>
    </row>
    <row r="5214" spans="12:16">
      <c r="L5214"/>
      <c r="M5214"/>
      <c r="O5214"/>
      <c r="P5214"/>
    </row>
    <row r="5215" spans="12:16">
      <c r="L5215"/>
      <c r="M5215"/>
      <c r="O5215"/>
      <c r="P5215"/>
    </row>
    <row r="5216" spans="12:16">
      <c r="L5216"/>
      <c r="M5216"/>
      <c r="O5216"/>
      <c r="P5216"/>
    </row>
    <row r="5217" spans="12:16">
      <c r="L5217"/>
      <c r="M5217"/>
      <c r="O5217"/>
      <c r="P5217"/>
    </row>
    <row r="5218" spans="12:16">
      <c r="L5218"/>
      <c r="M5218"/>
      <c r="O5218"/>
      <c r="P5218"/>
    </row>
    <row r="5219" spans="12:16">
      <c r="L5219"/>
      <c r="M5219"/>
      <c r="O5219"/>
      <c r="P5219"/>
    </row>
    <row r="5220" spans="12:16">
      <c r="L5220"/>
      <c r="M5220"/>
      <c r="O5220"/>
      <c r="P5220"/>
    </row>
    <row r="5221" spans="12:16">
      <c r="L5221"/>
      <c r="M5221"/>
      <c r="O5221"/>
      <c r="P5221"/>
    </row>
    <row r="5222" spans="12:16">
      <c r="L5222"/>
      <c r="M5222"/>
      <c r="O5222"/>
      <c r="P5222"/>
    </row>
    <row r="5223" spans="12:16">
      <c r="L5223"/>
      <c r="M5223"/>
      <c r="O5223"/>
      <c r="P5223"/>
    </row>
    <row r="5224" spans="12:16">
      <c r="L5224"/>
      <c r="M5224"/>
      <c r="O5224"/>
      <c r="P5224"/>
    </row>
    <row r="5225" spans="12:16">
      <c r="L5225"/>
      <c r="M5225"/>
      <c r="O5225"/>
      <c r="P5225"/>
    </row>
    <row r="5226" spans="12:16">
      <c r="L5226"/>
      <c r="M5226"/>
      <c r="O5226"/>
      <c r="P5226"/>
    </row>
    <row r="5227" spans="12:16">
      <c r="L5227"/>
      <c r="M5227"/>
      <c r="O5227"/>
      <c r="P5227"/>
    </row>
    <row r="5228" spans="12:16">
      <c r="L5228"/>
      <c r="M5228"/>
      <c r="O5228"/>
      <c r="P5228"/>
    </row>
    <row r="5229" spans="12:16">
      <c r="L5229"/>
      <c r="M5229"/>
      <c r="O5229"/>
      <c r="P5229"/>
    </row>
    <row r="5230" spans="12:16">
      <c r="L5230"/>
      <c r="M5230"/>
      <c r="O5230"/>
      <c r="P5230"/>
    </row>
    <row r="5231" spans="12:16">
      <c r="L5231"/>
      <c r="M5231"/>
      <c r="O5231"/>
      <c r="P5231"/>
    </row>
    <row r="5232" spans="12:16">
      <c r="L5232"/>
      <c r="M5232"/>
      <c r="O5232"/>
      <c r="P5232"/>
    </row>
    <row r="5233" spans="12:16">
      <c r="L5233"/>
      <c r="M5233"/>
      <c r="O5233"/>
      <c r="P5233"/>
    </row>
    <row r="5234" spans="12:16">
      <c r="L5234"/>
      <c r="M5234"/>
      <c r="O5234"/>
      <c r="P5234"/>
    </row>
    <row r="5235" spans="12:16">
      <c r="L5235"/>
      <c r="M5235"/>
      <c r="O5235"/>
      <c r="P5235"/>
    </row>
    <row r="5236" spans="12:16">
      <c r="L5236"/>
      <c r="M5236"/>
      <c r="O5236"/>
      <c r="P5236"/>
    </row>
    <row r="5237" spans="12:16">
      <c r="L5237"/>
      <c r="M5237"/>
      <c r="O5237"/>
      <c r="P5237"/>
    </row>
    <row r="5238" spans="12:16">
      <c r="L5238"/>
      <c r="M5238"/>
      <c r="O5238"/>
      <c r="P5238"/>
    </row>
    <row r="5239" spans="12:16">
      <c r="L5239"/>
      <c r="M5239"/>
      <c r="O5239"/>
      <c r="P5239"/>
    </row>
    <row r="5240" spans="12:16">
      <c r="L5240"/>
      <c r="M5240"/>
      <c r="O5240"/>
      <c r="P5240"/>
    </row>
    <row r="5241" spans="12:16">
      <c r="L5241"/>
      <c r="M5241"/>
      <c r="O5241"/>
      <c r="P5241"/>
    </row>
    <row r="5242" spans="12:16">
      <c r="L5242"/>
      <c r="M5242"/>
      <c r="O5242"/>
      <c r="P5242"/>
    </row>
    <row r="5243" spans="12:16">
      <c r="L5243"/>
      <c r="M5243"/>
      <c r="O5243"/>
      <c r="P5243"/>
    </row>
    <row r="5244" spans="12:16">
      <c r="L5244"/>
      <c r="M5244"/>
      <c r="O5244"/>
      <c r="P5244"/>
    </row>
    <row r="5245" spans="12:16">
      <c r="L5245"/>
      <c r="M5245"/>
      <c r="O5245"/>
      <c r="P5245"/>
    </row>
    <row r="5246" spans="12:16">
      <c r="L5246"/>
      <c r="M5246"/>
      <c r="O5246"/>
      <c r="P5246"/>
    </row>
    <row r="5247" spans="12:16">
      <c r="L5247"/>
      <c r="M5247"/>
      <c r="O5247"/>
      <c r="P5247"/>
    </row>
    <row r="5248" spans="12:16">
      <c r="L5248"/>
      <c r="M5248"/>
      <c r="O5248"/>
      <c r="P5248"/>
    </row>
    <row r="5249" spans="12:16">
      <c r="L5249"/>
      <c r="M5249"/>
      <c r="O5249"/>
      <c r="P5249"/>
    </row>
    <row r="5250" spans="12:16">
      <c r="L5250"/>
      <c r="M5250"/>
      <c r="O5250"/>
      <c r="P5250"/>
    </row>
    <row r="5251" spans="12:16">
      <c r="L5251"/>
      <c r="M5251"/>
      <c r="O5251"/>
      <c r="P5251"/>
    </row>
    <row r="5252" spans="12:16">
      <c r="L5252"/>
      <c r="M5252"/>
      <c r="O5252"/>
      <c r="P5252"/>
    </row>
    <row r="5253" spans="12:16">
      <c r="L5253"/>
      <c r="M5253"/>
      <c r="O5253"/>
      <c r="P5253"/>
    </row>
    <row r="5254" spans="12:16">
      <c r="L5254"/>
      <c r="M5254"/>
      <c r="O5254"/>
      <c r="P5254"/>
    </row>
    <row r="5255" spans="12:16">
      <c r="L5255"/>
      <c r="M5255"/>
      <c r="O5255"/>
      <c r="P5255"/>
    </row>
    <row r="5256" spans="12:16">
      <c r="L5256"/>
      <c r="M5256"/>
      <c r="O5256"/>
      <c r="P5256"/>
    </row>
    <row r="5257" spans="12:16">
      <c r="L5257"/>
      <c r="M5257"/>
      <c r="O5257"/>
      <c r="P5257"/>
    </row>
    <row r="5258" spans="12:16">
      <c r="L5258"/>
      <c r="M5258"/>
      <c r="O5258"/>
      <c r="P5258"/>
    </row>
    <row r="5259" spans="12:16">
      <c r="L5259"/>
      <c r="M5259"/>
      <c r="O5259"/>
      <c r="P5259"/>
    </row>
    <row r="5260" spans="12:16">
      <c r="L5260"/>
      <c r="M5260"/>
      <c r="O5260"/>
      <c r="P5260"/>
    </row>
    <row r="5261" spans="12:16">
      <c r="L5261"/>
      <c r="M5261"/>
      <c r="O5261"/>
      <c r="P5261"/>
    </row>
    <row r="5262" spans="12:16">
      <c r="L5262"/>
      <c r="M5262"/>
      <c r="O5262"/>
      <c r="P5262"/>
    </row>
    <row r="5263" spans="12:16">
      <c r="L5263"/>
      <c r="M5263"/>
      <c r="O5263"/>
      <c r="P5263"/>
    </row>
    <row r="5264" spans="12:16">
      <c r="L5264"/>
      <c r="M5264"/>
      <c r="O5264"/>
      <c r="P5264"/>
    </row>
    <row r="5265" spans="12:16">
      <c r="L5265"/>
      <c r="M5265"/>
      <c r="O5265"/>
      <c r="P5265"/>
    </row>
    <row r="5266" spans="12:16">
      <c r="L5266"/>
      <c r="M5266"/>
      <c r="O5266"/>
      <c r="P5266"/>
    </row>
    <row r="5267" spans="12:16">
      <c r="L5267"/>
      <c r="M5267"/>
      <c r="O5267"/>
      <c r="P5267"/>
    </row>
    <row r="5268" spans="12:16">
      <c r="L5268"/>
      <c r="M5268"/>
      <c r="O5268"/>
      <c r="P5268"/>
    </row>
    <row r="5269" spans="12:16">
      <c r="L5269"/>
      <c r="M5269"/>
      <c r="O5269"/>
      <c r="P5269"/>
    </row>
    <row r="5270" spans="12:16">
      <c r="L5270"/>
      <c r="M5270"/>
      <c r="O5270"/>
      <c r="P5270"/>
    </row>
    <row r="5271" spans="12:16">
      <c r="L5271"/>
      <c r="M5271"/>
      <c r="O5271"/>
      <c r="P5271"/>
    </row>
    <row r="5272" spans="12:16">
      <c r="L5272"/>
      <c r="M5272"/>
      <c r="O5272"/>
      <c r="P5272"/>
    </row>
    <row r="5273" spans="12:16">
      <c r="L5273"/>
      <c r="M5273"/>
      <c r="O5273"/>
      <c r="P5273"/>
    </row>
    <row r="5274" spans="12:16">
      <c r="L5274"/>
      <c r="M5274"/>
      <c r="O5274"/>
      <c r="P5274"/>
    </row>
    <row r="5275" spans="12:16">
      <c r="L5275"/>
      <c r="M5275"/>
      <c r="O5275"/>
      <c r="P5275"/>
    </row>
    <row r="5276" spans="12:16">
      <c r="L5276"/>
      <c r="M5276"/>
      <c r="O5276"/>
      <c r="P5276"/>
    </row>
    <row r="5277" spans="12:16">
      <c r="L5277"/>
      <c r="M5277"/>
      <c r="O5277"/>
      <c r="P5277"/>
    </row>
    <row r="5278" spans="12:16">
      <c r="L5278"/>
      <c r="M5278"/>
      <c r="O5278"/>
      <c r="P5278"/>
    </row>
    <row r="5279" spans="12:16">
      <c r="L5279"/>
      <c r="M5279"/>
      <c r="O5279"/>
      <c r="P5279"/>
    </row>
    <row r="5280" spans="12:16">
      <c r="L5280"/>
      <c r="M5280"/>
      <c r="O5280"/>
      <c r="P5280"/>
    </row>
    <row r="5281" spans="12:16">
      <c r="L5281"/>
      <c r="M5281"/>
      <c r="O5281"/>
      <c r="P5281"/>
    </row>
    <row r="5282" spans="12:16">
      <c r="L5282"/>
      <c r="M5282"/>
      <c r="O5282"/>
      <c r="P5282"/>
    </row>
    <row r="5283" spans="12:16">
      <c r="L5283"/>
      <c r="M5283"/>
      <c r="O5283"/>
      <c r="P5283"/>
    </row>
    <row r="5284" spans="12:16">
      <c r="L5284"/>
      <c r="M5284"/>
      <c r="O5284"/>
      <c r="P5284"/>
    </row>
    <row r="5285" spans="12:16">
      <c r="L5285"/>
      <c r="M5285"/>
      <c r="O5285"/>
      <c r="P5285"/>
    </row>
    <row r="5286" spans="12:16">
      <c r="L5286"/>
      <c r="M5286"/>
      <c r="O5286"/>
      <c r="P5286"/>
    </row>
    <row r="5287" spans="12:16">
      <c r="L5287"/>
      <c r="M5287"/>
      <c r="O5287"/>
      <c r="P5287"/>
    </row>
    <row r="5288" spans="12:16">
      <c r="L5288"/>
      <c r="M5288"/>
      <c r="O5288"/>
      <c r="P5288"/>
    </row>
    <row r="5289" spans="12:16">
      <c r="L5289"/>
      <c r="M5289"/>
      <c r="O5289"/>
      <c r="P5289"/>
    </row>
    <row r="5290" spans="12:16">
      <c r="L5290"/>
      <c r="M5290"/>
      <c r="O5290"/>
      <c r="P5290"/>
    </row>
    <row r="5291" spans="12:16">
      <c r="L5291"/>
      <c r="M5291"/>
      <c r="O5291"/>
      <c r="P5291"/>
    </row>
    <row r="5292" spans="12:16">
      <c r="L5292"/>
      <c r="M5292"/>
      <c r="O5292"/>
      <c r="P5292"/>
    </row>
    <row r="5293" spans="12:16">
      <c r="L5293"/>
      <c r="M5293"/>
      <c r="O5293"/>
      <c r="P5293"/>
    </row>
    <row r="5294" spans="12:16">
      <c r="L5294"/>
      <c r="M5294"/>
      <c r="O5294"/>
      <c r="P5294"/>
    </row>
    <row r="5295" spans="12:16">
      <c r="L5295"/>
      <c r="M5295"/>
      <c r="O5295"/>
      <c r="P5295"/>
    </row>
    <row r="5296" spans="12:16">
      <c r="L5296"/>
      <c r="M5296"/>
      <c r="O5296"/>
      <c r="P5296"/>
    </row>
    <row r="5297" spans="12:16">
      <c r="L5297"/>
      <c r="M5297"/>
      <c r="O5297"/>
      <c r="P5297"/>
    </row>
    <row r="5298" spans="12:16">
      <c r="L5298"/>
      <c r="M5298"/>
      <c r="O5298"/>
      <c r="P5298"/>
    </row>
    <row r="5299" spans="12:16">
      <c r="L5299"/>
      <c r="M5299"/>
      <c r="O5299"/>
      <c r="P5299"/>
    </row>
    <row r="5300" spans="12:16">
      <c r="L5300"/>
      <c r="M5300"/>
      <c r="O5300"/>
      <c r="P5300"/>
    </row>
    <row r="5301" spans="12:16">
      <c r="L5301"/>
      <c r="M5301"/>
      <c r="O5301"/>
      <c r="P5301"/>
    </row>
    <row r="5302" spans="12:16">
      <c r="L5302"/>
      <c r="M5302"/>
      <c r="O5302"/>
      <c r="P5302"/>
    </row>
    <row r="5303" spans="12:16">
      <c r="L5303"/>
      <c r="M5303"/>
      <c r="O5303"/>
      <c r="P5303"/>
    </row>
    <row r="5304" spans="12:16">
      <c r="L5304"/>
      <c r="M5304"/>
      <c r="O5304"/>
      <c r="P5304"/>
    </row>
    <row r="5305" spans="12:16">
      <c r="L5305"/>
      <c r="M5305"/>
      <c r="O5305"/>
      <c r="P5305"/>
    </row>
    <row r="5306" spans="12:16">
      <c r="L5306"/>
      <c r="M5306"/>
      <c r="O5306"/>
      <c r="P5306"/>
    </row>
    <row r="5307" spans="12:16">
      <c r="L5307"/>
      <c r="M5307"/>
      <c r="O5307"/>
      <c r="P5307"/>
    </row>
    <row r="5308" spans="12:16">
      <c r="L5308"/>
      <c r="M5308"/>
      <c r="O5308"/>
      <c r="P5308"/>
    </row>
    <row r="5309" spans="12:16">
      <c r="L5309"/>
      <c r="M5309"/>
      <c r="O5309"/>
      <c r="P5309"/>
    </row>
    <row r="5310" spans="12:16">
      <c r="L5310"/>
      <c r="M5310"/>
      <c r="O5310"/>
      <c r="P5310"/>
    </row>
    <row r="5311" spans="12:16">
      <c r="L5311"/>
      <c r="M5311"/>
      <c r="O5311"/>
      <c r="P5311"/>
    </row>
    <row r="5312" spans="12:16">
      <c r="L5312"/>
      <c r="M5312"/>
      <c r="O5312"/>
      <c r="P5312"/>
    </row>
    <row r="5313" spans="12:16">
      <c r="L5313"/>
      <c r="M5313"/>
      <c r="O5313"/>
      <c r="P5313"/>
    </row>
    <row r="5314" spans="12:16">
      <c r="L5314"/>
      <c r="M5314"/>
      <c r="O5314"/>
      <c r="P5314"/>
    </row>
    <row r="5315" spans="12:16">
      <c r="L5315"/>
      <c r="M5315"/>
      <c r="O5315"/>
      <c r="P5315"/>
    </row>
    <row r="5316" spans="12:16">
      <c r="L5316"/>
      <c r="M5316"/>
      <c r="O5316"/>
      <c r="P5316"/>
    </row>
    <row r="5317" spans="12:16">
      <c r="L5317"/>
      <c r="M5317"/>
      <c r="O5317"/>
      <c r="P5317"/>
    </row>
    <row r="5318" spans="12:16">
      <c r="L5318"/>
      <c r="M5318"/>
      <c r="O5318"/>
      <c r="P5318"/>
    </row>
    <row r="5319" spans="12:16">
      <c r="L5319"/>
      <c r="M5319"/>
      <c r="O5319"/>
      <c r="P5319"/>
    </row>
    <row r="5320" spans="12:16">
      <c r="L5320"/>
      <c r="M5320"/>
      <c r="O5320"/>
      <c r="P5320"/>
    </row>
    <row r="5321" spans="12:16">
      <c r="L5321"/>
      <c r="M5321"/>
      <c r="O5321"/>
      <c r="P5321"/>
    </row>
    <row r="5322" spans="12:16">
      <c r="L5322"/>
      <c r="M5322"/>
      <c r="O5322"/>
      <c r="P5322"/>
    </row>
    <row r="5323" spans="12:16">
      <c r="L5323"/>
      <c r="M5323"/>
      <c r="O5323"/>
      <c r="P5323"/>
    </row>
    <row r="5324" spans="12:16">
      <c r="L5324"/>
      <c r="M5324"/>
      <c r="O5324"/>
      <c r="P5324"/>
    </row>
    <row r="5325" spans="12:16">
      <c r="L5325"/>
      <c r="M5325"/>
      <c r="O5325"/>
      <c r="P5325"/>
    </row>
    <row r="5326" spans="12:16">
      <c r="L5326"/>
      <c r="M5326"/>
      <c r="O5326"/>
      <c r="P5326"/>
    </row>
    <row r="5327" spans="12:16">
      <c r="L5327"/>
      <c r="M5327"/>
      <c r="O5327"/>
      <c r="P5327"/>
    </row>
    <row r="5328" spans="12:16">
      <c r="L5328"/>
      <c r="M5328"/>
      <c r="O5328"/>
      <c r="P5328"/>
    </row>
    <row r="5329" spans="12:16">
      <c r="L5329"/>
      <c r="M5329"/>
      <c r="O5329"/>
      <c r="P5329"/>
    </row>
    <row r="5330" spans="12:16">
      <c r="L5330"/>
      <c r="M5330"/>
      <c r="O5330"/>
      <c r="P5330"/>
    </row>
    <row r="5331" spans="12:16">
      <c r="L5331"/>
      <c r="M5331"/>
      <c r="O5331"/>
      <c r="P5331"/>
    </row>
    <row r="5332" spans="12:16">
      <c r="L5332"/>
      <c r="M5332"/>
      <c r="O5332"/>
      <c r="P5332"/>
    </row>
    <row r="5333" spans="12:16">
      <c r="L5333"/>
      <c r="M5333"/>
      <c r="O5333"/>
      <c r="P5333"/>
    </row>
    <row r="5334" spans="12:16">
      <c r="L5334"/>
      <c r="M5334"/>
      <c r="O5334"/>
      <c r="P5334"/>
    </row>
    <row r="5335" spans="12:16">
      <c r="L5335"/>
      <c r="M5335"/>
      <c r="O5335"/>
      <c r="P5335"/>
    </row>
    <row r="5336" spans="12:16">
      <c r="L5336"/>
      <c r="M5336"/>
      <c r="O5336"/>
      <c r="P5336"/>
    </row>
    <row r="5337" spans="12:16">
      <c r="L5337"/>
      <c r="M5337"/>
      <c r="O5337"/>
      <c r="P5337"/>
    </row>
    <row r="5338" spans="12:16">
      <c r="L5338"/>
      <c r="M5338"/>
      <c r="O5338"/>
      <c r="P5338"/>
    </row>
    <row r="5339" spans="12:16">
      <c r="L5339"/>
      <c r="M5339"/>
      <c r="O5339"/>
      <c r="P5339"/>
    </row>
    <row r="5340" spans="12:16">
      <c r="L5340"/>
      <c r="M5340"/>
      <c r="O5340"/>
      <c r="P5340"/>
    </row>
    <row r="5341" spans="12:16">
      <c r="L5341"/>
      <c r="M5341"/>
      <c r="O5341"/>
      <c r="P5341"/>
    </row>
    <row r="5342" spans="12:16">
      <c r="L5342"/>
      <c r="M5342"/>
      <c r="O5342"/>
      <c r="P5342"/>
    </row>
    <row r="5343" spans="12:16">
      <c r="L5343"/>
      <c r="M5343"/>
      <c r="O5343"/>
      <c r="P5343"/>
    </row>
    <row r="5344" spans="12:16">
      <c r="L5344"/>
      <c r="M5344"/>
      <c r="O5344"/>
      <c r="P5344"/>
    </row>
    <row r="5345" spans="12:16">
      <c r="L5345"/>
      <c r="M5345"/>
      <c r="O5345"/>
      <c r="P5345"/>
    </row>
    <row r="5346" spans="12:16">
      <c r="L5346"/>
      <c r="M5346"/>
      <c r="O5346"/>
      <c r="P5346"/>
    </row>
    <row r="5347" spans="12:16">
      <c r="L5347"/>
      <c r="M5347"/>
      <c r="O5347"/>
      <c r="P5347"/>
    </row>
    <row r="5348" spans="12:16">
      <c r="L5348"/>
      <c r="M5348"/>
      <c r="O5348"/>
      <c r="P5348"/>
    </row>
    <row r="5349" spans="12:16">
      <c r="L5349"/>
      <c r="M5349"/>
      <c r="O5349"/>
      <c r="P5349"/>
    </row>
    <row r="5350" spans="12:16">
      <c r="L5350"/>
      <c r="M5350"/>
      <c r="O5350"/>
      <c r="P5350"/>
    </row>
    <row r="5351" spans="12:16">
      <c r="L5351"/>
      <c r="M5351"/>
      <c r="O5351"/>
      <c r="P5351"/>
    </row>
    <row r="5352" spans="12:16">
      <c r="L5352"/>
      <c r="M5352"/>
      <c r="O5352"/>
      <c r="P5352"/>
    </row>
    <row r="5353" spans="12:16">
      <c r="L5353"/>
      <c r="M5353"/>
      <c r="O5353"/>
      <c r="P5353"/>
    </row>
    <row r="5354" spans="12:16">
      <c r="L5354"/>
      <c r="M5354"/>
      <c r="O5354"/>
      <c r="P5354"/>
    </row>
    <row r="5355" spans="12:16">
      <c r="L5355"/>
      <c r="M5355"/>
      <c r="O5355"/>
      <c r="P5355"/>
    </row>
    <row r="5356" spans="12:16">
      <c r="L5356"/>
      <c r="M5356"/>
      <c r="O5356"/>
      <c r="P5356"/>
    </row>
    <row r="5357" spans="12:16">
      <c r="L5357"/>
      <c r="M5357"/>
      <c r="O5357"/>
      <c r="P5357"/>
    </row>
    <row r="5358" spans="12:16">
      <c r="L5358"/>
      <c r="M5358"/>
      <c r="O5358"/>
      <c r="P5358"/>
    </row>
    <row r="5359" spans="12:16">
      <c r="L5359"/>
      <c r="M5359"/>
      <c r="O5359"/>
      <c r="P5359"/>
    </row>
    <row r="5360" spans="12:16">
      <c r="L5360"/>
      <c r="M5360"/>
      <c r="O5360"/>
      <c r="P5360"/>
    </row>
    <row r="5361" spans="12:16">
      <c r="L5361"/>
      <c r="M5361"/>
      <c r="O5361"/>
      <c r="P5361"/>
    </row>
    <row r="5362" spans="12:16">
      <c r="L5362"/>
      <c r="M5362"/>
      <c r="O5362"/>
      <c r="P5362"/>
    </row>
    <row r="5363" spans="12:16">
      <c r="L5363"/>
      <c r="M5363"/>
      <c r="O5363"/>
      <c r="P5363"/>
    </row>
    <row r="5364" spans="12:16">
      <c r="L5364"/>
      <c r="M5364"/>
      <c r="O5364"/>
      <c r="P5364"/>
    </row>
    <row r="5365" spans="12:16">
      <c r="L5365"/>
      <c r="M5365"/>
      <c r="O5365"/>
      <c r="P5365"/>
    </row>
    <row r="5366" spans="12:16">
      <c r="L5366"/>
      <c r="M5366"/>
      <c r="O5366"/>
      <c r="P5366"/>
    </row>
    <row r="5367" spans="12:16">
      <c r="L5367"/>
      <c r="M5367"/>
      <c r="O5367"/>
      <c r="P5367"/>
    </row>
    <row r="5368" spans="12:16">
      <c r="L5368"/>
      <c r="M5368"/>
      <c r="O5368"/>
      <c r="P5368"/>
    </row>
    <row r="5369" spans="12:16">
      <c r="L5369"/>
      <c r="M5369"/>
      <c r="O5369"/>
      <c r="P5369"/>
    </row>
    <row r="5370" spans="12:16">
      <c r="L5370"/>
      <c r="M5370"/>
      <c r="O5370"/>
      <c r="P5370"/>
    </row>
    <row r="5371" spans="12:16">
      <c r="L5371"/>
      <c r="M5371"/>
      <c r="O5371"/>
      <c r="P5371"/>
    </row>
    <row r="5372" spans="12:16">
      <c r="L5372"/>
      <c r="M5372"/>
      <c r="O5372"/>
      <c r="P5372"/>
    </row>
    <row r="5373" spans="12:16">
      <c r="L5373"/>
      <c r="M5373"/>
      <c r="O5373"/>
      <c r="P5373"/>
    </row>
    <row r="5374" spans="12:16">
      <c r="L5374"/>
      <c r="M5374"/>
      <c r="O5374"/>
      <c r="P5374"/>
    </row>
    <row r="5375" spans="12:16">
      <c r="L5375"/>
      <c r="M5375"/>
      <c r="O5375"/>
      <c r="P5375"/>
    </row>
    <row r="5376" spans="12:16">
      <c r="L5376"/>
      <c r="M5376"/>
      <c r="O5376"/>
      <c r="P5376"/>
    </row>
    <row r="5377" spans="12:16">
      <c r="L5377"/>
      <c r="M5377"/>
      <c r="O5377"/>
      <c r="P5377"/>
    </row>
    <row r="5378" spans="12:16">
      <c r="L5378"/>
      <c r="M5378"/>
      <c r="O5378"/>
      <c r="P5378"/>
    </row>
    <row r="5379" spans="12:16">
      <c r="L5379"/>
      <c r="M5379"/>
      <c r="O5379"/>
      <c r="P5379"/>
    </row>
    <row r="5380" spans="12:16">
      <c r="L5380"/>
      <c r="M5380"/>
      <c r="O5380"/>
      <c r="P5380"/>
    </row>
    <row r="5381" spans="12:16">
      <c r="L5381"/>
      <c r="M5381"/>
      <c r="O5381"/>
      <c r="P5381"/>
    </row>
    <row r="5382" spans="12:16">
      <c r="L5382"/>
      <c r="M5382"/>
      <c r="O5382"/>
      <c r="P5382"/>
    </row>
    <row r="5383" spans="12:16">
      <c r="L5383"/>
      <c r="M5383"/>
      <c r="O5383"/>
      <c r="P5383"/>
    </row>
    <row r="5384" spans="12:16">
      <c r="L5384"/>
      <c r="M5384"/>
      <c r="O5384"/>
      <c r="P5384"/>
    </row>
    <row r="5385" spans="12:16">
      <c r="L5385"/>
      <c r="M5385"/>
      <c r="O5385"/>
      <c r="P5385"/>
    </row>
    <row r="5386" spans="12:16">
      <c r="L5386"/>
      <c r="M5386"/>
      <c r="O5386"/>
      <c r="P5386"/>
    </row>
    <row r="5387" spans="12:16">
      <c r="L5387"/>
      <c r="M5387"/>
      <c r="O5387"/>
      <c r="P5387"/>
    </row>
    <row r="5388" spans="12:16">
      <c r="L5388"/>
      <c r="M5388"/>
      <c r="O5388"/>
      <c r="P5388"/>
    </row>
    <row r="5389" spans="12:16">
      <c r="L5389"/>
      <c r="M5389"/>
      <c r="O5389"/>
      <c r="P5389"/>
    </row>
    <row r="5390" spans="12:16">
      <c r="L5390"/>
      <c r="M5390"/>
      <c r="O5390"/>
      <c r="P5390"/>
    </row>
    <row r="5391" spans="12:16">
      <c r="L5391"/>
      <c r="M5391"/>
      <c r="O5391"/>
      <c r="P5391"/>
    </row>
    <row r="5392" spans="12:16">
      <c r="L5392"/>
      <c r="M5392"/>
      <c r="O5392"/>
      <c r="P5392"/>
    </row>
    <row r="5393" spans="12:16">
      <c r="L5393"/>
      <c r="M5393"/>
      <c r="O5393"/>
      <c r="P5393"/>
    </row>
    <row r="5394" spans="12:16">
      <c r="L5394"/>
      <c r="M5394"/>
      <c r="O5394"/>
      <c r="P5394"/>
    </row>
    <row r="5395" spans="12:16">
      <c r="L5395"/>
      <c r="M5395"/>
      <c r="O5395"/>
      <c r="P5395"/>
    </row>
    <row r="5396" spans="12:16">
      <c r="L5396"/>
      <c r="M5396"/>
      <c r="O5396"/>
      <c r="P5396"/>
    </row>
    <row r="5397" spans="12:16">
      <c r="L5397"/>
      <c r="M5397"/>
      <c r="O5397"/>
      <c r="P5397"/>
    </row>
    <row r="5398" spans="12:16">
      <c r="L5398"/>
      <c r="M5398"/>
      <c r="O5398"/>
      <c r="P5398"/>
    </row>
    <row r="5399" spans="12:16">
      <c r="L5399"/>
      <c r="M5399"/>
      <c r="O5399"/>
      <c r="P5399"/>
    </row>
    <row r="5400" spans="12:16">
      <c r="L5400"/>
      <c r="M5400"/>
      <c r="O5400"/>
      <c r="P5400"/>
    </row>
    <row r="5401" spans="12:16">
      <c r="L5401"/>
      <c r="M5401"/>
      <c r="O5401"/>
      <c r="P5401"/>
    </row>
    <row r="5402" spans="12:16">
      <c r="L5402"/>
      <c r="M5402"/>
      <c r="O5402"/>
      <c r="P5402"/>
    </row>
    <row r="5403" spans="12:16">
      <c r="L5403"/>
      <c r="M5403"/>
      <c r="O5403"/>
      <c r="P5403"/>
    </row>
    <row r="5404" spans="12:16">
      <c r="L5404"/>
      <c r="M5404"/>
      <c r="O5404"/>
      <c r="P5404"/>
    </row>
    <row r="5405" spans="12:16">
      <c r="L5405"/>
      <c r="M5405"/>
      <c r="O5405"/>
      <c r="P5405"/>
    </row>
    <row r="5406" spans="12:16">
      <c r="L5406"/>
      <c r="M5406"/>
      <c r="O5406"/>
      <c r="P5406"/>
    </row>
    <row r="5407" spans="12:16">
      <c r="L5407"/>
      <c r="M5407"/>
      <c r="O5407"/>
      <c r="P5407"/>
    </row>
    <row r="5408" spans="12:16">
      <c r="L5408"/>
      <c r="M5408"/>
      <c r="O5408"/>
      <c r="P5408"/>
    </row>
    <row r="5409" spans="12:16">
      <c r="L5409"/>
      <c r="M5409"/>
      <c r="O5409"/>
      <c r="P5409"/>
    </row>
    <row r="5410" spans="12:16">
      <c r="L5410"/>
      <c r="M5410"/>
      <c r="O5410"/>
      <c r="P5410"/>
    </row>
    <row r="5411" spans="12:16">
      <c r="L5411"/>
      <c r="M5411"/>
      <c r="O5411"/>
      <c r="P5411"/>
    </row>
    <row r="5412" spans="12:16">
      <c r="L5412"/>
      <c r="M5412"/>
      <c r="O5412"/>
      <c r="P5412"/>
    </row>
    <row r="5413" spans="12:16">
      <c r="L5413"/>
      <c r="M5413"/>
      <c r="O5413"/>
      <c r="P5413"/>
    </row>
    <row r="5414" spans="12:16">
      <c r="L5414"/>
      <c r="M5414"/>
      <c r="O5414"/>
      <c r="P5414"/>
    </row>
    <row r="5415" spans="12:16">
      <c r="L5415"/>
      <c r="M5415"/>
      <c r="O5415"/>
      <c r="P5415"/>
    </row>
    <row r="5416" spans="12:16">
      <c r="L5416"/>
      <c r="M5416"/>
      <c r="O5416"/>
      <c r="P5416"/>
    </row>
    <row r="5417" spans="12:16">
      <c r="L5417"/>
      <c r="M5417"/>
      <c r="O5417"/>
      <c r="P5417"/>
    </row>
    <row r="5418" spans="12:16">
      <c r="L5418"/>
      <c r="M5418"/>
      <c r="O5418"/>
      <c r="P5418"/>
    </row>
    <row r="5419" spans="12:16">
      <c r="L5419"/>
      <c r="M5419"/>
      <c r="O5419"/>
      <c r="P5419"/>
    </row>
    <row r="5420" spans="12:16">
      <c r="L5420"/>
      <c r="M5420"/>
      <c r="O5420"/>
      <c r="P5420"/>
    </row>
    <row r="5421" spans="12:16">
      <c r="L5421"/>
      <c r="M5421"/>
      <c r="O5421"/>
      <c r="P5421"/>
    </row>
    <row r="5422" spans="12:16">
      <c r="L5422"/>
      <c r="M5422"/>
      <c r="O5422"/>
      <c r="P5422"/>
    </row>
    <row r="5423" spans="12:16">
      <c r="L5423"/>
      <c r="M5423"/>
      <c r="O5423"/>
      <c r="P5423"/>
    </row>
    <row r="5424" spans="12:16">
      <c r="L5424"/>
      <c r="M5424"/>
      <c r="O5424"/>
      <c r="P5424"/>
    </row>
    <row r="5425" spans="12:16">
      <c r="L5425"/>
      <c r="M5425"/>
      <c r="O5425"/>
      <c r="P5425"/>
    </row>
    <row r="5426" spans="12:16">
      <c r="L5426"/>
      <c r="M5426"/>
      <c r="O5426"/>
      <c r="P5426"/>
    </row>
    <row r="5427" spans="12:16">
      <c r="L5427"/>
      <c r="M5427"/>
      <c r="O5427"/>
      <c r="P5427"/>
    </row>
    <row r="5428" spans="12:16">
      <c r="L5428"/>
      <c r="M5428"/>
      <c r="O5428"/>
      <c r="P5428"/>
    </row>
    <row r="5429" spans="12:16">
      <c r="L5429"/>
      <c r="M5429"/>
      <c r="O5429"/>
      <c r="P5429"/>
    </row>
    <row r="5430" spans="12:16">
      <c r="L5430"/>
      <c r="M5430"/>
      <c r="O5430"/>
      <c r="P5430"/>
    </row>
    <row r="5431" spans="12:16">
      <c r="L5431"/>
      <c r="M5431"/>
      <c r="O5431"/>
      <c r="P5431"/>
    </row>
    <row r="5432" spans="12:16">
      <c r="L5432"/>
      <c r="M5432"/>
      <c r="O5432"/>
      <c r="P5432"/>
    </row>
    <row r="5433" spans="12:16">
      <c r="L5433"/>
      <c r="M5433"/>
      <c r="O5433"/>
      <c r="P5433"/>
    </row>
    <row r="5434" spans="12:16">
      <c r="L5434"/>
      <c r="M5434"/>
      <c r="O5434"/>
      <c r="P5434"/>
    </row>
    <row r="5435" spans="12:16">
      <c r="L5435"/>
      <c r="M5435"/>
      <c r="O5435"/>
      <c r="P5435"/>
    </row>
    <row r="5436" spans="12:16">
      <c r="L5436"/>
      <c r="M5436"/>
      <c r="O5436"/>
      <c r="P5436"/>
    </row>
    <row r="5437" spans="12:16">
      <c r="L5437"/>
      <c r="M5437"/>
      <c r="O5437"/>
      <c r="P5437"/>
    </row>
    <row r="5438" spans="12:16">
      <c r="L5438"/>
      <c r="M5438"/>
      <c r="O5438"/>
      <c r="P5438"/>
    </row>
    <row r="5439" spans="12:16">
      <c r="L5439"/>
      <c r="M5439"/>
      <c r="O5439"/>
      <c r="P5439"/>
    </row>
    <row r="5440" spans="12:16">
      <c r="L5440"/>
      <c r="M5440"/>
      <c r="O5440"/>
      <c r="P5440"/>
    </row>
    <row r="5441" spans="12:16">
      <c r="L5441"/>
      <c r="M5441"/>
      <c r="O5441"/>
      <c r="P5441"/>
    </row>
    <row r="5442" spans="12:16">
      <c r="L5442"/>
      <c r="M5442"/>
      <c r="O5442"/>
      <c r="P5442"/>
    </row>
    <row r="5443" spans="12:16">
      <c r="L5443"/>
      <c r="M5443"/>
      <c r="O5443"/>
      <c r="P5443"/>
    </row>
    <row r="5444" spans="12:16">
      <c r="L5444"/>
      <c r="M5444"/>
      <c r="O5444"/>
      <c r="P5444"/>
    </row>
    <row r="5445" spans="12:16">
      <c r="L5445"/>
      <c r="M5445"/>
      <c r="O5445"/>
      <c r="P5445"/>
    </row>
    <row r="5446" spans="12:16">
      <c r="L5446"/>
      <c r="M5446"/>
      <c r="O5446"/>
      <c r="P5446"/>
    </row>
    <row r="5447" spans="12:16">
      <c r="L5447"/>
      <c r="M5447"/>
      <c r="O5447"/>
      <c r="P5447"/>
    </row>
    <row r="5448" spans="12:16">
      <c r="L5448"/>
      <c r="M5448"/>
      <c r="O5448"/>
      <c r="P5448"/>
    </row>
    <row r="5449" spans="12:16">
      <c r="L5449"/>
      <c r="M5449"/>
      <c r="O5449"/>
      <c r="P5449"/>
    </row>
    <row r="5450" spans="12:16">
      <c r="L5450"/>
      <c r="M5450"/>
      <c r="O5450"/>
      <c r="P5450"/>
    </row>
    <row r="5451" spans="12:16">
      <c r="L5451"/>
      <c r="M5451"/>
      <c r="O5451"/>
      <c r="P5451"/>
    </row>
    <row r="5452" spans="12:16">
      <c r="L5452"/>
      <c r="M5452"/>
      <c r="O5452"/>
      <c r="P5452"/>
    </row>
    <row r="5453" spans="12:16">
      <c r="L5453"/>
      <c r="M5453"/>
      <c r="O5453"/>
      <c r="P5453"/>
    </row>
    <row r="5454" spans="12:16">
      <c r="L5454"/>
      <c r="M5454"/>
      <c r="O5454"/>
      <c r="P5454"/>
    </row>
    <row r="5455" spans="12:16">
      <c r="L5455"/>
      <c r="M5455"/>
      <c r="O5455"/>
      <c r="P5455"/>
    </row>
    <row r="5456" spans="12:16">
      <c r="L5456"/>
      <c r="M5456"/>
      <c r="O5456"/>
      <c r="P5456"/>
    </row>
    <row r="5457" spans="12:16">
      <c r="L5457"/>
      <c r="M5457"/>
      <c r="O5457"/>
      <c r="P5457"/>
    </row>
    <row r="5458" spans="12:16">
      <c r="L5458"/>
      <c r="M5458"/>
      <c r="O5458"/>
      <c r="P5458"/>
    </row>
    <row r="5459" spans="12:16">
      <c r="L5459"/>
      <c r="M5459"/>
      <c r="O5459"/>
      <c r="P5459"/>
    </row>
    <row r="5460" spans="12:16">
      <c r="L5460"/>
      <c r="M5460"/>
      <c r="O5460"/>
      <c r="P5460"/>
    </row>
    <row r="5461" spans="12:16">
      <c r="L5461"/>
      <c r="M5461"/>
      <c r="O5461"/>
      <c r="P5461"/>
    </row>
    <row r="5462" spans="12:16">
      <c r="L5462"/>
      <c r="M5462"/>
      <c r="O5462"/>
      <c r="P5462"/>
    </row>
    <row r="5463" spans="12:16">
      <c r="L5463"/>
      <c r="M5463"/>
      <c r="O5463"/>
      <c r="P5463"/>
    </row>
    <row r="5464" spans="12:16">
      <c r="L5464"/>
      <c r="M5464"/>
      <c r="O5464"/>
      <c r="P5464"/>
    </row>
    <row r="5465" spans="12:16">
      <c r="L5465"/>
      <c r="M5465"/>
      <c r="O5465"/>
      <c r="P5465"/>
    </row>
    <row r="5466" spans="12:16">
      <c r="L5466"/>
      <c r="M5466"/>
      <c r="O5466"/>
      <c r="P5466"/>
    </row>
    <row r="5467" spans="12:16">
      <c r="L5467"/>
      <c r="M5467"/>
      <c r="O5467"/>
      <c r="P5467"/>
    </row>
    <row r="5468" spans="12:16">
      <c r="L5468"/>
      <c r="M5468"/>
      <c r="O5468"/>
      <c r="P5468"/>
    </row>
    <row r="5469" spans="12:16">
      <c r="L5469"/>
      <c r="M5469"/>
      <c r="O5469"/>
      <c r="P5469"/>
    </row>
    <row r="5470" spans="12:16">
      <c r="L5470"/>
      <c r="M5470"/>
      <c r="O5470"/>
      <c r="P5470"/>
    </row>
    <row r="5471" spans="12:16">
      <c r="L5471"/>
      <c r="M5471"/>
      <c r="O5471"/>
      <c r="P5471"/>
    </row>
    <row r="5472" spans="12:16">
      <c r="L5472"/>
      <c r="M5472"/>
      <c r="O5472"/>
      <c r="P5472"/>
    </row>
    <row r="5473" spans="12:16">
      <c r="L5473"/>
      <c r="M5473"/>
      <c r="O5473"/>
      <c r="P5473"/>
    </row>
    <row r="5474" spans="12:16">
      <c r="L5474"/>
      <c r="M5474"/>
      <c r="O5474"/>
      <c r="P5474"/>
    </row>
    <row r="5475" spans="12:16">
      <c r="L5475"/>
      <c r="M5475"/>
      <c r="O5475"/>
      <c r="P5475"/>
    </row>
    <row r="5476" spans="12:16">
      <c r="L5476"/>
      <c r="M5476"/>
      <c r="O5476"/>
      <c r="P5476"/>
    </row>
    <row r="5477" spans="12:16">
      <c r="L5477"/>
      <c r="M5477"/>
      <c r="O5477"/>
      <c r="P5477"/>
    </row>
    <row r="5478" spans="12:16">
      <c r="L5478"/>
      <c r="M5478"/>
      <c r="O5478"/>
      <c r="P5478"/>
    </row>
    <row r="5479" spans="12:16">
      <c r="L5479"/>
      <c r="M5479"/>
      <c r="O5479"/>
      <c r="P5479"/>
    </row>
    <row r="5480" spans="12:16">
      <c r="L5480"/>
      <c r="M5480"/>
      <c r="O5480"/>
      <c r="P5480"/>
    </row>
    <row r="5481" spans="12:16">
      <c r="L5481"/>
      <c r="M5481"/>
      <c r="O5481"/>
      <c r="P5481"/>
    </row>
    <row r="5482" spans="12:16">
      <c r="L5482"/>
      <c r="M5482"/>
      <c r="O5482"/>
      <c r="P5482"/>
    </row>
    <row r="5483" spans="12:16">
      <c r="L5483"/>
      <c r="M5483"/>
      <c r="O5483"/>
      <c r="P5483"/>
    </row>
    <row r="5484" spans="12:16">
      <c r="L5484"/>
      <c r="M5484"/>
      <c r="O5484"/>
      <c r="P5484"/>
    </row>
    <row r="5485" spans="12:16">
      <c r="L5485"/>
      <c r="M5485"/>
      <c r="O5485"/>
      <c r="P5485"/>
    </row>
    <row r="5486" spans="12:16">
      <c r="L5486"/>
      <c r="M5486"/>
      <c r="O5486"/>
      <c r="P5486"/>
    </row>
    <row r="5487" spans="12:16">
      <c r="L5487"/>
      <c r="M5487"/>
      <c r="O5487"/>
      <c r="P5487"/>
    </row>
    <row r="5488" spans="12:16">
      <c r="L5488"/>
      <c r="M5488"/>
      <c r="O5488"/>
      <c r="P5488"/>
    </row>
    <row r="5489" spans="12:16">
      <c r="L5489"/>
      <c r="M5489"/>
      <c r="O5489"/>
      <c r="P5489"/>
    </row>
    <row r="5490" spans="12:16">
      <c r="L5490"/>
      <c r="M5490"/>
      <c r="O5490"/>
      <c r="P5490"/>
    </row>
    <row r="5491" spans="12:16">
      <c r="L5491"/>
      <c r="M5491"/>
      <c r="O5491"/>
      <c r="P5491"/>
    </row>
    <row r="5492" spans="12:16">
      <c r="L5492"/>
      <c r="M5492"/>
      <c r="O5492"/>
      <c r="P5492"/>
    </row>
    <row r="5493" spans="12:16">
      <c r="L5493"/>
      <c r="M5493"/>
      <c r="O5493"/>
      <c r="P5493"/>
    </row>
    <row r="5494" spans="12:16">
      <c r="L5494"/>
      <c r="M5494"/>
      <c r="O5494"/>
      <c r="P5494"/>
    </row>
    <row r="5495" spans="12:16">
      <c r="L5495"/>
      <c r="M5495"/>
      <c r="O5495"/>
      <c r="P5495"/>
    </row>
    <row r="5496" spans="12:16">
      <c r="L5496"/>
      <c r="M5496"/>
      <c r="O5496"/>
      <c r="P5496"/>
    </row>
    <row r="5497" spans="12:16">
      <c r="L5497"/>
      <c r="M5497"/>
      <c r="O5497"/>
      <c r="P5497"/>
    </row>
    <row r="5498" spans="12:16">
      <c r="L5498"/>
      <c r="M5498"/>
      <c r="O5498"/>
      <c r="P5498"/>
    </row>
    <row r="5499" spans="12:16">
      <c r="L5499"/>
      <c r="M5499"/>
      <c r="O5499"/>
      <c r="P5499"/>
    </row>
    <row r="5500" spans="12:16">
      <c r="L5500"/>
      <c r="M5500"/>
      <c r="O5500"/>
      <c r="P5500"/>
    </row>
    <row r="5501" spans="12:16">
      <c r="L5501"/>
      <c r="M5501"/>
      <c r="O5501"/>
      <c r="P5501"/>
    </row>
    <row r="5502" spans="12:16">
      <c r="L5502"/>
      <c r="M5502"/>
      <c r="O5502"/>
      <c r="P5502"/>
    </row>
    <row r="5503" spans="12:16">
      <c r="L5503"/>
      <c r="M5503"/>
      <c r="O5503"/>
      <c r="P5503"/>
    </row>
    <row r="5504" spans="12:16">
      <c r="L5504"/>
      <c r="M5504"/>
      <c r="O5504"/>
      <c r="P5504"/>
    </row>
    <row r="5505" spans="12:16">
      <c r="L5505"/>
      <c r="M5505"/>
      <c r="O5505"/>
      <c r="P5505"/>
    </row>
    <row r="5506" spans="12:16">
      <c r="L5506"/>
      <c r="M5506"/>
      <c r="O5506"/>
      <c r="P5506"/>
    </row>
    <row r="5507" spans="12:16">
      <c r="L5507"/>
      <c r="M5507"/>
      <c r="O5507"/>
      <c r="P5507"/>
    </row>
    <row r="5508" spans="12:16">
      <c r="L5508"/>
      <c r="M5508"/>
      <c r="O5508"/>
      <c r="P5508"/>
    </row>
    <row r="5509" spans="12:16">
      <c r="L5509"/>
      <c r="M5509"/>
      <c r="O5509"/>
      <c r="P5509"/>
    </row>
    <row r="5510" spans="12:16">
      <c r="L5510"/>
      <c r="M5510"/>
      <c r="O5510"/>
      <c r="P5510"/>
    </row>
    <row r="5511" spans="12:16">
      <c r="L5511"/>
      <c r="M5511"/>
      <c r="O5511"/>
      <c r="P5511"/>
    </row>
    <row r="5512" spans="12:16">
      <c r="L5512"/>
      <c r="M5512"/>
      <c r="O5512"/>
      <c r="P5512"/>
    </row>
    <row r="5513" spans="12:16">
      <c r="L5513"/>
      <c r="M5513"/>
      <c r="O5513"/>
      <c r="P5513"/>
    </row>
    <row r="5514" spans="12:16">
      <c r="L5514"/>
      <c r="M5514"/>
      <c r="O5514"/>
      <c r="P5514"/>
    </row>
    <row r="5515" spans="12:16">
      <c r="L5515"/>
      <c r="M5515"/>
      <c r="O5515"/>
      <c r="P5515"/>
    </row>
    <row r="5516" spans="12:16">
      <c r="L5516"/>
      <c r="M5516"/>
      <c r="O5516"/>
      <c r="P5516"/>
    </row>
    <row r="5517" spans="12:16">
      <c r="L5517"/>
      <c r="M5517"/>
      <c r="O5517"/>
      <c r="P5517"/>
    </row>
    <row r="5518" spans="12:16">
      <c r="L5518"/>
      <c r="M5518"/>
      <c r="O5518"/>
      <c r="P5518"/>
    </row>
    <row r="5519" spans="12:16">
      <c r="L5519"/>
      <c r="M5519"/>
      <c r="O5519"/>
      <c r="P5519"/>
    </row>
    <row r="5520" spans="12:16">
      <c r="L5520"/>
      <c r="M5520"/>
      <c r="O5520"/>
      <c r="P5520"/>
    </row>
    <row r="5521" spans="12:16">
      <c r="L5521"/>
      <c r="M5521"/>
      <c r="O5521"/>
      <c r="P5521"/>
    </row>
    <row r="5522" spans="12:16">
      <c r="L5522"/>
      <c r="M5522"/>
      <c r="O5522"/>
      <c r="P5522"/>
    </row>
    <row r="5523" spans="12:16">
      <c r="L5523"/>
      <c r="M5523"/>
      <c r="O5523"/>
      <c r="P5523"/>
    </row>
    <row r="5524" spans="12:16">
      <c r="L5524"/>
      <c r="M5524"/>
      <c r="O5524"/>
      <c r="P5524"/>
    </row>
    <row r="5525" spans="12:16">
      <c r="L5525"/>
      <c r="M5525"/>
      <c r="O5525"/>
      <c r="P5525"/>
    </row>
    <row r="5526" spans="12:16">
      <c r="L5526"/>
      <c r="M5526"/>
      <c r="O5526"/>
      <c r="P5526"/>
    </row>
    <row r="5527" spans="12:16">
      <c r="L5527"/>
      <c r="M5527"/>
      <c r="O5527"/>
      <c r="P5527"/>
    </row>
    <row r="5528" spans="12:16">
      <c r="L5528"/>
      <c r="M5528"/>
      <c r="O5528"/>
      <c r="P5528"/>
    </row>
    <row r="5529" spans="12:16">
      <c r="L5529"/>
      <c r="M5529"/>
      <c r="O5529"/>
      <c r="P5529"/>
    </row>
    <row r="5530" spans="12:16">
      <c r="L5530"/>
      <c r="M5530"/>
      <c r="O5530"/>
      <c r="P5530"/>
    </row>
    <row r="5531" spans="12:16">
      <c r="L5531"/>
      <c r="M5531"/>
      <c r="O5531"/>
      <c r="P5531"/>
    </row>
    <row r="5532" spans="12:16">
      <c r="L5532"/>
      <c r="M5532"/>
      <c r="O5532"/>
      <c r="P5532"/>
    </row>
    <row r="5533" spans="12:16">
      <c r="L5533"/>
      <c r="M5533"/>
      <c r="O5533"/>
      <c r="P5533"/>
    </row>
    <row r="5534" spans="12:16">
      <c r="L5534"/>
      <c r="M5534"/>
      <c r="O5534"/>
      <c r="P5534"/>
    </row>
    <row r="5535" spans="12:16">
      <c r="L5535"/>
      <c r="M5535"/>
      <c r="O5535"/>
      <c r="P5535"/>
    </row>
    <row r="5536" spans="12:16">
      <c r="L5536"/>
      <c r="M5536"/>
      <c r="O5536"/>
      <c r="P5536"/>
    </row>
    <row r="5537" spans="12:16">
      <c r="L5537"/>
      <c r="M5537"/>
      <c r="O5537"/>
      <c r="P5537"/>
    </row>
    <row r="5538" spans="12:16">
      <c r="L5538"/>
      <c r="M5538"/>
      <c r="O5538"/>
      <c r="P5538"/>
    </row>
    <row r="5539" spans="12:16">
      <c r="L5539"/>
      <c r="M5539"/>
      <c r="O5539"/>
      <c r="P5539"/>
    </row>
    <row r="5540" spans="12:16">
      <c r="L5540"/>
      <c r="M5540"/>
      <c r="O5540"/>
      <c r="P5540"/>
    </row>
    <row r="5541" spans="12:16">
      <c r="L5541"/>
      <c r="M5541"/>
      <c r="O5541"/>
      <c r="P5541"/>
    </row>
    <row r="5542" spans="12:16">
      <c r="L5542"/>
      <c r="M5542"/>
      <c r="O5542"/>
      <c r="P5542"/>
    </row>
    <row r="5543" spans="12:16">
      <c r="L5543"/>
      <c r="M5543"/>
      <c r="O5543"/>
      <c r="P5543"/>
    </row>
    <row r="5544" spans="12:16">
      <c r="L5544"/>
      <c r="M5544"/>
      <c r="O5544"/>
      <c r="P5544"/>
    </row>
    <row r="5545" spans="12:16">
      <c r="L5545"/>
      <c r="M5545"/>
      <c r="O5545"/>
      <c r="P5545"/>
    </row>
    <row r="5546" spans="12:16">
      <c r="L5546"/>
      <c r="M5546"/>
      <c r="O5546"/>
      <c r="P5546"/>
    </row>
    <row r="5547" spans="12:16">
      <c r="L5547"/>
      <c r="M5547"/>
      <c r="O5547"/>
      <c r="P5547"/>
    </row>
    <row r="5548" spans="12:16">
      <c r="L5548"/>
      <c r="M5548"/>
      <c r="O5548"/>
      <c r="P5548"/>
    </row>
    <row r="5549" spans="12:16">
      <c r="L5549"/>
      <c r="M5549"/>
      <c r="O5549"/>
      <c r="P5549"/>
    </row>
    <row r="5550" spans="12:16">
      <c r="L5550"/>
      <c r="M5550"/>
      <c r="O5550"/>
      <c r="P5550"/>
    </row>
    <row r="5551" spans="12:16">
      <c r="L5551"/>
      <c r="M5551"/>
      <c r="O5551"/>
      <c r="P5551"/>
    </row>
    <row r="5552" spans="12:16">
      <c r="L5552"/>
      <c r="M5552"/>
      <c r="O5552"/>
      <c r="P5552"/>
    </row>
    <row r="5553" spans="12:16">
      <c r="L5553"/>
      <c r="M5553"/>
      <c r="O5553"/>
      <c r="P5553"/>
    </row>
    <row r="5554" spans="12:16">
      <c r="L5554"/>
      <c r="M5554"/>
      <c r="O5554"/>
      <c r="P5554"/>
    </row>
    <row r="5555" spans="12:16">
      <c r="L5555"/>
      <c r="M5555"/>
      <c r="O5555"/>
      <c r="P5555"/>
    </row>
    <row r="5556" spans="12:16">
      <c r="L5556"/>
      <c r="M5556"/>
      <c r="O5556"/>
      <c r="P5556"/>
    </row>
    <row r="5557" spans="12:16">
      <c r="L5557"/>
      <c r="M5557"/>
      <c r="O5557"/>
      <c r="P5557"/>
    </row>
    <row r="5558" spans="12:16">
      <c r="L5558"/>
      <c r="M5558"/>
      <c r="O5558"/>
      <c r="P5558"/>
    </row>
    <row r="5559" spans="12:16">
      <c r="L5559"/>
      <c r="M5559"/>
      <c r="O5559"/>
      <c r="P5559"/>
    </row>
    <row r="5560" spans="12:16">
      <c r="L5560"/>
      <c r="M5560"/>
      <c r="O5560"/>
      <c r="P5560"/>
    </row>
    <row r="5561" spans="12:16">
      <c r="L5561"/>
      <c r="M5561"/>
      <c r="O5561"/>
      <c r="P5561"/>
    </row>
    <row r="5562" spans="12:16">
      <c r="L5562"/>
      <c r="M5562"/>
      <c r="O5562"/>
      <c r="P5562"/>
    </row>
    <row r="5563" spans="12:16">
      <c r="L5563"/>
      <c r="M5563"/>
      <c r="O5563"/>
      <c r="P5563"/>
    </row>
    <row r="5564" spans="12:16">
      <c r="L5564"/>
      <c r="M5564"/>
      <c r="O5564"/>
      <c r="P5564"/>
    </row>
    <row r="5565" spans="12:16">
      <c r="L5565"/>
      <c r="M5565"/>
      <c r="O5565"/>
      <c r="P5565"/>
    </row>
    <row r="5566" spans="12:16">
      <c r="L5566"/>
      <c r="M5566"/>
      <c r="O5566"/>
      <c r="P5566"/>
    </row>
    <row r="5567" spans="12:16">
      <c r="L5567"/>
      <c r="M5567"/>
      <c r="O5567"/>
      <c r="P5567"/>
    </row>
    <row r="5568" spans="12:16">
      <c r="L5568"/>
      <c r="M5568"/>
      <c r="O5568"/>
      <c r="P5568"/>
    </row>
    <row r="5569" spans="12:16">
      <c r="L5569"/>
      <c r="M5569"/>
      <c r="O5569"/>
      <c r="P5569"/>
    </row>
    <row r="5570" spans="12:16">
      <c r="L5570"/>
      <c r="M5570"/>
      <c r="O5570"/>
      <c r="P5570"/>
    </row>
    <row r="5571" spans="12:16">
      <c r="L5571"/>
      <c r="M5571"/>
      <c r="O5571"/>
      <c r="P5571"/>
    </row>
    <row r="5572" spans="12:16">
      <c r="L5572"/>
      <c r="M5572"/>
      <c r="O5572"/>
      <c r="P5572"/>
    </row>
    <row r="5573" spans="12:16">
      <c r="L5573"/>
      <c r="M5573"/>
      <c r="O5573"/>
      <c r="P5573"/>
    </row>
    <row r="5574" spans="12:16">
      <c r="L5574"/>
      <c r="M5574"/>
      <c r="O5574"/>
      <c r="P5574"/>
    </row>
    <row r="5575" spans="12:16">
      <c r="L5575"/>
      <c r="M5575"/>
      <c r="O5575"/>
      <c r="P5575"/>
    </row>
    <row r="5576" spans="12:16">
      <c r="L5576"/>
      <c r="M5576"/>
      <c r="O5576"/>
      <c r="P5576"/>
    </row>
    <row r="5577" spans="12:16">
      <c r="L5577"/>
      <c r="M5577"/>
      <c r="O5577"/>
      <c r="P5577"/>
    </row>
    <row r="5578" spans="12:16">
      <c r="L5578"/>
      <c r="M5578"/>
      <c r="O5578"/>
      <c r="P5578"/>
    </row>
    <row r="5579" spans="12:16">
      <c r="L5579"/>
      <c r="M5579"/>
      <c r="O5579"/>
      <c r="P5579"/>
    </row>
    <row r="5580" spans="12:16">
      <c r="L5580"/>
      <c r="M5580"/>
      <c r="O5580"/>
      <c r="P5580"/>
    </row>
    <row r="5581" spans="12:16">
      <c r="L5581"/>
      <c r="M5581"/>
      <c r="O5581"/>
      <c r="P5581"/>
    </row>
    <row r="5582" spans="12:16">
      <c r="L5582"/>
      <c r="M5582"/>
      <c r="O5582"/>
      <c r="P5582"/>
    </row>
    <row r="5583" spans="12:16">
      <c r="L5583"/>
      <c r="M5583"/>
      <c r="O5583"/>
      <c r="P5583"/>
    </row>
    <row r="5584" spans="12:16">
      <c r="L5584"/>
      <c r="M5584"/>
      <c r="O5584"/>
      <c r="P5584"/>
    </row>
    <row r="5585" spans="12:16">
      <c r="L5585"/>
      <c r="M5585"/>
      <c r="O5585"/>
      <c r="P5585"/>
    </row>
    <row r="5586" spans="12:16">
      <c r="L5586"/>
      <c r="M5586"/>
      <c r="O5586"/>
      <c r="P5586"/>
    </row>
    <row r="5587" spans="12:16">
      <c r="L5587"/>
      <c r="M5587"/>
      <c r="O5587"/>
      <c r="P5587"/>
    </row>
    <row r="5588" spans="12:16">
      <c r="L5588"/>
      <c r="M5588"/>
      <c r="O5588"/>
      <c r="P5588"/>
    </row>
    <row r="5589" spans="12:16">
      <c r="L5589"/>
      <c r="M5589"/>
      <c r="O5589"/>
      <c r="P5589"/>
    </row>
    <row r="5590" spans="12:16">
      <c r="L5590"/>
      <c r="M5590"/>
      <c r="O5590"/>
      <c r="P5590"/>
    </row>
    <row r="5591" spans="12:16">
      <c r="L5591"/>
      <c r="M5591"/>
      <c r="O5591"/>
      <c r="P5591"/>
    </row>
    <row r="5592" spans="12:16">
      <c r="L5592"/>
      <c r="M5592"/>
      <c r="O5592"/>
      <c r="P5592"/>
    </row>
    <row r="5593" spans="12:16">
      <c r="L5593"/>
      <c r="M5593"/>
      <c r="O5593"/>
      <c r="P5593"/>
    </row>
    <row r="5594" spans="12:16">
      <c r="L5594"/>
      <c r="M5594"/>
      <c r="O5594"/>
      <c r="P5594"/>
    </row>
    <row r="5595" spans="12:16">
      <c r="L5595"/>
      <c r="M5595"/>
      <c r="O5595"/>
      <c r="P5595"/>
    </row>
    <row r="5596" spans="12:16">
      <c r="L5596"/>
      <c r="M5596"/>
      <c r="O5596"/>
      <c r="P5596"/>
    </row>
    <row r="5597" spans="12:16">
      <c r="L5597"/>
      <c r="M5597"/>
      <c r="O5597"/>
      <c r="P5597"/>
    </row>
    <row r="5598" spans="12:16">
      <c r="L5598"/>
      <c r="M5598"/>
      <c r="O5598"/>
      <c r="P5598"/>
    </row>
    <row r="5599" spans="12:16">
      <c r="L5599"/>
      <c r="M5599"/>
      <c r="O5599"/>
      <c r="P5599"/>
    </row>
    <row r="5600" spans="12:16">
      <c r="L5600"/>
      <c r="M5600"/>
      <c r="O5600"/>
      <c r="P5600"/>
    </row>
    <row r="5601" spans="12:16">
      <c r="L5601"/>
      <c r="M5601"/>
      <c r="O5601"/>
      <c r="P5601"/>
    </row>
    <row r="5602" spans="12:16">
      <c r="L5602"/>
      <c r="M5602"/>
      <c r="O5602"/>
      <c r="P5602"/>
    </row>
    <row r="5603" spans="12:16">
      <c r="L5603"/>
      <c r="M5603"/>
      <c r="O5603"/>
      <c r="P5603"/>
    </row>
    <row r="5604" spans="12:16">
      <c r="L5604"/>
      <c r="M5604"/>
      <c r="O5604"/>
      <c r="P5604"/>
    </row>
    <row r="5605" spans="12:16">
      <c r="L5605"/>
      <c r="M5605"/>
      <c r="O5605"/>
      <c r="P5605"/>
    </row>
    <row r="5606" spans="12:16">
      <c r="L5606"/>
      <c r="M5606"/>
      <c r="O5606"/>
      <c r="P5606"/>
    </row>
    <row r="5607" spans="12:16">
      <c r="L5607"/>
      <c r="M5607"/>
      <c r="O5607"/>
      <c r="P5607"/>
    </row>
    <row r="5608" spans="12:16">
      <c r="L5608"/>
      <c r="M5608"/>
      <c r="O5608"/>
      <c r="P5608"/>
    </row>
    <row r="5609" spans="12:16">
      <c r="L5609"/>
      <c r="M5609"/>
      <c r="O5609"/>
      <c r="P5609"/>
    </row>
    <row r="5610" spans="12:16">
      <c r="L5610"/>
      <c r="M5610"/>
      <c r="O5610"/>
      <c r="P5610"/>
    </row>
    <row r="5611" spans="12:16">
      <c r="L5611"/>
      <c r="M5611"/>
      <c r="O5611"/>
      <c r="P5611"/>
    </row>
    <row r="5612" spans="12:16">
      <c r="L5612"/>
      <c r="M5612"/>
      <c r="O5612"/>
      <c r="P5612"/>
    </row>
    <row r="5613" spans="12:16">
      <c r="L5613"/>
      <c r="M5613"/>
      <c r="O5613"/>
      <c r="P5613"/>
    </row>
    <row r="5614" spans="12:16">
      <c r="L5614"/>
      <c r="M5614"/>
      <c r="O5614"/>
      <c r="P5614"/>
    </row>
    <row r="5615" spans="12:16">
      <c r="L5615"/>
      <c r="M5615"/>
      <c r="O5615"/>
      <c r="P5615"/>
    </row>
    <row r="5616" spans="12:16">
      <c r="L5616"/>
      <c r="M5616"/>
      <c r="O5616"/>
      <c r="P5616"/>
    </row>
    <row r="5617" spans="12:16">
      <c r="L5617"/>
      <c r="M5617"/>
      <c r="O5617"/>
      <c r="P5617"/>
    </row>
    <row r="5618" spans="12:16">
      <c r="L5618"/>
      <c r="M5618"/>
      <c r="O5618"/>
      <c r="P5618"/>
    </row>
    <row r="5619" spans="12:16">
      <c r="L5619"/>
      <c r="M5619"/>
      <c r="O5619"/>
      <c r="P5619"/>
    </row>
    <row r="5620" spans="12:16">
      <c r="L5620"/>
      <c r="M5620"/>
      <c r="O5620"/>
      <c r="P5620"/>
    </row>
    <row r="5621" spans="12:16">
      <c r="L5621"/>
      <c r="M5621"/>
      <c r="O5621"/>
      <c r="P5621"/>
    </row>
    <row r="5622" spans="12:16">
      <c r="L5622"/>
      <c r="M5622"/>
      <c r="O5622"/>
      <c r="P5622"/>
    </row>
    <row r="5623" spans="12:16">
      <c r="L5623"/>
      <c r="M5623"/>
      <c r="O5623"/>
      <c r="P5623"/>
    </row>
    <row r="5624" spans="12:16">
      <c r="L5624"/>
      <c r="M5624"/>
      <c r="O5624"/>
      <c r="P5624"/>
    </row>
    <row r="5625" spans="12:16">
      <c r="L5625"/>
      <c r="M5625"/>
      <c r="O5625"/>
      <c r="P5625"/>
    </row>
    <row r="5626" spans="12:16">
      <c r="L5626"/>
      <c r="M5626"/>
      <c r="O5626"/>
      <c r="P5626"/>
    </row>
    <row r="5627" spans="12:16">
      <c r="L5627"/>
      <c r="M5627"/>
      <c r="O5627"/>
      <c r="P5627"/>
    </row>
    <row r="5628" spans="12:16">
      <c r="L5628"/>
      <c r="M5628"/>
      <c r="O5628"/>
      <c r="P5628"/>
    </row>
    <row r="5629" spans="12:16">
      <c r="L5629"/>
      <c r="M5629"/>
      <c r="O5629"/>
      <c r="P5629"/>
    </row>
    <row r="5630" spans="12:16">
      <c r="L5630"/>
      <c r="M5630"/>
      <c r="O5630"/>
      <c r="P5630"/>
    </row>
    <row r="5631" spans="12:16">
      <c r="L5631"/>
      <c r="M5631"/>
      <c r="O5631"/>
      <c r="P5631"/>
    </row>
    <row r="5632" spans="12:16">
      <c r="L5632"/>
      <c r="M5632"/>
      <c r="O5632"/>
      <c r="P5632"/>
    </row>
    <row r="5633" spans="12:16">
      <c r="L5633"/>
      <c r="M5633"/>
      <c r="O5633"/>
      <c r="P5633"/>
    </row>
    <row r="5634" spans="12:16">
      <c r="L5634"/>
      <c r="M5634"/>
      <c r="O5634"/>
      <c r="P5634"/>
    </row>
    <row r="5635" spans="12:16">
      <c r="L5635"/>
      <c r="M5635"/>
      <c r="O5635"/>
      <c r="P5635"/>
    </row>
    <row r="5636" spans="12:16">
      <c r="L5636"/>
      <c r="M5636"/>
      <c r="O5636"/>
      <c r="P5636"/>
    </row>
    <row r="5637" spans="12:16">
      <c r="L5637"/>
      <c r="M5637"/>
      <c r="O5637"/>
      <c r="P5637"/>
    </row>
    <row r="5638" spans="12:16">
      <c r="L5638"/>
      <c r="M5638"/>
      <c r="O5638"/>
      <c r="P5638"/>
    </row>
    <row r="5639" spans="12:16">
      <c r="L5639"/>
      <c r="M5639"/>
      <c r="O5639"/>
      <c r="P5639"/>
    </row>
    <row r="5640" spans="12:16">
      <c r="L5640"/>
      <c r="M5640"/>
      <c r="O5640"/>
      <c r="P5640"/>
    </row>
    <row r="5641" spans="12:16">
      <c r="L5641"/>
      <c r="M5641"/>
      <c r="O5641"/>
      <c r="P5641"/>
    </row>
    <row r="5642" spans="12:16">
      <c r="L5642"/>
      <c r="M5642"/>
      <c r="O5642"/>
      <c r="P5642"/>
    </row>
    <row r="5643" spans="12:16">
      <c r="L5643"/>
      <c r="M5643"/>
      <c r="O5643"/>
      <c r="P5643"/>
    </row>
    <row r="5644" spans="12:16">
      <c r="L5644"/>
      <c r="M5644"/>
      <c r="O5644"/>
      <c r="P5644"/>
    </row>
    <row r="5645" spans="12:16">
      <c r="L5645"/>
      <c r="M5645"/>
      <c r="O5645"/>
      <c r="P5645"/>
    </row>
    <row r="5646" spans="12:16">
      <c r="L5646"/>
      <c r="M5646"/>
      <c r="O5646"/>
      <c r="P5646"/>
    </row>
    <row r="5647" spans="12:16">
      <c r="L5647"/>
      <c r="M5647"/>
      <c r="O5647"/>
      <c r="P5647"/>
    </row>
    <row r="5648" spans="12:16">
      <c r="L5648"/>
      <c r="M5648"/>
      <c r="O5648"/>
      <c r="P5648"/>
    </row>
    <row r="5649" spans="12:16">
      <c r="L5649"/>
      <c r="M5649"/>
      <c r="O5649"/>
      <c r="P5649"/>
    </row>
    <row r="5650" spans="12:16">
      <c r="L5650"/>
      <c r="M5650"/>
      <c r="O5650"/>
      <c r="P5650"/>
    </row>
    <row r="5651" spans="12:16">
      <c r="L5651"/>
      <c r="M5651"/>
      <c r="O5651"/>
      <c r="P5651"/>
    </row>
    <row r="5652" spans="12:16">
      <c r="L5652"/>
      <c r="M5652"/>
      <c r="O5652"/>
      <c r="P5652"/>
    </row>
    <row r="5653" spans="12:16">
      <c r="L5653"/>
      <c r="M5653"/>
      <c r="O5653"/>
      <c r="P5653"/>
    </row>
    <row r="5654" spans="12:16">
      <c r="L5654"/>
      <c r="M5654"/>
      <c r="O5654"/>
      <c r="P5654"/>
    </row>
    <row r="5655" spans="12:16">
      <c r="L5655"/>
      <c r="M5655"/>
      <c r="O5655"/>
      <c r="P5655"/>
    </row>
    <row r="5656" spans="12:16">
      <c r="L5656"/>
      <c r="M5656"/>
      <c r="O5656"/>
      <c r="P5656"/>
    </row>
    <row r="5657" spans="12:16">
      <c r="L5657"/>
      <c r="M5657"/>
      <c r="O5657"/>
      <c r="P5657"/>
    </row>
    <row r="5658" spans="12:16">
      <c r="L5658"/>
      <c r="M5658"/>
      <c r="O5658"/>
      <c r="P5658"/>
    </row>
    <row r="5659" spans="12:16">
      <c r="L5659"/>
      <c r="M5659"/>
      <c r="O5659"/>
      <c r="P5659"/>
    </row>
    <row r="5660" spans="12:16">
      <c r="L5660"/>
      <c r="M5660"/>
      <c r="O5660"/>
      <c r="P5660"/>
    </row>
    <row r="5661" spans="12:16">
      <c r="L5661"/>
      <c r="M5661"/>
      <c r="O5661"/>
      <c r="P5661"/>
    </row>
    <row r="5662" spans="12:16">
      <c r="L5662"/>
      <c r="M5662"/>
      <c r="O5662"/>
      <c r="P5662"/>
    </row>
    <row r="5663" spans="12:16">
      <c r="L5663"/>
      <c r="M5663"/>
      <c r="O5663"/>
      <c r="P5663"/>
    </row>
    <row r="5664" spans="12:16">
      <c r="L5664"/>
      <c r="M5664"/>
      <c r="O5664"/>
      <c r="P5664"/>
    </row>
    <row r="5665" spans="12:16">
      <c r="L5665"/>
      <c r="M5665"/>
      <c r="O5665"/>
      <c r="P5665"/>
    </row>
    <row r="5666" spans="12:16">
      <c r="L5666"/>
      <c r="M5666"/>
      <c r="O5666"/>
      <c r="P5666"/>
    </row>
    <row r="5667" spans="12:16">
      <c r="L5667"/>
      <c r="M5667"/>
      <c r="O5667"/>
      <c r="P5667"/>
    </row>
    <row r="5668" spans="12:16">
      <c r="L5668"/>
      <c r="M5668"/>
      <c r="O5668"/>
      <c r="P5668"/>
    </row>
    <row r="5669" spans="12:16">
      <c r="L5669"/>
      <c r="M5669"/>
      <c r="O5669"/>
      <c r="P5669"/>
    </row>
    <row r="5670" spans="12:16">
      <c r="L5670"/>
      <c r="M5670"/>
      <c r="O5670"/>
      <c r="P5670"/>
    </row>
    <row r="5671" spans="12:16">
      <c r="L5671"/>
      <c r="M5671"/>
      <c r="O5671"/>
      <c r="P5671"/>
    </row>
    <row r="5672" spans="12:16">
      <c r="L5672"/>
      <c r="M5672"/>
      <c r="O5672"/>
      <c r="P5672"/>
    </row>
    <row r="5673" spans="12:16">
      <c r="L5673"/>
      <c r="M5673"/>
      <c r="O5673"/>
      <c r="P5673"/>
    </row>
    <row r="5674" spans="12:16">
      <c r="L5674"/>
      <c r="M5674"/>
      <c r="O5674"/>
      <c r="P5674"/>
    </row>
    <row r="5675" spans="12:16">
      <c r="L5675"/>
      <c r="M5675"/>
      <c r="O5675"/>
      <c r="P5675"/>
    </row>
    <row r="5676" spans="12:16">
      <c r="L5676"/>
      <c r="M5676"/>
      <c r="O5676"/>
      <c r="P5676"/>
    </row>
    <row r="5677" spans="12:16">
      <c r="L5677"/>
      <c r="M5677"/>
      <c r="O5677"/>
      <c r="P5677"/>
    </row>
    <row r="5678" spans="12:16">
      <c r="L5678"/>
      <c r="M5678"/>
      <c r="O5678"/>
      <c r="P5678"/>
    </row>
    <row r="5679" spans="12:16">
      <c r="L5679"/>
      <c r="M5679"/>
      <c r="O5679"/>
      <c r="P5679"/>
    </row>
    <row r="5680" spans="12:16">
      <c r="L5680"/>
      <c r="M5680"/>
      <c r="O5680"/>
      <c r="P5680"/>
    </row>
    <row r="5681" spans="12:16">
      <c r="L5681"/>
      <c r="M5681"/>
      <c r="O5681"/>
      <c r="P5681"/>
    </row>
    <row r="5682" spans="12:16">
      <c r="L5682"/>
      <c r="M5682"/>
      <c r="O5682"/>
      <c r="P5682"/>
    </row>
    <row r="5683" spans="12:16">
      <c r="L5683"/>
      <c r="M5683"/>
      <c r="O5683"/>
      <c r="P5683"/>
    </row>
    <row r="5684" spans="12:16">
      <c r="L5684"/>
      <c r="M5684"/>
      <c r="O5684"/>
      <c r="P5684"/>
    </row>
    <row r="5685" spans="12:16">
      <c r="L5685"/>
      <c r="M5685"/>
      <c r="O5685"/>
      <c r="P5685"/>
    </row>
    <row r="5686" spans="12:16">
      <c r="L5686"/>
      <c r="M5686"/>
      <c r="O5686"/>
      <c r="P5686"/>
    </row>
    <row r="5687" spans="12:16">
      <c r="L5687"/>
      <c r="M5687"/>
      <c r="O5687"/>
      <c r="P5687"/>
    </row>
    <row r="5688" spans="12:16">
      <c r="L5688"/>
      <c r="M5688"/>
      <c r="O5688"/>
      <c r="P5688"/>
    </row>
    <row r="5689" spans="12:16">
      <c r="L5689"/>
      <c r="M5689"/>
      <c r="O5689"/>
      <c r="P5689"/>
    </row>
    <row r="5690" spans="12:16">
      <c r="L5690"/>
      <c r="M5690"/>
      <c r="O5690"/>
      <c r="P5690"/>
    </row>
    <row r="5691" spans="12:16">
      <c r="L5691"/>
      <c r="M5691"/>
      <c r="O5691"/>
      <c r="P5691"/>
    </row>
    <row r="5692" spans="12:16">
      <c r="L5692"/>
      <c r="M5692"/>
      <c r="O5692"/>
      <c r="P5692"/>
    </row>
    <row r="5693" spans="12:16">
      <c r="L5693"/>
      <c r="M5693"/>
      <c r="O5693"/>
      <c r="P5693"/>
    </row>
    <row r="5694" spans="12:16">
      <c r="L5694"/>
      <c r="M5694"/>
      <c r="O5694"/>
      <c r="P5694"/>
    </row>
    <row r="5695" spans="12:16">
      <c r="L5695"/>
      <c r="M5695"/>
      <c r="O5695"/>
      <c r="P5695"/>
    </row>
    <row r="5696" spans="12:16">
      <c r="L5696"/>
      <c r="M5696"/>
      <c r="O5696"/>
      <c r="P5696"/>
    </row>
    <row r="5697" spans="12:16">
      <c r="L5697"/>
      <c r="M5697"/>
      <c r="O5697"/>
      <c r="P5697"/>
    </row>
    <row r="5698" spans="12:16">
      <c r="L5698"/>
      <c r="M5698"/>
      <c r="O5698"/>
      <c r="P5698"/>
    </row>
    <row r="5699" spans="12:16">
      <c r="L5699"/>
      <c r="M5699"/>
      <c r="O5699"/>
      <c r="P5699"/>
    </row>
    <row r="5700" spans="12:16">
      <c r="L5700"/>
      <c r="M5700"/>
      <c r="O5700"/>
      <c r="P5700"/>
    </row>
    <row r="5701" spans="12:16">
      <c r="L5701"/>
      <c r="M5701"/>
      <c r="O5701"/>
      <c r="P5701"/>
    </row>
    <row r="5702" spans="12:16">
      <c r="L5702"/>
      <c r="M5702"/>
      <c r="O5702"/>
      <c r="P5702"/>
    </row>
    <row r="5703" spans="12:16">
      <c r="L5703"/>
      <c r="M5703"/>
      <c r="O5703"/>
      <c r="P5703"/>
    </row>
    <row r="5704" spans="12:16">
      <c r="L5704"/>
      <c r="M5704"/>
      <c r="O5704"/>
      <c r="P5704"/>
    </row>
    <row r="5705" spans="12:16">
      <c r="L5705"/>
      <c r="M5705"/>
      <c r="O5705"/>
      <c r="P5705"/>
    </row>
    <row r="5706" spans="12:16">
      <c r="L5706"/>
      <c r="M5706"/>
      <c r="O5706"/>
      <c r="P5706"/>
    </row>
    <row r="5707" spans="12:16">
      <c r="L5707"/>
      <c r="M5707"/>
      <c r="O5707"/>
      <c r="P5707"/>
    </row>
    <row r="5708" spans="12:16">
      <c r="L5708"/>
      <c r="M5708"/>
      <c r="O5708"/>
      <c r="P5708"/>
    </row>
    <row r="5709" spans="12:16">
      <c r="L5709"/>
      <c r="M5709"/>
      <c r="O5709"/>
      <c r="P5709"/>
    </row>
    <row r="5710" spans="12:16">
      <c r="L5710"/>
      <c r="M5710"/>
      <c r="O5710"/>
      <c r="P5710"/>
    </row>
    <row r="5711" spans="12:16">
      <c r="L5711"/>
      <c r="M5711"/>
      <c r="O5711"/>
      <c r="P5711"/>
    </row>
    <row r="5712" spans="12:16">
      <c r="L5712"/>
      <c r="M5712"/>
      <c r="O5712"/>
      <c r="P5712"/>
    </row>
    <row r="5713" spans="12:16">
      <c r="L5713"/>
      <c r="M5713"/>
      <c r="O5713"/>
      <c r="P5713"/>
    </row>
    <row r="5714" spans="12:16">
      <c r="L5714"/>
      <c r="M5714"/>
      <c r="O5714"/>
      <c r="P5714"/>
    </row>
    <row r="5715" spans="12:16">
      <c r="L5715"/>
      <c r="M5715"/>
      <c r="O5715"/>
      <c r="P5715"/>
    </row>
    <row r="5716" spans="12:16">
      <c r="L5716"/>
      <c r="M5716"/>
      <c r="O5716"/>
      <c r="P5716"/>
    </row>
    <row r="5717" spans="12:16">
      <c r="L5717"/>
      <c r="M5717"/>
      <c r="O5717"/>
      <c r="P5717"/>
    </row>
    <row r="5718" spans="12:16">
      <c r="L5718"/>
      <c r="M5718"/>
      <c r="O5718"/>
      <c r="P5718"/>
    </row>
    <row r="5719" spans="12:16">
      <c r="L5719"/>
      <c r="M5719"/>
      <c r="O5719"/>
      <c r="P5719"/>
    </row>
    <row r="5720" spans="12:16">
      <c r="L5720"/>
      <c r="M5720"/>
      <c r="O5720"/>
      <c r="P5720"/>
    </row>
    <row r="5721" spans="12:16">
      <c r="L5721"/>
      <c r="M5721"/>
      <c r="O5721"/>
      <c r="P5721"/>
    </row>
    <row r="5722" spans="12:16">
      <c r="L5722"/>
      <c r="M5722"/>
      <c r="O5722"/>
      <c r="P5722"/>
    </row>
    <row r="5723" spans="12:16">
      <c r="L5723"/>
      <c r="M5723"/>
      <c r="O5723"/>
      <c r="P5723"/>
    </row>
    <row r="5724" spans="12:16">
      <c r="L5724"/>
      <c r="M5724"/>
      <c r="O5724"/>
      <c r="P5724"/>
    </row>
    <row r="5725" spans="12:16">
      <c r="L5725"/>
      <c r="M5725"/>
      <c r="O5725"/>
      <c r="P5725"/>
    </row>
    <row r="5726" spans="12:16">
      <c r="L5726"/>
      <c r="M5726"/>
      <c r="O5726"/>
      <c r="P5726"/>
    </row>
    <row r="5727" spans="12:16">
      <c r="L5727"/>
      <c r="M5727"/>
      <c r="O5727"/>
      <c r="P5727"/>
    </row>
    <row r="5728" spans="12:16">
      <c r="L5728"/>
      <c r="M5728"/>
      <c r="O5728"/>
      <c r="P5728"/>
    </row>
    <row r="5729" spans="12:16">
      <c r="L5729"/>
      <c r="M5729"/>
      <c r="O5729"/>
      <c r="P5729"/>
    </row>
    <row r="5730" spans="12:16">
      <c r="L5730"/>
      <c r="M5730"/>
      <c r="O5730"/>
      <c r="P5730"/>
    </row>
    <row r="5731" spans="12:16">
      <c r="L5731"/>
      <c r="M5731"/>
      <c r="O5731"/>
      <c r="P5731"/>
    </row>
    <row r="5732" spans="12:16">
      <c r="L5732"/>
      <c r="M5732"/>
      <c r="O5732"/>
      <c r="P5732"/>
    </row>
    <row r="5733" spans="12:16">
      <c r="L5733"/>
      <c r="M5733"/>
      <c r="O5733"/>
      <c r="P5733"/>
    </row>
    <row r="5734" spans="12:16">
      <c r="L5734"/>
      <c r="M5734"/>
      <c r="O5734"/>
      <c r="P5734"/>
    </row>
    <row r="5735" spans="12:16">
      <c r="L5735"/>
      <c r="M5735"/>
      <c r="O5735"/>
      <c r="P5735"/>
    </row>
    <row r="5736" spans="12:16">
      <c r="L5736"/>
      <c r="M5736"/>
      <c r="O5736"/>
      <c r="P5736"/>
    </row>
    <row r="5737" spans="12:16">
      <c r="L5737"/>
      <c r="M5737"/>
      <c r="O5737"/>
      <c r="P5737"/>
    </row>
    <row r="5738" spans="12:16">
      <c r="L5738"/>
      <c r="M5738"/>
      <c r="O5738"/>
      <c r="P5738"/>
    </row>
    <row r="5739" spans="12:16">
      <c r="L5739"/>
      <c r="M5739"/>
      <c r="O5739"/>
      <c r="P5739"/>
    </row>
    <row r="5740" spans="12:16">
      <c r="L5740"/>
      <c r="M5740"/>
      <c r="O5740"/>
      <c r="P5740"/>
    </row>
    <row r="5741" spans="12:16">
      <c r="L5741"/>
      <c r="M5741"/>
      <c r="O5741"/>
      <c r="P5741"/>
    </row>
    <row r="5742" spans="12:16">
      <c r="L5742"/>
      <c r="M5742"/>
      <c r="O5742"/>
      <c r="P5742"/>
    </row>
    <row r="5743" spans="12:16">
      <c r="L5743"/>
      <c r="M5743"/>
      <c r="O5743"/>
      <c r="P5743"/>
    </row>
    <row r="5744" spans="12:16">
      <c r="L5744"/>
      <c r="M5744"/>
      <c r="O5744"/>
      <c r="P5744"/>
    </row>
    <row r="5745" spans="12:16">
      <c r="L5745"/>
      <c r="M5745"/>
      <c r="O5745"/>
      <c r="P5745"/>
    </row>
    <row r="5746" spans="12:16">
      <c r="L5746"/>
      <c r="M5746"/>
      <c r="O5746"/>
      <c r="P5746"/>
    </row>
    <row r="5747" spans="12:16">
      <c r="L5747"/>
      <c r="M5747"/>
      <c r="O5747"/>
      <c r="P5747"/>
    </row>
    <row r="5748" spans="12:16">
      <c r="L5748"/>
      <c r="M5748"/>
      <c r="O5748"/>
      <c r="P5748"/>
    </row>
    <row r="5749" spans="12:16">
      <c r="L5749"/>
      <c r="M5749"/>
      <c r="O5749"/>
      <c r="P5749"/>
    </row>
    <row r="5750" spans="12:16">
      <c r="L5750"/>
      <c r="M5750"/>
      <c r="O5750"/>
      <c r="P5750"/>
    </row>
    <row r="5751" spans="12:16">
      <c r="L5751"/>
      <c r="M5751"/>
      <c r="O5751"/>
      <c r="P5751"/>
    </row>
    <row r="5752" spans="12:16">
      <c r="L5752"/>
      <c r="M5752"/>
      <c r="O5752"/>
      <c r="P5752"/>
    </row>
    <row r="5753" spans="12:16">
      <c r="L5753"/>
      <c r="M5753"/>
      <c r="O5753"/>
      <c r="P5753"/>
    </row>
    <row r="5754" spans="12:16">
      <c r="L5754"/>
      <c r="M5754"/>
      <c r="O5754"/>
      <c r="P5754"/>
    </row>
    <row r="5755" spans="12:16">
      <c r="L5755"/>
      <c r="M5755"/>
      <c r="O5755"/>
      <c r="P5755"/>
    </row>
    <row r="5756" spans="12:16">
      <c r="L5756"/>
      <c r="M5756"/>
      <c r="O5756"/>
      <c r="P5756"/>
    </row>
    <row r="5757" spans="12:16">
      <c r="L5757"/>
      <c r="M5757"/>
      <c r="O5757"/>
      <c r="P5757"/>
    </row>
    <row r="5758" spans="12:16">
      <c r="L5758"/>
      <c r="M5758"/>
      <c r="O5758"/>
      <c r="P5758"/>
    </row>
    <row r="5759" spans="12:16">
      <c r="L5759"/>
      <c r="M5759"/>
      <c r="O5759"/>
      <c r="P5759"/>
    </row>
    <row r="5760" spans="12:16">
      <c r="L5760"/>
      <c r="M5760"/>
      <c r="O5760"/>
      <c r="P5760"/>
    </row>
    <row r="5761" spans="12:16">
      <c r="L5761"/>
      <c r="M5761"/>
      <c r="O5761"/>
      <c r="P5761"/>
    </row>
    <row r="5762" spans="12:16">
      <c r="L5762"/>
      <c r="M5762"/>
      <c r="O5762"/>
      <c r="P5762"/>
    </row>
    <row r="5763" spans="12:16">
      <c r="L5763"/>
      <c r="M5763"/>
      <c r="O5763"/>
      <c r="P5763"/>
    </row>
    <row r="5764" spans="12:16">
      <c r="L5764"/>
      <c r="M5764"/>
      <c r="O5764"/>
      <c r="P5764"/>
    </row>
    <row r="5765" spans="12:16">
      <c r="L5765"/>
      <c r="M5765"/>
      <c r="O5765"/>
      <c r="P5765"/>
    </row>
    <row r="5766" spans="12:16">
      <c r="L5766"/>
      <c r="M5766"/>
      <c r="O5766"/>
      <c r="P5766"/>
    </row>
    <row r="5767" spans="12:16">
      <c r="L5767"/>
      <c r="M5767"/>
      <c r="O5767"/>
      <c r="P5767"/>
    </row>
    <row r="5768" spans="12:16">
      <c r="L5768"/>
      <c r="M5768"/>
      <c r="O5768"/>
      <c r="P5768"/>
    </row>
    <row r="5769" spans="12:16">
      <c r="L5769"/>
      <c r="M5769"/>
      <c r="O5769"/>
      <c r="P5769"/>
    </row>
    <row r="5770" spans="12:16">
      <c r="L5770"/>
      <c r="M5770"/>
      <c r="O5770"/>
      <c r="P5770"/>
    </row>
    <row r="5771" spans="12:16">
      <c r="L5771"/>
      <c r="M5771"/>
      <c r="O5771"/>
      <c r="P5771"/>
    </row>
    <row r="5772" spans="12:16">
      <c r="L5772"/>
      <c r="M5772"/>
      <c r="O5772"/>
      <c r="P5772"/>
    </row>
    <row r="5773" spans="12:16">
      <c r="L5773"/>
      <c r="M5773"/>
      <c r="O5773"/>
      <c r="P5773"/>
    </row>
    <row r="5774" spans="12:16">
      <c r="L5774"/>
      <c r="M5774"/>
      <c r="O5774"/>
      <c r="P5774"/>
    </row>
    <row r="5775" spans="12:16">
      <c r="L5775"/>
      <c r="M5775"/>
      <c r="O5775"/>
      <c r="P5775"/>
    </row>
    <row r="5776" spans="12:16">
      <c r="L5776"/>
      <c r="M5776"/>
      <c r="O5776"/>
      <c r="P5776"/>
    </row>
    <row r="5777" spans="12:16">
      <c r="L5777"/>
      <c r="M5777"/>
      <c r="O5777"/>
      <c r="P5777"/>
    </row>
    <row r="5778" spans="12:16">
      <c r="L5778"/>
      <c r="M5778"/>
      <c r="O5778"/>
      <c r="P5778"/>
    </row>
    <row r="5779" spans="12:16">
      <c r="L5779"/>
      <c r="M5779"/>
      <c r="O5779"/>
      <c r="P5779"/>
    </row>
    <row r="5780" spans="12:16">
      <c r="L5780"/>
      <c r="M5780"/>
      <c r="O5780"/>
      <c r="P5780"/>
    </row>
    <row r="5781" spans="12:16">
      <c r="L5781"/>
      <c r="M5781"/>
      <c r="O5781"/>
      <c r="P5781"/>
    </row>
    <row r="5782" spans="12:16">
      <c r="L5782"/>
      <c r="M5782"/>
      <c r="O5782"/>
      <c r="P5782"/>
    </row>
    <row r="5783" spans="12:16">
      <c r="L5783"/>
      <c r="M5783"/>
      <c r="O5783"/>
      <c r="P5783"/>
    </row>
    <row r="5784" spans="12:16">
      <c r="L5784"/>
      <c r="M5784"/>
      <c r="O5784"/>
      <c r="P5784"/>
    </row>
    <row r="5785" spans="12:16">
      <c r="L5785"/>
      <c r="M5785"/>
      <c r="O5785"/>
      <c r="P5785"/>
    </row>
    <row r="5786" spans="12:16">
      <c r="L5786"/>
      <c r="M5786"/>
      <c r="O5786"/>
      <c r="P5786"/>
    </row>
    <row r="5787" spans="12:16">
      <c r="L5787"/>
      <c r="M5787"/>
      <c r="O5787"/>
      <c r="P5787"/>
    </row>
    <row r="5788" spans="12:16">
      <c r="L5788"/>
      <c r="M5788"/>
      <c r="O5788"/>
      <c r="P5788"/>
    </row>
    <row r="5789" spans="12:16">
      <c r="L5789"/>
      <c r="M5789"/>
      <c r="O5789"/>
      <c r="P5789"/>
    </row>
    <row r="5790" spans="12:16">
      <c r="L5790"/>
      <c r="M5790"/>
      <c r="O5790"/>
      <c r="P5790"/>
    </row>
    <row r="5791" spans="12:16">
      <c r="L5791"/>
      <c r="M5791"/>
      <c r="O5791"/>
      <c r="P5791"/>
    </row>
    <row r="5792" spans="12:16">
      <c r="L5792"/>
      <c r="M5792"/>
      <c r="O5792"/>
      <c r="P5792"/>
    </row>
    <row r="5793" spans="12:16">
      <c r="L5793"/>
      <c r="M5793"/>
      <c r="O5793"/>
      <c r="P5793"/>
    </row>
    <row r="5794" spans="12:16">
      <c r="L5794"/>
      <c r="M5794"/>
      <c r="O5794"/>
      <c r="P5794"/>
    </row>
    <row r="5795" spans="12:16">
      <c r="L5795"/>
      <c r="M5795"/>
      <c r="O5795"/>
      <c r="P5795"/>
    </row>
    <row r="5796" spans="12:16">
      <c r="L5796"/>
      <c r="M5796"/>
      <c r="O5796"/>
      <c r="P5796"/>
    </row>
    <row r="5797" spans="12:16">
      <c r="L5797"/>
      <c r="M5797"/>
      <c r="O5797"/>
      <c r="P5797"/>
    </row>
    <row r="5798" spans="12:16">
      <c r="L5798"/>
      <c r="M5798"/>
      <c r="O5798"/>
      <c r="P5798"/>
    </row>
    <row r="5799" spans="12:16">
      <c r="L5799"/>
      <c r="M5799"/>
      <c r="O5799"/>
      <c r="P5799"/>
    </row>
    <row r="5800" spans="12:16">
      <c r="L5800"/>
      <c r="M5800"/>
      <c r="O5800"/>
      <c r="P5800"/>
    </row>
    <row r="5801" spans="12:16">
      <c r="L5801"/>
      <c r="M5801"/>
      <c r="O5801"/>
      <c r="P5801"/>
    </row>
    <row r="5802" spans="12:16">
      <c r="L5802"/>
      <c r="M5802"/>
      <c r="O5802"/>
      <c r="P5802"/>
    </row>
    <row r="5803" spans="12:16">
      <c r="L5803"/>
      <c r="M5803"/>
      <c r="O5803"/>
      <c r="P5803"/>
    </row>
    <row r="5804" spans="12:16">
      <c r="L5804"/>
      <c r="M5804"/>
      <c r="O5804"/>
      <c r="P5804"/>
    </row>
    <row r="5805" spans="12:16">
      <c r="L5805"/>
      <c r="M5805"/>
      <c r="O5805"/>
      <c r="P5805"/>
    </row>
    <row r="5806" spans="12:16">
      <c r="L5806"/>
      <c r="M5806"/>
      <c r="O5806"/>
      <c r="P5806"/>
    </row>
    <row r="5807" spans="12:16">
      <c r="L5807"/>
      <c r="M5807"/>
      <c r="O5807"/>
      <c r="P5807"/>
    </row>
    <row r="5808" spans="12:16">
      <c r="L5808"/>
      <c r="M5808"/>
      <c r="O5808"/>
      <c r="P5808"/>
    </row>
    <row r="5809" spans="12:16">
      <c r="L5809"/>
      <c r="M5809"/>
      <c r="O5809"/>
      <c r="P5809"/>
    </row>
    <row r="5810" spans="12:16">
      <c r="L5810"/>
      <c r="M5810"/>
      <c r="O5810"/>
      <c r="P5810"/>
    </row>
    <row r="5811" spans="12:16">
      <c r="L5811"/>
      <c r="M5811"/>
      <c r="O5811"/>
      <c r="P5811"/>
    </row>
    <row r="5812" spans="12:16">
      <c r="L5812"/>
      <c r="M5812"/>
      <c r="O5812"/>
      <c r="P5812"/>
    </row>
    <row r="5813" spans="12:16">
      <c r="L5813"/>
      <c r="M5813"/>
      <c r="O5813"/>
      <c r="P5813"/>
    </row>
    <row r="5814" spans="12:16">
      <c r="L5814"/>
      <c r="M5814"/>
      <c r="O5814"/>
      <c r="P5814"/>
    </row>
    <row r="5815" spans="12:16">
      <c r="L5815"/>
      <c r="M5815"/>
      <c r="O5815"/>
      <c r="P5815"/>
    </row>
    <row r="5816" spans="12:16">
      <c r="L5816"/>
      <c r="M5816"/>
      <c r="O5816"/>
      <c r="P5816"/>
    </row>
    <row r="5817" spans="12:16">
      <c r="L5817"/>
      <c r="M5817"/>
      <c r="O5817"/>
      <c r="P5817"/>
    </row>
    <row r="5818" spans="12:16">
      <c r="L5818"/>
      <c r="M5818"/>
      <c r="O5818"/>
      <c r="P5818"/>
    </row>
    <row r="5819" spans="12:16">
      <c r="L5819"/>
      <c r="M5819"/>
      <c r="O5819"/>
      <c r="P5819"/>
    </row>
    <row r="5820" spans="12:16">
      <c r="L5820"/>
      <c r="M5820"/>
      <c r="O5820"/>
      <c r="P5820"/>
    </row>
    <row r="5821" spans="12:16">
      <c r="L5821"/>
      <c r="M5821"/>
      <c r="O5821"/>
      <c r="P5821"/>
    </row>
    <row r="5822" spans="12:16">
      <c r="L5822"/>
      <c r="M5822"/>
      <c r="O5822"/>
      <c r="P5822"/>
    </row>
    <row r="5823" spans="12:16">
      <c r="L5823"/>
      <c r="M5823"/>
      <c r="O5823"/>
      <c r="P5823"/>
    </row>
    <row r="5824" spans="12:16">
      <c r="L5824"/>
      <c r="M5824"/>
      <c r="O5824"/>
      <c r="P5824"/>
    </row>
    <row r="5825" spans="12:16">
      <c r="L5825"/>
      <c r="M5825"/>
      <c r="O5825"/>
      <c r="P5825"/>
    </row>
    <row r="5826" spans="12:16">
      <c r="L5826"/>
      <c r="M5826"/>
      <c r="O5826"/>
      <c r="P5826"/>
    </row>
    <row r="5827" spans="12:16">
      <c r="L5827"/>
      <c r="M5827"/>
      <c r="O5827"/>
      <c r="P5827"/>
    </row>
    <row r="5828" spans="12:16">
      <c r="L5828"/>
      <c r="M5828"/>
      <c r="O5828"/>
      <c r="P5828"/>
    </row>
    <row r="5829" spans="12:16">
      <c r="L5829"/>
      <c r="M5829"/>
      <c r="O5829"/>
      <c r="P5829"/>
    </row>
    <row r="5830" spans="12:16">
      <c r="L5830"/>
      <c r="M5830"/>
      <c r="O5830"/>
      <c r="P5830"/>
    </row>
    <row r="5831" spans="12:16">
      <c r="L5831"/>
      <c r="M5831"/>
      <c r="O5831"/>
      <c r="P5831"/>
    </row>
    <row r="5832" spans="12:16">
      <c r="L5832"/>
      <c r="M5832"/>
      <c r="O5832"/>
      <c r="P5832"/>
    </row>
    <row r="5833" spans="12:16">
      <c r="L5833"/>
      <c r="M5833"/>
      <c r="O5833"/>
      <c r="P5833"/>
    </row>
    <row r="5834" spans="12:16">
      <c r="L5834"/>
      <c r="M5834"/>
      <c r="O5834"/>
      <c r="P5834"/>
    </row>
    <row r="5835" spans="12:16">
      <c r="L5835"/>
      <c r="M5835"/>
      <c r="O5835"/>
      <c r="P5835"/>
    </row>
    <row r="5836" spans="12:16">
      <c r="L5836"/>
      <c r="M5836"/>
      <c r="O5836"/>
      <c r="P5836"/>
    </row>
    <row r="5837" spans="12:16">
      <c r="L5837"/>
      <c r="M5837"/>
      <c r="O5837"/>
      <c r="P5837"/>
    </row>
    <row r="5838" spans="12:16">
      <c r="L5838"/>
      <c r="M5838"/>
      <c r="O5838"/>
      <c r="P5838"/>
    </row>
    <row r="5839" spans="12:16">
      <c r="L5839"/>
      <c r="M5839"/>
      <c r="O5839"/>
      <c r="P5839"/>
    </row>
    <row r="5840" spans="12:16">
      <c r="L5840"/>
      <c r="M5840"/>
      <c r="O5840"/>
      <c r="P5840"/>
    </row>
    <row r="5841" spans="12:16">
      <c r="L5841"/>
      <c r="M5841"/>
      <c r="O5841"/>
      <c r="P5841"/>
    </row>
    <row r="5842" spans="12:16">
      <c r="L5842"/>
      <c r="M5842"/>
      <c r="O5842"/>
      <c r="P5842"/>
    </row>
    <row r="5843" spans="12:16">
      <c r="L5843"/>
      <c r="M5843"/>
      <c r="O5843"/>
      <c r="P5843"/>
    </row>
    <row r="5844" spans="12:16">
      <c r="L5844"/>
      <c r="M5844"/>
      <c r="O5844"/>
      <c r="P5844"/>
    </row>
    <row r="5845" spans="12:16">
      <c r="L5845"/>
      <c r="M5845"/>
      <c r="O5845"/>
      <c r="P5845"/>
    </row>
    <row r="5846" spans="12:16">
      <c r="L5846"/>
      <c r="M5846"/>
      <c r="O5846"/>
      <c r="P5846"/>
    </row>
    <row r="5847" spans="12:16">
      <c r="L5847"/>
      <c r="M5847"/>
      <c r="O5847"/>
      <c r="P5847"/>
    </row>
    <row r="5848" spans="12:16">
      <c r="L5848"/>
      <c r="M5848"/>
      <c r="O5848"/>
      <c r="P5848"/>
    </row>
    <row r="5849" spans="12:16">
      <c r="L5849"/>
      <c r="M5849"/>
      <c r="O5849"/>
      <c r="P5849"/>
    </row>
    <row r="5850" spans="12:16">
      <c r="L5850"/>
      <c r="M5850"/>
      <c r="O5850"/>
      <c r="P5850"/>
    </row>
    <row r="5851" spans="12:16">
      <c r="L5851"/>
      <c r="M5851"/>
      <c r="O5851"/>
      <c r="P5851"/>
    </row>
    <row r="5852" spans="12:16">
      <c r="L5852"/>
      <c r="M5852"/>
      <c r="O5852"/>
      <c r="P5852"/>
    </row>
    <row r="5853" spans="12:16">
      <c r="L5853"/>
      <c r="M5853"/>
      <c r="O5853"/>
      <c r="P5853"/>
    </row>
    <row r="5854" spans="12:16">
      <c r="L5854"/>
      <c r="M5854"/>
      <c r="O5854"/>
      <c r="P5854"/>
    </row>
    <row r="5855" spans="12:16">
      <c r="L5855"/>
      <c r="M5855"/>
      <c r="O5855"/>
      <c r="P5855"/>
    </row>
    <row r="5856" spans="12:16">
      <c r="L5856"/>
      <c r="M5856"/>
      <c r="O5856"/>
      <c r="P5856"/>
    </row>
    <row r="5857" spans="12:16">
      <c r="L5857"/>
      <c r="M5857"/>
      <c r="O5857"/>
      <c r="P5857"/>
    </row>
    <row r="5858" spans="12:16">
      <c r="L5858"/>
      <c r="M5858"/>
      <c r="O5858"/>
      <c r="P5858"/>
    </row>
    <row r="5859" spans="12:16">
      <c r="L5859"/>
      <c r="M5859"/>
      <c r="O5859"/>
      <c r="P5859"/>
    </row>
    <row r="5860" spans="12:16">
      <c r="L5860"/>
      <c r="M5860"/>
      <c r="O5860"/>
      <c r="P5860"/>
    </row>
    <row r="5861" spans="12:16">
      <c r="L5861"/>
      <c r="M5861"/>
      <c r="O5861"/>
      <c r="P5861"/>
    </row>
    <row r="5862" spans="12:16">
      <c r="L5862"/>
      <c r="M5862"/>
      <c r="O5862"/>
      <c r="P5862"/>
    </row>
    <row r="5863" spans="12:16">
      <c r="L5863"/>
      <c r="M5863"/>
      <c r="O5863"/>
      <c r="P5863"/>
    </row>
    <row r="5864" spans="12:16">
      <c r="L5864"/>
      <c r="M5864"/>
      <c r="O5864"/>
      <c r="P5864"/>
    </row>
    <row r="5865" spans="12:16">
      <c r="L5865"/>
      <c r="M5865"/>
      <c r="O5865"/>
      <c r="P5865"/>
    </row>
    <row r="5866" spans="12:16">
      <c r="L5866"/>
      <c r="M5866"/>
      <c r="O5866"/>
      <c r="P5866"/>
    </row>
    <row r="5867" spans="12:16">
      <c r="L5867"/>
      <c r="M5867"/>
      <c r="O5867"/>
      <c r="P5867"/>
    </row>
    <row r="5868" spans="12:16">
      <c r="L5868"/>
      <c r="M5868"/>
      <c r="O5868"/>
      <c r="P5868"/>
    </row>
    <row r="5869" spans="12:16">
      <c r="L5869"/>
      <c r="M5869"/>
      <c r="O5869"/>
      <c r="P5869"/>
    </row>
    <row r="5870" spans="12:16">
      <c r="L5870"/>
      <c r="M5870"/>
      <c r="O5870"/>
      <c r="P5870"/>
    </row>
    <row r="5871" spans="12:16">
      <c r="L5871"/>
      <c r="M5871"/>
      <c r="O5871"/>
      <c r="P5871"/>
    </row>
    <row r="5872" spans="12:16">
      <c r="L5872"/>
      <c r="M5872"/>
      <c r="O5872"/>
      <c r="P5872"/>
    </row>
    <row r="5873" spans="12:16">
      <c r="L5873"/>
      <c r="M5873"/>
      <c r="O5873"/>
      <c r="P5873"/>
    </row>
    <row r="5874" spans="12:16">
      <c r="L5874"/>
      <c r="M5874"/>
      <c r="O5874"/>
      <c r="P5874"/>
    </row>
    <row r="5875" spans="12:16">
      <c r="L5875"/>
      <c r="M5875"/>
      <c r="O5875"/>
      <c r="P5875"/>
    </row>
    <row r="5876" spans="12:16">
      <c r="L5876"/>
      <c r="M5876"/>
      <c r="O5876"/>
      <c r="P5876"/>
    </row>
    <row r="5877" spans="12:16">
      <c r="L5877"/>
      <c r="M5877"/>
      <c r="O5877"/>
      <c r="P5877"/>
    </row>
    <row r="5878" spans="12:16">
      <c r="L5878"/>
      <c r="M5878"/>
      <c r="O5878"/>
      <c r="P5878"/>
    </row>
    <row r="5879" spans="12:16">
      <c r="L5879"/>
      <c r="M5879"/>
      <c r="O5879"/>
      <c r="P5879"/>
    </row>
    <row r="5880" spans="12:16">
      <c r="L5880"/>
      <c r="M5880"/>
      <c r="O5880"/>
      <c r="P5880"/>
    </row>
    <row r="5881" spans="12:16">
      <c r="L5881"/>
      <c r="M5881"/>
      <c r="O5881"/>
      <c r="P5881"/>
    </row>
    <row r="5882" spans="12:16">
      <c r="L5882"/>
      <c r="M5882"/>
      <c r="O5882"/>
      <c r="P5882"/>
    </row>
    <row r="5883" spans="12:16">
      <c r="L5883"/>
      <c r="M5883"/>
      <c r="O5883"/>
      <c r="P5883"/>
    </row>
    <row r="5884" spans="12:16">
      <c r="L5884"/>
      <c r="M5884"/>
      <c r="O5884"/>
      <c r="P5884"/>
    </row>
    <row r="5885" spans="12:16">
      <c r="L5885"/>
      <c r="M5885"/>
      <c r="O5885"/>
      <c r="P5885"/>
    </row>
    <row r="5886" spans="12:16">
      <c r="L5886"/>
      <c r="M5886"/>
      <c r="O5886"/>
      <c r="P5886"/>
    </row>
    <row r="5887" spans="12:16">
      <c r="L5887"/>
      <c r="M5887"/>
      <c r="O5887"/>
      <c r="P5887"/>
    </row>
    <row r="5888" spans="12:16">
      <c r="L5888"/>
      <c r="M5888"/>
      <c r="O5888"/>
      <c r="P5888"/>
    </row>
    <row r="5889" spans="12:16">
      <c r="L5889"/>
      <c r="M5889"/>
      <c r="O5889"/>
      <c r="P5889"/>
    </row>
    <row r="5890" spans="12:16">
      <c r="L5890"/>
      <c r="M5890"/>
      <c r="O5890"/>
      <c r="P5890"/>
    </row>
    <row r="5891" spans="12:16">
      <c r="L5891"/>
      <c r="M5891"/>
      <c r="O5891"/>
      <c r="P5891"/>
    </row>
    <row r="5892" spans="12:16">
      <c r="L5892"/>
      <c r="M5892"/>
      <c r="O5892"/>
      <c r="P5892"/>
    </row>
    <row r="5893" spans="12:16">
      <c r="L5893"/>
      <c r="M5893"/>
      <c r="O5893"/>
      <c r="P5893"/>
    </row>
    <row r="5894" spans="12:16">
      <c r="L5894"/>
      <c r="M5894"/>
      <c r="O5894"/>
      <c r="P5894"/>
    </row>
    <row r="5895" spans="12:16">
      <c r="L5895"/>
      <c r="M5895"/>
      <c r="O5895"/>
      <c r="P5895"/>
    </row>
    <row r="5896" spans="12:16">
      <c r="L5896"/>
      <c r="M5896"/>
      <c r="O5896"/>
      <c r="P5896"/>
    </row>
    <row r="5897" spans="12:16">
      <c r="L5897"/>
      <c r="M5897"/>
      <c r="O5897"/>
      <c r="P5897"/>
    </row>
    <row r="5898" spans="12:16">
      <c r="L5898"/>
      <c r="M5898"/>
      <c r="O5898"/>
      <c r="P5898"/>
    </row>
    <row r="5899" spans="12:16">
      <c r="L5899"/>
      <c r="M5899"/>
      <c r="O5899"/>
      <c r="P5899"/>
    </row>
    <row r="5900" spans="12:16">
      <c r="L5900"/>
      <c r="M5900"/>
      <c r="O5900"/>
      <c r="P5900"/>
    </row>
    <row r="5901" spans="12:16">
      <c r="L5901"/>
      <c r="M5901"/>
      <c r="O5901"/>
      <c r="P5901"/>
    </row>
    <row r="5902" spans="12:16">
      <c r="L5902"/>
      <c r="M5902"/>
      <c r="O5902"/>
      <c r="P5902"/>
    </row>
    <row r="5903" spans="12:16">
      <c r="L5903"/>
      <c r="M5903"/>
      <c r="O5903"/>
      <c r="P5903"/>
    </row>
    <row r="5904" spans="12:16">
      <c r="L5904"/>
      <c r="M5904"/>
      <c r="O5904"/>
      <c r="P5904"/>
    </row>
    <row r="5905" spans="12:16">
      <c r="L5905"/>
      <c r="M5905"/>
      <c r="O5905"/>
      <c r="P5905"/>
    </row>
    <row r="5906" spans="12:16">
      <c r="L5906"/>
      <c r="M5906"/>
      <c r="O5906"/>
      <c r="P5906"/>
    </row>
    <row r="5907" spans="12:16">
      <c r="L5907"/>
      <c r="M5907"/>
      <c r="O5907"/>
      <c r="P5907"/>
    </row>
    <row r="5908" spans="12:16">
      <c r="L5908"/>
      <c r="M5908"/>
      <c r="O5908"/>
      <c r="P5908"/>
    </row>
    <row r="5909" spans="12:16">
      <c r="L5909"/>
      <c r="M5909"/>
      <c r="O5909"/>
      <c r="P5909"/>
    </row>
    <row r="5910" spans="12:16">
      <c r="L5910"/>
      <c r="M5910"/>
      <c r="O5910"/>
      <c r="P5910"/>
    </row>
    <row r="5911" spans="12:16">
      <c r="L5911"/>
      <c r="M5911"/>
      <c r="O5911"/>
      <c r="P5911"/>
    </row>
    <row r="5912" spans="12:16">
      <c r="L5912"/>
      <c r="M5912"/>
      <c r="O5912"/>
      <c r="P5912"/>
    </row>
    <row r="5913" spans="12:16">
      <c r="L5913"/>
      <c r="M5913"/>
      <c r="O5913"/>
      <c r="P5913"/>
    </row>
    <row r="5914" spans="12:16">
      <c r="L5914"/>
      <c r="M5914"/>
      <c r="O5914"/>
      <c r="P5914"/>
    </row>
    <row r="5915" spans="12:16">
      <c r="L5915"/>
      <c r="M5915"/>
      <c r="O5915"/>
      <c r="P5915"/>
    </row>
    <row r="5916" spans="12:16">
      <c r="L5916"/>
      <c r="M5916"/>
      <c r="O5916"/>
      <c r="P5916"/>
    </row>
    <row r="5917" spans="12:16">
      <c r="L5917"/>
      <c r="M5917"/>
      <c r="O5917"/>
      <c r="P5917"/>
    </row>
    <row r="5918" spans="12:16">
      <c r="L5918"/>
      <c r="M5918"/>
      <c r="O5918"/>
      <c r="P5918"/>
    </row>
    <row r="5919" spans="12:16">
      <c r="L5919"/>
      <c r="M5919"/>
      <c r="O5919"/>
      <c r="P5919"/>
    </row>
    <row r="5920" spans="12:16">
      <c r="L5920"/>
      <c r="M5920"/>
      <c r="O5920"/>
      <c r="P5920"/>
    </row>
    <row r="5921" spans="12:16">
      <c r="L5921"/>
      <c r="M5921"/>
      <c r="O5921"/>
      <c r="P5921"/>
    </row>
    <row r="5922" spans="12:16">
      <c r="L5922"/>
      <c r="M5922"/>
      <c r="O5922"/>
      <c r="P5922"/>
    </row>
    <row r="5923" spans="12:16">
      <c r="L5923"/>
      <c r="M5923"/>
      <c r="O5923"/>
      <c r="P5923"/>
    </row>
    <row r="5924" spans="12:16">
      <c r="L5924"/>
      <c r="M5924"/>
      <c r="O5924"/>
      <c r="P5924"/>
    </row>
    <row r="5925" spans="12:16">
      <c r="L5925"/>
      <c r="M5925"/>
      <c r="O5925"/>
      <c r="P5925"/>
    </row>
    <row r="5926" spans="12:16">
      <c r="L5926"/>
      <c r="M5926"/>
      <c r="O5926"/>
      <c r="P5926"/>
    </row>
    <row r="5927" spans="12:16">
      <c r="L5927"/>
      <c r="M5927"/>
      <c r="O5927"/>
      <c r="P5927"/>
    </row>
    <row r="5928" spans="12:16">
      <c r="L5928"/>
      <c r="M5928"/>
      <c r="O5928"/>
      <c r="P5928"/>
    </row>
    <row r="5929" spans="12:16">
      <c r="L5929"/>
      <c r="M5929"/>
      <c r="O5929"/>
      <c r="P5929"/>
    </row>
    <row r="5930" spans="12:16">
      <c r="L5930"/>
      <c r="M5930"/>
      <c r="O5930"/>
      <c r="P5930"/>
    </row>
    <row r="5931" spans="12:16">
      <c r="L5931"/>
      <c r="M5931"/>
      <c r="O5931"/>
      <c r="P5931"/>
    </row>
    <row r="5932" spans="12:16">
      <c r="L5932"/>
      <c r="M5932"/>
      <c r="O5932"/>
      <c r="P5932"/>
    </row>
    <row r="5933" spans="12:16">
      <c r="L5933"/>
      <c r="M5933"/>
      <c r="O5933"/>
      <c r="P5933"/>
    </row>
    <row r="5934" spans="12:16">
      <c r="L5934"/>
      <c r="M5934"/>
      <c r="O5934"/>
      <c r="P5934"/>
    </row>
    <row r="5935" spans="12:16">
      <c r="L5935"/>
      <c r="M5935"/>
      <c r="O5935"/>
      <c r="P5935"/>
    </row>
    <row r="5936" spans="12:16">
      <c r="L5936"/>
      <c r="M5936"/>
      <c r="O5936"/>
      <c r="P5936"/>
    </row>
    <row r="5937" spans="12:16">
      <c r="L5937"/>
      <c r="M5937"/>
      <c r="O5937"/>
      <c r="P5937"/>
    </row>
    <row r="5938" spans="12:16">
      <c r="L5938"/>
      <c r="M5938"/>
      <c r="O5938"/>
      <c r="P5938"/>
    </row>
    <row r="5939" spans="12:16">
      <c r="L5939"/>
      <c r="M5939"/>
      <c r="O5939"/>
      <c r="P5939"/>
    </row>
    <row r="5940" spans="12:16">
      <c r="L5940"/>
      <c r="M5940"/>
      <c r="O5940"/>
      <c r="P5940"/>
    </row>
    <row r="5941" spans="12:16">
      <c r="L5941"/>
      <c r="M5941"/>
      <c r="O5941"/>
      <c r="P5941"/>
    </row>
    <row r="5942" spans="12:16">
      <c r="L5942"/>
      <c r="M5942"/>
      <c r="O5942"/>
      <c r="P5942"/>
    </row>
    <row r="5943" spans="12:16">
      <c r="L5943"/>
      <c r="M5943"/>
      <c r="O5943"/>
      <c r="P5943"/>
    </row>
    <row r="5944" spans="12:16">
      <c r="L5944"/>
      <c r="M5944"/>
      <c r="O5944"/>
      <c r="P5944"/>
    </row>
    <row r="5945" spans="12:16">
      <c r="L5945"/>
      <c r="M5945"/>
      <c r="O5945"/>
      <c r="P5945"/>
    </row>
    <row r="5946" spans="12:16">
      <c r="L5946"/>
      <c r="M5946"/>
      <c r="O5946"/>
      <c r="P5946"/>
    </row>
    <row r="5947" spans="12:16">
      <c r="L5947"/>
      <c r="M5947"/>
      <c r="O5947"/>
      <c r="P5947"/>
    </row>
    <row r="5948" spans="12:16">
      <c r="L5948"/>
      <c r="M5948"/>
      <c r="O5948"/>
      <c r="P5948"/>
    </row>
    <row r="5949" spans="12:16">
      <c r="L5949"/>
      <c r="M5949"/>
      <c r="O5949"/>
      <c r="P5949"/>
    </row>
    <row r="5950" spans="12:16">
      <c r="L5950"/>
      <c r="M5950"/>
      <c r="O5950"/>
      <c r="P5950"/>
    </row>
    <row r="5951" spans="12:16">
      <c r="L5951"/>
      <c r="M5951"/>
      <c r="O5951"/>
      <c r="P5951"/>
    </row>
    <row r="5952" spans="12:16">
      <c r="L5952"/>
      <c r="M5952"/>
      <c r="O5952"/>
      <c r="P5952"/>
    </row>
    <row r="5953" spans="12:16">
      <c r="L5953"/>
      <c r="M5953"/>
      <c r="O5953"/>
      <c r="P5953"/>
    </row>
    <row r="5954" spans="12:16">
      <c r="L5954"/>
      <c r="M5954"/>
      <c r="O5954"/>
      <c r="P5954"/>
    </row>
    <row r="5955" spans="12:16">
      <c r="L5955"/>
      <c r="M5955"/>
      <c r="O5955"/>
      <c r="P5955"/>
    </row>
    <row r="5956" spans="12:16">
      <c r="L5956"/>
      <c r="M5956"/>
      <c r="O5956"/>
      <c r="P5956"/>
    </row>
    <row r="5957" spans="12:16">
      <c r="L5957"/>
      <c r="M5957"/>
      <c r="O5957"/>
      <c r="P5957"/>
    </row>
    <row r="5958" spans="12:16">
      <c r="L5958"/>
      <c r="M5958"/>
      <c r="O5958"/>
      <c r="P5958"/>
    </row>
    <row r="5959" spans="12:16">
      <c r="L5959"/>
      <c r="M5959"/>
      <c r="O5959"/>
      <c r="P5959"/>
    </row>
    <row r="5960" spans="12:16">
      <c r="L5960"/>
      <c r="M5960"/>
      <c r="O5960"/>
      <c r="P5960"/>
    </row>
    <row r="5961" spans="12:16">
      <c r="L5961"/>
      <c r="M5961"/>
      <c r="O5961"/>
      <c r="P5961"/>
    </row>
    <row r="5962" spans="12:16">
      <c r="L5962"/>
      <c r="M5962"/>
      <c r="O5962"/>
      <c r="P5962"/>
    </row>
    <row r="5963" spans="12:16">
      <c r="L5963"/>
      <c r="M5963"/>
      <c r="O5963"/>
      <c r="P5963"/>
    </row>
    <row r="5964" spans="12:16">
      <c r="L5964"/>
      <c r="M5964"/>
      <c r="O5964"/>
      <c r="P5964"/>
    </row>
    <row r="5965" spans="12:16">
      <c r="L5965"/>
      <c r="M5965"/>
      <c r="O5965"/>
      <c r="P5965"/>
    </row>
    <row r="5966" spans="12:16">
      <c r="L5966"/>
      <c r="M5966"/>
      <c r="O5966"/>
      <c r="P5966"/>
    </row>
    <row r="5967" spans="12:16">
      <c r="L5967"/>
      <c r="M5967"/>
      <c r="O5967"/>
      <c r="P5967"/>
    </row>
    <row r="5968" spans="12:16">
      <c r="L5968"/>
      <c r="M5968"/>
      <c r="O5968"/>
      <c r="P5968"/>
    </row>
    <row r="5969" spans="12:16">
      <c r="L5969"/>
      <c r="M5969"/>
      <c r="O5969"/>
      <c r="P5969"/>
    </row>
    <row r="5970" spans="12:16">
      <c r="L5970"/>
      <c r="M5970"/>
      <c r="O5970"/>
      <c r="P5970"/>
    </row>
    <row r="5971" spans="12:16">
      <c r="L5971"/>
      <c r="M5971"/>
      <c r="O5971"/>
      <c r="P5971"/>
    </row>
    <row r="5972" spans="12:16">
      <c r="L5972"/>
      <c r="M5972"/>
      <c r="O5972"/>
      <c r="P5972"/>
    </row>
    <row r="5973" spans="12:16">
      <c r="L5973"/>
      <c r="M5973"/>
      <c r="O5973"/>
      <c r="P5973"/>
    </row>
    <row r="5974" spans="12:16">
      <c r="L5974"/>
      <c r="M5974"/>
      <c r="O5974"/>
      <c r="P5974"/>
    </row>
    <row r="5975" spans="12:16">
      <c r="L5975"/>
      <c r="M5975"/>
      <c r="O5975"/>
      <c r="P5975"/>
    </row>
    <row r="5976" spans="12:16">
      <c r="L5976"/>
      <c r="M5976"/>
      <c r="O5976"/>
      <c r="P5976"/>
    </row>
    <row r="5977" spans="12:16">
      <c r="L5977"/>
      <c r="M5977"/>
      <c r="O5977"/>
      <c r="P5977"/>
    </row>
    <row r="5978" spans="12:16">
      <c r="L5978"/>
      <c r="M5978"/>
      <c r="O5978"/>
      <c r="P5978"/>
    </row>
    <row r="5979" spans="12:16">
      <c r="L5979"/>
      <c r="M5979"/>
      <c r="O5979"/>
      <c r="P5979"/>
    </row>
    <row r="5980" spans="12:16">
      <c r="L5980"/>
      <c r="M5980"/>
      <c r="O5980"/>
      <c r="P5980"/>
    </row>
    <row r="5981" spans="12:16">
      <c r="L5981"/>
      <c r="M5981"/>
      <c r="O5981"/>
      <c r="P5981"/>
    </row>
    <row r="5982" spans="12:16">
      <c r="L5982"/>
      <c r="M5982"/>
      <c r="O5982"/>
      <c r="P5982"/>
    </row>
    <row r="5983" spans="12:16">
      <c r="L5983"/>
      <c r="M5983"/>
      <c r="O5983"/>
      <c r="P5983"/>
    </row>
    <row r="5984" spans="12:16">
      <c r="L5984"/>
      <c r="M5984"/>
      <c r="O5984"/>
      <c r="P5984"/>
    </row>
    <row r="5985" spans="12:16">
      <c r="L5985"/>
      <c r="M5985"/>
      <c r="O5985"/>
      <c r="P5985"/>
    </row>
    <row r="5986" spans="12:16">
      <c r="L5986"/>
      <c r="M5986"/>
      <c r="O5986"/>
      <c r="P5986"/>
    </row>
    <row r="5987" spans="12:16">
      <c r="L5987"/>
      <c r="M5987"/>
      <c r="O5987"/>
      <c r="P5987"/>
    </row>
    <row r="5988" spans="12:16">
      <c r="L5988"/>
      <c r="M5988"/>
      <c r="O5988"/>
      <c r="P5988"/>
    </row>
    <row r="5989" spans="12:16">
      <c r="L5989"/>
      <c r="M5989"/>
      <c r="O5989"/>
      <c r="P5989"/>
    </row>
    <row r="5990" spans="12:16">
      <c r="L5990"/>
      <c r="M5990"/>
      <c r="O5990"/>
      <c r="P5990"/>
    </row>
    <row r="5991" spans="12:16">
      <c r="L5991"/>
      <c r="M5991"/>
      <c r="O5991"/>
      <c r="P5991"/>
    </row>
    <row r="5992" spans="12:16">
      <c r="L5992"/>
      <c r="M5992"/>
      <c r="O5992"/>
      <c r="P5992"/>
    </row>
    <row r="5993" spans="12:16">
      <c r="L5993"/>
      <c r="M5993"/>
      <c r="O5993"/>
      <c r="P5993"/>
    </row>
    <row r="5994" spans="12:16">
      <c r="L5994"/>
      <c r="M5994"/>
      <c r="O5994"/>
      <c r="P5994"/>
    </row>
    <row r="5995" spans="12:16">
      <c r="L5995"/>
      <c r="M5995"/>
      <c r="O5995"/>
      <c r="P5995"/>
    </row>
    <row r="5996" spans="12:16">
      <c r="L5996"/>
      <c r="M5996"/>
      <c r="O5996"/>
      <c r="P5996"/>
    </row>
    <row r="5997" spans="12:16">
      <c r="L5997"/>
      <c r="M5997"/>
      <c r="O5997"/>
      <c r="P5997"/>
    </row>
    <row r="5998" spans="12:16">
      <c r="L5998"/>
      <c r="M5998"/>
      <c r="O5998"/>
      <c r="P5998"/>
    </row>
    <row r="5999" spans="12:16">
      <c r="L5999"/>
      <c r="M5999"/>
      <c r="O5999"/>
      <c r="P5999"/>
    </row>
    <row r="6000" spans="12:16">
      <c r="L6000"/>
      <c r="M6000"/>
      <c r="O6000"/>
      <c r="P6000"/>
    </row>
    <row r="6001" spans="12:16">
      <c r="L6001"/>
      <c r="M6001"/>
      <c r="O6001"/>
      <c r="P6001"/>
    </row>
    <row r="6002" spans="12:16">
      <c r="L6002"/>
      <c r="M6002"/>
      <c r="O6002"/>
      <c r="P6002"/>
    </row>
    <row r="6003" spans="12:16">
      <c r="L6003"/>
      <c r="M6003"/>
      <c r="O6003"/>
      <c r="P6003"/>
    </row>
    <row r="6004" spans="12:16">
      <c r="L6004"/>
      <c r="M6004"/>
      <c r="O6004"/>
      <c r="P6004"/>
    </row>
    <row r="6005" spans="12:16">
      <c r="L6005"/>
      <c r="M6005"/>
      <c r="O6005"/>
      <c r="P6005"/>
    </row>
    <row r="6006" spans="12:16">
      <c r="L6006"/>
      <c r="M6006"/>
      <c r="O6006"/>
      <c r="P6006"/>
    </row>
    <row r="6007" spans="12:16">
      <c r="L6007"/>
      <c r="M6007"/>
      <c r="O6007"/>
      <c r="P6007"/>
    </row>
    <row r="6008" spans="12:16">
      <c r="L6008"/>
      <c r="M6008"/>
      <c r="O6008"/>
      <c r="P6008"/>
    </row>
    <row r="6009" spans="12:16">
      <c r="L6009"/>
      <c r="M6009"/>
      <c r="O6009"/>
      <c r="P6009"/>
    </row>
    <row r="6010" spans="12:16">
      <c r="L6010"/>
      <c r="M6010"/>
      <c r="O6010"/>
      <c r="P6010"/>
    </row>
    <row r="6011" spans="12:16">
      <c r="L6011"/>
      <c r="M6011"/>
      <c r="O6011"/>
      <c r="P6011"/>
    </row>
    <row r="6012" spans="12:16">
      <c r="L6012"/>
      <c r="M6012"/>
      <c r="O6012"/>
      <c r="P6012"/>
    </row>
    <row r="6013" spans="12:16">
      <c r="L6013"/>
      <c r="M6013"/>
      <c r="O6013"/>
      <c r="P6013"/>
    </row>
    <row r="6014" spans="12:16">
      <c r="L6014"/>
      <c r="M6014"/>
      <c r="O6014"/>
      <c r="P6014"/>
    </row>
    <row r="6015" spans="12:16">
      <c r="L6015"/>
      <c r="M6015"/>
      <c r="O6015"/>
      <c r="P6015"/>
    </row>
    <row r="6016" spans="12:16">
      <c r="L6016"/>
      <c r="M6016"/>
      <c r="O6016"/>
      <c r="P6016"/>
    </row>
    <row r="6017" spans="12:16">
      <c r="L6017"/>
      <c r="M6017"/>
      <c r="O6017"/>
      <c r="P6017"/>
    </row>
    <row r="6018" spans="12:16">
      <c r="L6018"/>
      <c r="M6018"/>
      <c r="O6018"/>
      <c r="P6018"/>
    </row>
    <row r="6019" spans="12:16">
      <c r="L6019"/>
      <c r="M6019"/>
      <c r="O6019"/>
      <c r="P6019"/>
    </row>
    <row r="6020" spans="12:16">
      <c r="L6020"/>
      <c r="M6020"/>
      <c r="O6020"/>
      <c r="P6020"/>
    </row>
    <row r="6021" spans="12:16">
      <c r="L6021"/>
      <c r="M6021"/>
      <c r="O6021"/>
      <c r="P6021"/>
    </row>
    <row r="6022" spans="12:16">
      <c r="L6022"/>
      <c r="M6022"/>
      <c r="O6022"/>
      <c r="P6022"/>
    </row>
    <row r="6023" spans="12:16">
      <c r="L6023"/>
      <c r="M6023"/>
      <c r="O6023"/>
      <c r="P6023"/>
    </row>
    <row r="6024" spans="12:16">
      <c r="L6024"/>
      <c r="M6024"/>
      <c r="O6024"/>
      <c r="P6024"/>
    </row>
    <row r="6025" spans="12:16">
      <c r="L6025"/>
      <c r="M6025"/>
      <c r="O6025"/>
      <c r="P6025"/>
    </row>
    <row r="6026" spans="12:16">
      <c r="L6026"/>
      <c r="M6026"/>
      <c r="O6026"/>
      <c r="P6026"/>
    </row>
    <row r="6027" spans="12:16">
      <c r="L6027"/>
      <c r="M6027"/>
      <c r="O6027"/>
      <c r="P6027"/>
    </row>
    <row r="6028" spans="12:16">
      <c r="L6028"/>
      <c r="M6028"/>
      <c r="O6028"/>
      <c r="P6028"/>
    </row>
    <row r="6029" spans="12:16">
      <c r="L6029"/>
      <c r="M6029"/>
      <c r="O6029"/>
      <c r="P6029"/>
    </row>
    <row r="6030" spans="12:16">
      <c r="L6030"/>
      <c r="M6030"/>
      <c r="O6030"/>
      <c r="P6030"/>
    </row>
    <row r="6031" spans="12:16">
      <c r="L6031"/>
      <c r="M6031"/>
      <c r="O6031"/>
      <c r="P6031"/>
    </row>
    <row r="6032" spans="12:16">
      <c r="L6032"/>
      <c r="M6032"/>
      <c r="O6032"/>
      <c r="P6032"/>
    </row>
    <row r="6033" spans="12:16">
      <c r="L6033"/>
      <c r="M6033"/>
      <c r="O6033"/>
      <c r="P6033"/>
    </row>
    <row r="6034" spans="12:16">
      <c r="L6034"/>
      <c r="M6034"/>
      <c r="O6034"/>
      <c r="P6034"/>
    </row>
    <row r="6035" spans="12:16">
      <c r="L6035"/>
      <c r="M6035"/>
      <c r="O6035"/>
      <c r="P6035"/>
    </row>
    <row r="6036" spans="12:16">
      <c r="L6036"/>
      <c r="M6036"/>
      <c r="O6036"/>
      <c r="P6036"/>
    </row>
    <row r="6037" spans="12:16">
      <c r="L6037"/>
      <c r="M6037"/>
      <c r="O6037"/>
      <c r="P6037"/>
    </row>
    <row r="6038" spans="12:16">
      <c r="L6038"/>
      <c r="M6038"/>
      <c r="O6038"/>
      <c r="P6038"/>
    </row>
    <row r="6039" spans="12:16">
      <c r="L6039"/>
      <c r="M6039"/>
      <c r="O6039"/>
      <c r="P6039"/>
    </row>
    <row r="6040" spans="12:16">
      <c r="L6040"/>
      <c r="M6040"/>
      <c r="O6040"/>
      <c r="P6040"/>
    </row>
    <row r="6041" spans="12:16">
      <c r="L6041"/>
      <c r="M6041"/>
      <c r="O6041"/>
      <c r="P6041"/>
    </row>
    <row r="6042" spans="12:16">
      <c r="L6042"/>
      <c r="M6042"/>
      <c r="O6042"/>
      <c r="P6042"/>
    </row>
    <row r="6043" spans="12:16">
      <c r="L6043"/>
      <c r="M6043"/>
      <c r="O6043"/>
      <c r="P6043"/>
    </row>
    <row r="6044" spans="12:16">
      <c r="L6044"/>
      <c r="M6044"/>
      <c r="O6044"/>
      <c r="P6044"/>
    </row>
    <row r="6045" spans="12:16">
      <c r="L6045"/>
      <c r="M6045"/>
      <c r="O6045"/>
      <c r="P6045"/>
    </row>
    <row r="6046" spans="12:16">
      <c r="L6046"/>
      <c r="M6046"/>
      <c r="O6046"/>
      <c r="P6046"/>
    </row>
    <row r="6047" spans="12:16">
      <c r="L6047"/>
      <c r="M6047"/>
      <c r="O6047"/>
      <c r="P6047"/>
    </row>
    <row r="6048" spans="12:16">
      <c r="L6048"/>
      <c r="M6048"/>
      <c r="O6048"/>
      <c r="P6048"/>
    </row>
    <row r="6049" spans="12:16">
      <c r="L6049"/>
      <c r="M6049"/>
      <c r="O6049"/>
      <c r="P6049"/>
    </row>
    <row r="6050" spans="12:16">
      <c r="L6050"/>
      <c r="M6050"/>
      <c r="O6050"/>
      <c r="P6050"/>
    </row>
    <row r="6051" spans="12:16">
      <c r="L6051"/>
      <c r="M6051"/>
      <c r="O6051"/>
      <c r="P6051"/>
    </row>
    <row r="6052" spans="12:16">
      <c r="L6052"/>
      <c r="M6052"/>
      <c r="O6052"/>
      <c r="P6052"/>
    </row>
    <row r="6053" spans="12:16">
      <c r="L6053"/>
      <c r="M6053"/>
      <c r="O6053"/>
      <c r="P6053"/>
    </row>
    <row r="6054" spans="12:16">
      <c r="L6054"/>
      <c r="M6054"/>
      <c r="O6054"/>
      <c r="P6054"/>
    </row>
    <row r="6055" spans="12:16">
      <c r="L6055"/>
      <c r="M6055"/>
      <c r="O6055"/>
      <c r="P6055"/>
    </row>
    <row r="6056" spans="12:16">
      <c r="L6056"/>
      <c r="M6056"/>
      <c r="O6056"/>
      <c r="P6056"/>
    </row>
    <row r="6057" spans="12:16">
      <c r="L6057"/>
      <c r="M6057"/>
      <c r="O6057"/>
      <c r="P6057"/>
    </row>
    <row r="6058" spans="12:16">
      <c r="L6058"/>
      <c r="M6058"/>
      <c r="O6058"/>
      <c r="P6058"/>
    </row>
    <row r="6059" spans="12:16">
      <c r="L6059"/>
      <c r="M6059"/>
      <c r="O6059"/>
      <c r="P6059"/>
    </row>
    <row r="6060" spans="12:16">
      <c r="L6060"/>
      <c r="M6060"/>
      <c r="O6060"/>
      <c r="P6060"/>
    </row>
    <row r="6061" spans="12:16">
      <c r="L6061"/>
      <c r="M6061"/>
      <c r="O6061"/>
      <c r="P6061"/>
    </row>
    <row r="6062" spans="12:16">
      <c r="L6062"/>
      <c r="M6062"/>
      <c r="O6062"/>
      <c r="P6062"/>
    </row>
    <row r="6063" spans="12:16">
      <c r="L6063"/>
      <c r="M6063"/>
      <c r="O6063"/>
      <c r="P6063"/>
    </row>
    <row r="6064" spans="12:16">
      <c r="L6064"/>
      <c r="M6064"/>
      <c r="O6064"/>
      <c r="P6064"/>
    </row>
    <row r="6065" spans="12:16">
      <c r="L6065"/>
      <c r="M6065"/>
      <c r="O6065"/>
      <c r="P6065"/>
    </row>
    <row r="6066" spans="12:16">
      <c r="L6066"/>
      <c r="M6066"/>
      <c r="O6066"/>
      <c r="P6066"/>
    </row>
    <row r="6067" spans="12:16">
      <c r="L6067"/>
      <c r="M6067"/>
      <c r="O6067"/>
      <c r="P6067"/>
    </row>
    <row r="6068" spans="12:16">
      <c r="L6068"/>
      <c r="M6068"/>
      <c r="O6068"/>
      <c r="P6068"/>
    </row>
    <row r="6069" spans="12:16">
      <c r="L6069"/>
      <c r="M6069"/>
      <c r="O6069"/>
      <c r="P6069"/>
    </row>
    <row r="6070" spans="12:16">
      <c r="L6070"/>
      <c r="M6070"/>
      <c r="O6070"/>
      <c r="P6070"/>
    </row>
    <row r="6071" spans="12:16">
      <c r="L6071"/>
      <c r="M6071"/>
      <c r="O6071"/>
      <c r="P6071"/>
    </row>
    <row r="6072" spans="12:16">
      <c r="L6072"/>
      <c r="M6072"/>
      <c r="O6072"/>
      <c r="P6072"/>
    </row>
    <row r="6073" spans="12:16">
      <c r="L6073"/>
      <c r="M6073"/>
      <c r="O6073"/>
      <c r="P6073"/>
    </row>
    <row r="6074" spans="12:16">
      <c r="L6074"/>
      <c r="M6074"/>
      <c r="O6074"/>
      <c r="P6074"/>
    </row>
    <row r="6075" spans="12:16">
      <c r="L6075"/>
      <c r="M6075"/>
      <c r="O6075"/>
      <c r="P6075"/>
    </row>
    <row r="6076" spans="12:16">
      <c r="L6076"/>
      <c r="M6076"/>
      <c r="O6076"/>
      <c r="P6076"/>
    </row>
    <row r="6077" spans="12:16">
      <c r="L6077"/>
      <c r="M6077"/>
      <c r="O6077"/>
      <c r="P6077"/>
    </row>
    <row r="6078" spans="12:16">
      <c r="L6078"/>
      <c r="M6078"/>
      <c r="O6078"/>
      <c r="P6078"/>
    </row>
    <row r="6079" spans="12:16">
      <c r="L6079"/>
      <c r="M6079"/>
      <c r="O6079"/>
      <c r="P6079"/>
    </row>
    <row r="6080" spans="12:16">
      <c r="L6080"/>
      <c r="M6080"/>
      <c r="O6080"/>
      <c r="P6080"/>
    </row>
    <row r="6081" spans="12:16">
      <c r="L6081"/>
      <c r="M6081"/>
      <c r="O6081"/>
      <c r="P6081"/>
    </row>
    <row r="6082" spans="12:16">
      <c r="L6082"/>
      <c r="M6082"/>
      <c r="O6082"/>
      <c r="P6082"/>
    </row>
    <row r="6083" spans="12:16">
      <c r="L6083"/>
      <c r="M6083"/>
      <c r="O6083"/>
      <c r="P6083"/>
    </row>
    <row r="6084" spans="12:16">
      <c r="L6084"/>
      <c r="M6084"/>
      <c r="O6084"/>
      <c r="P6084"/>
    </row>
    <row r="6085" spans="12:16">
      <c r="L6085"/>
      <c r="M6085"/>
      <c r="O6085"/>
      <c r="P6085"/>
    </row>
    <row r="6086" spans="12:16">
      <c r="L6086"/>
      <c r="M6086"/>
      <c r="O6086"/>
      <c r="P6086"/>
    </row>
    <row r="6087" spans="12:16">
      <c r="L6087"/>
      <c r="M6087"/>
      <c r="O6087"/>
      <c r="P6087"/>
    </row>
    <row r="6088" spans="12:16">
      <c r="L6088"/>
      <c r="M6088"/>
      <c r="O6088"/>
      <c r="P6088"/>
    </row>
    <row r="6089" spans="12:16">
      <c r="L6089"/>
      <c r="M6089"/>
      <c r="O6089"/>
      <c r="P6089"/>
    </row>
    <row r="6090" spans="12:16">
      <c r="L6090"/>
      <c r="M6090"/>
      <c r="O6090"/>
      <c r="P6090"/>
    </row>
    <row r="6091" spans="12:16">
      <c r="L6091"/>
      <c r="M6091"/>
      <c r="O6091"/>
      <c r="P6091"/>
    </row>
    <row r="6092" spans="12:16">
      <c r="L6092"/>
      <c r="M6092"/>
      <c r="O6092"/>
      <c r="P6092"/>
    </row>
    <row r="6093" spans="12:16">
      <c r="L6093"/>
      <c r="M6093"/>
      <c r="O6093"/>
      <c r="P6093"/>
    </row>
    <row r="6094" spans="12:16">
      <c r="L6094"/>
      <c r="M6094"/>
      <c r="O6094"/>
      <c r="P6094"/>
    </row>
    <row r="6095" spans="12:16">
      <c r="L6095"/>
      <c r="M6095"/>
      <c r="O6095"/>
      <c r="P6095"/>
    </row>
    <row r="6096" spans="12:16">
      <c r="L6096"/>
      <c r="M6096"/>
      <c r="O6096"/>
      <c r="P6096"/>
    </row>
    <row r="6097" spans="12:16">
      <c r="L6097"/>
      <c r="M6097"/>
      <c r="O6097"/>
      <c r="P6097"/>
    </row>
    <row r="6098" spans="12:16">
      <c r="L6098"/>
      <c r="M6098"/>
      <c r="O6098"/>
      <c r="P6098"/>
    </row>
    <row r="6099" spans="12:16">
      <c r="L6099"/>
      <c r="M6099"/>
      <c r="O6099"/>
      <c r="P6099"/>
    </row>
    <row r="6100" spans="12:16">
      <c r="L6100"/>
      <c r="M6100"/>
      <c r="O6100"/>
      <c r="P6100"/>
    </row>
    <row r="6101" spans="12:16">
      <c r="L6101"/>
      <c r="M6101"/>
      <c r="O6101"/>
      <c r="P6101"/>
    </row>
    <row r="6102" spans="12:16">
      <c r="L6102"/>
      <c r="M6102"/>
      <c r="O6102"/>
      <c r="P6102"/>
    </row>
    <row r="6103" spans="12:16">
      <c r="L6103"/>
      <c r="M6103"/>
      <c r="O6103"/>
      <c r="P6103"/>
    </row>
    <row r="6104" spans="12:16">
      <c r="L6104"/>
      <c r="M6104"/>
      <c r="O6104"/>
      <c r="P6104"/>
    </row>
    <row r="6105" spans="12:16">
      <c r="L6105"/>
      <c r="M6105"/>
      <c r="O6105"/>
      <c r="P6105"/>
    </row>
    <row r="6106" spans="12:16">
      <c r="L6106"/>
      <c r="M6106"/>
      <c r="O6106"/>
      <c r="P6106"/>
    </row>
    <row r="6107" spans="12:16">
      <c r="L6107"/>
      <c r="M6107"/>
      <c r="O6107"/>
      <c r="P6107"/>
    </row>
    <row r="6108" spans="12:16">
      <c r="L6108"/>
      <c r="M6108"/>
      <c r="O6108"/>
      <c r="P6108"/>
    </row>
    <row r="6109" spans="12:16">
      <c r="L6109"/>
      <c r="M6109"/>
      <c r="O6109"/>
      <c r="P6109"/>
    </row>
    <row r="6110" spans="12:16">
      <c r="L6110"/>
      <c r="M6110"/>
      <c r="O6110"/>
      <c r="P6110"/>
    </row>
    <row r="6111" spans="12:16">
      <c r="L6111"/>
      <c r="M6111"/>
      <c r="O6111"/>
      <c r="P6111"/>
    </row>
    <row r="6112" spans="12:16">
      <c r="L6112"/>
      <c r="M6112"/>
      <c r="O6112"/>
      <c r="P6112"/>
    </row>
    <row r="6113" spans="12:16">
      <c r="L6113"/>
      <c r="M6113"/>
      <c r="O6113"/>
      <c r="P6113"/>
    </row>
    <row r="6114" spans="12:16">
      <c r="L6114"/>
      <c r="M6114"/>
      <c r="O6114"/>
      <c r="P6114"/>
    </row>
    <row r="6115" spans="12:16">
      <c r="L6115"/>
      <c r="M6115"/>
      <c r="O6115"/>
      <c r="P6115"/>
    </row>
    <row r="6116" spans="12:16">
      <c r="L6116"/>
      <c r="M6116"/>
      <c r="O6116"/>
      <c r="P6116"/>
    </row>
    <row r="6117" spans="12:16">
      <c r="L6117"/>
      <c r="M6117"/>
      <c r="O6117"/>
      <c r="P6117"/>
    </row>
    <row r="6118" spans="12:16">
      <c r="L6118"/>
      <c r="M6118"/>
      <c r="O6118"/>
      <c r="P6118"/>
    </row>
    <row r="6119" spans="12:16">
      <c r="L6119"/>
      <c r="M6119"/>
      <c r="O6119"/>
      <c r="P6119"/>
    </row>
    <row r="6120" spans="12:16">
      <c r="L6120"/>
      <c r="M6120"/>
      <c r="O6120"/>
      <c r="P6120"/>
    </row>
    <row r="6121" spans="12:16">
      <c r="L6121"/>
      <c r="M6121"/>
      <c r="O6121"/>
      <c r="P6121"/>
    </row>
    <row r="6122" spans="12:16">
      <c r="L6122"/>
      <c r="M6122"/>
      <c r="O6122"/>
      <c r="P6122"/>
    </row>
    <row r="6123" spans="12:16">
      <c r="L6123"/>
      <c r="M6123"/>
      <c r="O6123"/>
      <c r="P6123"/>
    </row>
    <row r="6124" spans="12:16">
      <c r="L6124"/>
      <c r="M6124"/>
      <c r="O6124"/>
      <c r="P6124"/>
    </row>
    <row r="6125" spans="12:16">
      <c r="L6125"/>
      <c r="M6125"/>
      <c r="O6125"/>
      <c r="P6125"/>
    </row>
    <row r="6126" spans="12:16">
      <c r="L6126"/>
      <c r="M6126"/>
      <c r="O6126"/>
      <c r="P6126"/>
    </row>
    <row r="6127" spans="12:16">
      <c r="L6127"/>
      <c r="M6127"/>
      <c r="O6127"/>
      <c r="P6127"/>
    </row>
    <row r="6128" spans="12:16">
      <c r="L6128"/>
      <c r="M6128"/>
      <c r="O6128"/>
      <c r="P6128"/>
    </row>
    <row r="6129" spans="12:16">
      <c r="L6129"/>
      <c r="M6129"/>
      <c r="O6129"/>
      <c r="P6129"/>
    </row>
    <row r="6130" spans="12:16">
      <c r="L6130"/>
      <c r="M6130"/>
      <c r="O6130"/>
      <c r="P6130"/>
    </row>
    <row r="6131" spans="12:16">
      <c r="L6131"/>
      <c r="M6131"/>
      <c r="O6131"/>
      <c r="P6131"/>
    </row>
    <row r="6132" spans="12:16">
      <c r="L6132"/>
      <c r="M6132"/>
      <c r="O6132"/>
      <c r="P6132"/>
    </row>
    <row r="6133" spans="12:16">
      <c r="L6133"/>
      <c r="M6133"/>
      <c r="O6133"/>
      <c r="P6133"/>
    </row>
    <row r="6134" spans="12:16">
      <c r="L6134"/>
      <c r="M6134"/>
      <c r="O6134"/>
      <c r="P6134"/>
    </row>
    <row r="6135" spans="12:16">
      <c r="L6135"/>
      <c r="M6135"/>
      <c r="O6135"/>
      <c r="P6135"/>
    </row>
    <row r="6136" spans="12:16">
      <c r="L6136"/>
      <c r="M6136"/>
      <c r="O6136"/>
      <c r="P6136"/>
    </row>
    <row r="6137" spans="12:16">
      <c r="L6137"/>
      <c r="M6137"/>
      <c r="O6137"/>
      <c r="P6137"/>
    </row>
    <row r="6138" spans="12:16">
      <c r="L6138"/>
      <c r="M6138"/>
      <c r="O6138"/>
      <c r="P6138"/>
    </row>
    <row r="6139" spans="12:16">
      <c r="L6139"/>
      <c r="M6139"/>
      <c r="O6139"/>
      <c r="P6139"/>
    </row>
    <row r="6140" spans="12:16">
      <c r="L6140"/>
      <c r="M6140"/>
      <c r="O6140"/>
      <c r="P6140"/>
    </row>
    <row r="6141" spans="12:16">
      <c r="L6141"/>
      <c r="M6141"/>
      <c r="O6141"/>
      <c r="P6141"/>
    </row>
    <row r="6142" spans="12:16">
      <c r="L6142"/>
      <c r="M6142"/>
      <c r="O6142"/>
      <c r="P6142"/>
    </row>
    <row r="6143" spans="12:16">
      <c r="L6143"/>
      <c r="M6143"/>
      <c r="O6143"/>
      <c r="P6143"/>
    </row>
    <row r="6144" spans="12:16">
      <c r="L6144"/>
      <c r="M6144"/>
      <c r="O6144"/>
      <c r="P6144"/>
    </row>
    <row r="6145" spans="12:16">
      <c r="L6145"/>
      <c r="M6145"/>
      <c r="O6145"/>
      <c r="P6145"/>
    </row>
    <row r="6146" spans="12:16">
      <c r="L6146"/>
      <c r="M6146"/>
      <c r="O6146"/>
      <c r="P6146"/>
    </row>
    <row r="6147" spans="12:16">
      <c r="L6147"/>
      <c r="M6147"/>
      <c r="O6147"/>
      <c r="P6147"/>
    </row>
    <row r="6148" spans="12:16">
      <c r="L6148"/>
      <c r="M6148"/>
      <c r="O6148"/>
      <c r="P6148"/>
    </row>
    <row r="6149" spans="12:16">
      <c r="L6149"/>
      <c r="M6149"/>
      <c r="O6149"/>
      <c r="P6149"/>
    </row>
    <row r="6150" spans="12:16">
      <c r="L6150"/>
      <c r="M6150"/>
      <c r="O6150"/>
      <c r="P6150"/>
    </row>
    <row r="6151" spans="12:16">
      <c r="L6151"/>
      <c r="M6151"/>
      <c r="O6151"/>
      <c r="P6151"/>
    </row>
    <row r="6152" spans="12:16">
      <c r="L6152"/>
      <c r="M6152"/>
      <c r="O6152"/>
      <c r="P6152"/>
    </row>
    <row r="6153" spans="12:16">
      <c r="L6153"/>
      <c r="M6153"/>
      <c r="O6153"/>
      <c r="P6153"/>
    </row>
    <row r="6154" spans="12:16">
      <c r="L6154"/>
      <c r="M6154"/>
      <c r="O6154"/>
      <c r="P6154"/>
    </row>
    <row r="6155" spans="12:16">
      <c r="L6155"/>
      <c r="M6155"/>
      <c r="O6155"/>
      <c r="P6155"/>
    </row>
    <row r="6156" spans="12:16">
      <c r="L6156"/>
      <c r="M6156"/>
      <c r="O6156"/>
      <c r="P6156"/>
    </row>
    <row r="6157" spans="12:16">
      <c r="L6157"/>
      <c r="M6157"/>
      <c r="O6157"/>
      <c r="P6157"/>
    </row>
    <row r="6158" spans="12:16">
      <c r="L6158"/>
      <c r="M6158"/>
      <c r="O6158"/>
      <c r="P6158"/>
    </row>
    <row r="6159" spans="12:16">
      <c r="L6159"/>
      <c r="M6159"/>
      <c r="O6159"/>
      <c r="P6159"/>
    </row>
    <row r="6160" spans="12:16">
      <c r="L6160"/>
      <c r="M6160"/>
      <c r="O6160"/>
      <c r="P6160"/>
    </row>
    <row r="6161" spans="12:16">
      <c r="L6161"/>
      <c r="M6161"/>
      <c r="O6161"/>
      <c r="P6161"/>
    </row>
    <row r="6162" spans="12:16">
      <c r="L6162"/>
      <c r="M6162"/>
      <c r="O6162"/>
      <c r="P6162"/>
    </row>
    <row r="6163" spans="12:16">
      <c r="L6163"/>
      <c r="M6163"/>
      <c r="O6163"/>
      <c r="P6163"/>
    </row>
    <row r="6164" spans="12:16">
      <c r="L6164"/>
      <c r="M6164"/>
      <c r="O6164"/>
      <c r="P6164"/>
    </row>
    <row r="6165" spans="12:16">
      <c r="L6165"/>
      <c r="M6165"/>
      <c r="O6165"/>
      <c r="P6165"/>
    </row>
    <row r="6166" spans="12:16">
      <c r="L6166"/>
      <c r="M6166"/>
      <c r="O6166"/>
      <c r="P6166"/>
    </row>
    <row r="6167" spans="12:16">
      <c r="L6167"/>
      <c r="M6167"/>
      <c r="O6167"/>
      <c r="P6167"/>
    </row>
    <row r="6168" spans="12:16">
      <c r="L6168"/>
      <c r="M6168"/>
      <c r="O6168"/>
      <c r="P6168"/>
    </row>
    <row r="6169" spans="12:16">
      <c r="L6169"/>
      <c r="M6169"/>
      <c r="O6169"/>
      <c r="P6169"/>
    </row>
    <row r="6170" spans="12:16">
      <c r="L6170"/>
      <c r="M6170"/>
      <c r="O6170"/>
      <c r="P6170"/>
    </row>
    <row r="6171" spans="12:16">
      <c r="L6171"/>
      <c r="M6171"/>
      <c r="O6171"/>
      <c r="P6171"/>
    </row>
    <row r="6172" spans="12:16">
      <c r="L6172"/>
      <c r="M6172"/>
      <c r="O6172"/>
      <c r="P6172"/>
    </row>
    <row r="6173" spans="12:16">
      <c r="L6173"/>
      <c r="M6173"/>
      <c r="O6173"/>
      <c r="P6173"/>
    </row>
    <row r="6174" spans="12:16">
      <c r="L6174"/>
      <c r="M6174"/>
      <c r="O6174"/>
      <c r="P6174"/>
    </row>
    <row r="6175" spans="12:16">
      <c r="L6175"/>
      <c r="M6175"/>
      <c r="O6175"/>
      <c r="P6175"/>
    </row>
    <row r="6176" spans="12:16">
      <c r="L6176"/>
      <c r="M6176"/>
      <c r="O6176"/>
      <c r="P6176"/>
    </row>
    <row r="6177" spans="12:16">
      <c r="L6177"/>
      <c r="M6177"/>
      <c r="O6177"/>
      <c r="P6177"/>
    </row>
    <row r="6178" spans="12:16">
      <c r="L6178"/>
      <c r="M6178"/>
      <c r="O6178"/>
      <c r="P6178"/>
    </row>
    <row r="6179" spans="12:16">
      <c r="L6179"/>
      <c r="M6179"/>
      <c r="O6179"/>
      <c r="P6179"/>
    </row>
    <row r="6180" spans="12:16">
      <c r="L6180"/>
      <c r="M6180"/>
      <c r="O6180"/>
      <c r="P6180"/>
    </row>
    <row r="6181" spans="12:16">
      <c r="L6181"/>
      <c r="M6181"/>
      <c r="O6181"/>
      <c r="P6181"/>
    </row>
    <row r="6182" spans="12:16">
      <c r="L6182"/>
      <c r="M6182"/>
      <c r="O6182"/>
      <c r="P6182"/>
    </row>
    <row r="6183" spans="12:16">
      <c r="L6183"/>
      <c r="M6183"/>
      <c r="O6183"/>
      <c r="P6183"/>
    </row>
    <row r="6184" spans="12:16">
      <c r="L6184"/>
      <c r="M6184"/>
      <c r="O6184"/>
      <c r="P6184"/>
    </row>
    <row r="6185" spans="12:16">
      <c r="L6185"/>
      <c r="M6185"/>
      <c r="O6185"/>
      <c r="P6185"/>
    </row>
    <row r="6186" spans="12:16">
      <c r="L6186"/>
      <c r="M6186"/>
      <c r="O6186"/>
      <c r="P6186"/>
    </row>
    <row r="6187" spans="12:16">
      <c r="L6187"/>
      <c r="M6187"/>
      <c r="O6187"/>
      <c r="P6187"/>
    </row>
    <row r="6188" spans="12:16">
      <c r="L6188"/>
      <c r="M6188"/>
      <c r="O6188"/>
      <c r="P6188"/>
    </row>
    <row r="6189" spans="12:16">
      <c r="L6189"/>
      <c r="M6189"/>
      <c r="O6189"/>
      <c r="P6189"/>
    </row>
    <row r="6190" spans="12:16">
      <c r="L6190"/>
      <c r="M6190"/>
      <c r="O6190"/>
      <c r="P6190"/>
    </row>
    <row r="6191" spans="12:16">
      <c r="L6191"/>
      <c r="M6191"/>
      <c r="O6191"/>
      <c r="P6191"/>
    </row>
    <row r="6192" spans="12:16">
      <c r="L6192"/>
      <c r="M6192"/>
      <c r="O6192"/>
      <c r="P6192"/>
    </row>
    <row r="6193" spans="12:16">
      <c r="L6193"/>
      <c r="M6193"/>
      <c r="O6193"/>
      <c r="P6193"/>
    </row>
    <row r="6194" spans="12:16">
      <c r="L6194"/>
      <c r="M6194"/>
      <c r="O6194"/>
      <c r="P6194"/>
    </row>
    <row r="6195" spans="12:16">
      <c r="L6195"/>
      <c r="M6195"/>
      <c r="O6195"/>
      <c r="P6195"/>
    </row>
    <row r="6196" spans="12:16">
      <c r="L6196"/>
      <c r="M6196"/>
      <c r="O6196"/>
      <c r="P6196"/>
    </row>
    <row r="6197" spans="12:16">
      <c r="L6197"/>
      <c r="M6197"/>
      <c r="O6197"/>
      <c r="P6197"/>
    </row>
    <row r="6198" spans="12:16">
      <c r="L6198"/>
      <c r="M6198"/>
      <c r="O6198"/>
      <c r="P6198"/>
    </row>
    <row r="6199" spans="12:16">
      <c r="L6199"/>
      <c r="M6199"/>
      <c r="O6199"/>
      <c r="P6199"/>
    </row>
    <row r="6200" spans="12:16">
      <c r="L6200"/>
      <c r="M6200"/>
      <c r="O6200"/>
      <c r="P6200"/>
    </row>
    <row r="6201" spans="12:16">
      <c r="L6201"/>
      <c r="M6201"/>
      <c r="O6201"/>
      <c r="P6201"/>
    </row>
    <row r="6202" spans="12:16">
      <c r="L6202"/>
      <c r="M6202"/>
      <c r="O6202"/>
      <c r="P6202"/>
    </row>
    <row r="6203" spans="12:16">
      <c r="L6203"/>
      <c r="M6203"/>
      <c r="O6203"/>
      <c r="P6203"/>
    </row>
    <row r="6204" spans="12:16">
      <c r="L6204"/>
      <c r="M6204"/>
      <c r="O6204"/>
      <c r="P6204"/>
    </row>
    <row r="6205" spans="12:16">
      <c r="L6205"/>
      <c r="M6205"/>
      <c r="O6205"/>
      <c r="P6205"/>
    </row>
    <row r="6206" spans="12:16">
      <c r="L6206"/>
      <c r="M6206"/>
      <c r="O6206"/>
      <c r="P6206"/>
    </row>
    <row r="6207" spans="12:16">
      <c r="L6207"/>
      <c r="M6207"/>
      <c r="O6207"/>
      <c r="P6207"/>
    </row>
    <row r="6208" spans="12:16">
      <c r="L6208"/>
      <c r="M6208"/>
      <c r="O6208"/>
      <c r="P6208"/>
    </row>
    <row r="6209" spans="12:16">
      <c r="L6209"/>
      <c r="M6209"/>
      <c r="O6209"/>
      <c r="P6209"/>
    </row>
    <row r="6210" spans="12:16">
      <c r="L6210"/>
      <c r="M6210"/>
      <c r="O6210"/>
      <c r="P6210"/>
    </row>
    <row r="6211" spans="12:16">
      <c r="L6211"/>
      <c r="M6211"/>
      <c r="O6211"/>
      <c r="P6211"/>
    </row>
    <row r="6212" spans="12:16">
      <c r="L6212"/>
      <c r="M6212"/>
      <c r="O6212"/>
      <c r="P6212"/>
    </row>
    <row r="6213" spans="12:16">
      <c r="L6213"/>
      <c r="M6213"/>
      <c r="O6213"/>
      <c r="P6213"/>
    </row>
    <row r="6214" spans="12:16">
      <c r="L6214"/>
      <c r="M6214"/>
      <c r="O6214"/>
      <c r="P6214"/>
    </row>
    <row r="6215" spans="12:16">
      <c r="L6215"/>
      <c r="M6215"/>
      <c r="O6215"/>
      <c r="P6215"/>
    </row>
    <row r="6216" spans="12:16">
      <c r="L6216"/>
      <c r="M6216"/>
      <c r="O6216"/>
      <c r="P6216"/>
    </row>
    <row r="6217" spans="12:16">
      <c r="L6217"/>
      <c r="M6217"/>
      <c r="O6217"/>
      <c r="P6217"/>
    </row>
    <row r="6218" spans="12:16">
      <c r="L6218"/>
      <c r="M6218"/>
      <c r="O6218"/>
      <c r="P6218"/>
    </row>
    <row r="6219" spans="12:16">
      <c r="L6219"/>
      <c r="M6219"/>
      <c r="O6219"/>
      <c r="P6219"/>
    </row>
    <row r="6220" spans="12:16">
      <c r="L6220"/>
      <c r="M6220"/>
      <c r="O6220"/>
      <c r="P6220"/>
    </row>
    <row r="6221" spans="12:16">
      <c r="L6221"/>
      <c r="M6221"/>
      <c r="O6221"/>
      <c r="P6221"/>
    </row>
    <row r="6222" spans="12:16">
      <c r="L6222"/>
      <c r="M6222"/>
      <c r="O6222"/>
      <c r="P6222"/>
    </row>
    <row r="6223" spans="12:16">
      <c r="L6223"/>
      <c r="M6223"/>
      <c r="O6223"/>
      <c r="P6223"/>
    </row>
    <row r="6224" spans="12:16">
      <c r="L6224"/>
      <c r="M6224"/>
      <c r="O6224"/>
      <c r="P6224"/>
    </row>
    <row r="6225" spans="12:16">
      <c r="L6225"/>
      <c r="M6225"/>
      <c r="O6225"/>
      <c r="P6225"/>
    </row>
    <row r="6226" spans="12:16">
      <c r="L6226"/>
      <c r="M6226"/>
      <c r="O6226"/>
      <c r="P6226"/>
    </row>
    <row r="6227" spans="12:16">
      <c r="L6227"/>
      <c r="M6227"/>
      <c r="O6227"/>
      <c r="P6227"/>
    </row>
    <row r="6228" spans="12:16">
      <c r="L6228"/>
      <c r="M6228"/>
      <c r="O6228"/>
      <c r="P6228"/>
    </row>
    <row r="6229" spans="12:16">
      <c r="L6229"/>
      <c r="M6229"/>
      <c r="O6229"/>
      <c r="P6229"/>
    </row>
    <row r="6230" spans="12:16">
      <c r="L6230"/>
      <c r="M6230"/>
      <c r="O6230"/>
      <c r="P6230"/>
    </row>
    <row r="6231" spans="12:16">
      <c r="L6231"/>
      <c r="M6231"/>
      <c r="O6231"/>
      <c r="P6231"/>
    </row>
    <row r="6232" spans="12:16">
      <c r="L6232"/>
      <c r="M6232"/>
      <c r="O6232"/>
      <c r="P6232"/>
    </row>
    <row r="6233" spans="12:16">
      <c r="L6233"/>
      <c r="M6233"/>
      <c r="O6233"/>
      <c r="P6233"/>
    </row>
    <row r="6234" spans="12:16">
      <c r="L6234"/>
      <c r="M6234"/>
      <c r="O6234"/>
      <c r="P6234"/>
    </row>
    <row r="6235" spans="12:16">
      <c r="L6235"/>
      <c r="M6235"/>
      <c r="O6235"/>
      <c r="P6235"/>
    </row>
    <row r="6236" spans="12:16">
      <c r="L6236"/>
      <c r="M6236"/>
      <c r="O6236"/>
      <c r="P6236"/>
    </row>
    <row r="6237" spans="12:16">
      <c r="L6237"/>
      <c r="M6237"/>
      <c r="O6237"/>
      <c r="P6237"/>
    </row>
    <row r="6238" spans="12:16">
      <c r="L6238"/>
      <c r="M6238"/>
      <c r="O6238"/>
      <c r="P6238"/>
    </row>
    <row r="6239" spans="12:16">
      <c r="L6239"/>
      <c r="M6239"/>
      <c r="O6239"/>
      <c r="P6239"/>
    </row>
    <row r="6240" spans="12:16">
      <c r="L6240"/>
      <c r="M6240"/>
      <c r="O6240"/>
      <c r="P6240"/>
    </row>
    <row r="6241" spans="12:16">
      <c r="L6241"/>
      <c r="M6241"/>
      <c r="O6241"/>
      <c r="P6241"/>
    </row>
    <row r="6242" spans="12:16">
      <c r="L6242"/>
      <c r="M6242"/>
      <c r="O6242"/>
      <c r="P6242"/>
    </row>
    <row r="6243" spans="12:16">
      <c r="L6243"/>
      <c r="M6243"/>
      <c r="O6243"/>
      <c r="P6243"/>
    </row>
    <row r="6244" spans="12:16">
      <c r="L6244"/>
      <c r="M6244"/>
      <c r="O6244"/>
      <c r="P6244"/>
    </row>
    <row r="6245" spans="12:16">
      <c r="L6245"/>
      <c r="M6245"/>
      <c r="O6245"/>
      <c r="P6245"/>
    </row>
    <row r="6246" spans="12:16">
      <c r="L6246"/>
      <c r="M6246"/>
      <c r="O6246"/>
      <c r="P6246"/>
    </row>
    <row r="6247" spans="12:16">
      <c r="L6247"/>
      <c r="M6247"/>
      <c r="O6247"/>
      <c r="P6247"/>
    </row>
    <row r="6248" spans="12:16">
      <c r="L6248"/>
      <c r="M6248"/>
      <c r="O6248"/>
      <c r="P6248"/>
    </row>
    <row r="6249" spans="12:16">
      <c r="L6249"/>
      <c r="M6249"/>
      <c r="O6249"/>
      <c r="P6249"/>
    </row>
    <row r="6250" spans="12:16">
      <c r="L6250"/>
      <c r="M6250"/>
      <c r="O6250"/>
      <c r="P6250"/>
    </row>
    <row r="6251" spans="12:16">
      <c r="L6251"/>
      <c r="M6251"/>
      <c r="O6251"/>
      <c r="P6251"/>
    </row>
    <row r="6252" spans="12:16">
      <c r="L6252"/>
      <c r="M6252"/>
      <c r="O6252"/>
      <c r="P6252"/>
    </row>
    <row r="6253" spans="12:16">
      <c r="L6253"/>
      <c r="M6253"/>
      <c r="O6253"/>
      <c r="P6253"/>
    </row>
    <row r="6254" spans="12:16">
      <c r="L6254"/>
      <c r="M6254"/>
      <c r="O6254"/>
      <c r="P6254"/>
    </row>
    <row r="6255" spans="12:16">
      <c r="L6255"/>
      <c r="M6255"/>
      <c r="O6255"/>
      <c r="P6255"/>
    </row>
    <row r="6256" spans="12:16">
      <c r="L6256"/>
      <c r="M6256"/>
      <c r="O6256"/>
      <c r="P6256"/>
    </row>
    <row r="6257" spans="12:16">
      <c r="L6257"/>
      <c r="M6257"/>
      <c r="O6257"/>
      <c r="P6257"/>
    </row>
    <row r="6258" spans="12:16">
      <c r="L6258"/>
      <c r="M6258"/>
      <c r="O6258"/>
      <c r="P6258"/>
    </row>
    <row r="6259" spans="12:16">
      <c r="L6259"/>
      <c r="M6259"/>
      <c r="O6259"/>
      <c r="P6259"/>
    </row>
    <row r="6260" spans="12:16">
      <c r="L6260"/>
      <c r="M6260"/>
      <c r="O6260"/>
      <c r="P6260"/>
    </row>
    <row r="6261" spans="12:16">
      <c r="L6261"/>
      <c r="M6261"/>
      <c r="O6261"/>
      <c r="P6261"/>
    </row>
    <row r="6262" spans="12:16">
      <c r="L6262"/>
      <c r="M6262"/>
      <c r="O6262"/>
      <c r="P6262"/>
    </row>
    <row r="6263" spans="12:16">
      <c r="L6263"/>
      <c r="M6263"/>
      <c r="O6263"/>
      <c r="P6263"/>
    </row>
    <row r="6264" spans="12:16">
      <c r="L6264"/>
      <c r="M6264"/>
      <c r="O6264"/>
      <c r="P6264"/>
    </row>
    <row r="6265" spans="12:16">
      <c r="L6265"/>
      <c r="M6265"/>
      <c r="O6265"/>
      <c r="P6265"/>
    </row>
    <row r="6266" spans="12:16">
      <c r="L6266"/>
      <c r="M6266"/>
      <c r="O6266"/>
      <c r="P6266"/>
    </row>
    <row r="6267" spans="12:16">
      <c r="L6267"/>
      <c r="M6267"/>
      <c r="O6267"/>
      <c r="P6267"/>
    </row>
    <row r="6268" spans="12:16">
      <c r="L6268"/>
      <c r="M6268"/>
      <c r="O6268"/>
      <c r="P6268"/>
    </row>
    <row r="6269" spans="12:16">
      <c r="L6269"/>
      <c r="M6269"/>
      <c r="O6269"/>
      <c r="P6269"/>
    </row>
    <row r="6270" spans="12:16">
      <c r="L6270"/>
      <c r="M6270"/>
      <c r="O6270"/>
      <c r="P6270"/>
    </row>
    <row r="6271" spans="12:16">
      <c r="L6271"/>
      <c r="M6271"/>
      <c r="O6271"/>
      <c r="P6271"/>
    </row>
    <row r="6272" spans="12:16">
      <c r="L6272"/>
      <c r="M6272"/>
      <c r="O6272"/>
      <c r="P6272"/>
    </row>
    <row r="6273" spans="12:16">
      <c r="L6273"/>
      <c r="M6273"/>
      <c r="O6273"/>
      <c r="P6273"/>
    </row>
    <row r="6274" spans="12:16">
      <c r="L6274"/>
      <c r="M6274"/>
      <c r="O6274"/>
      <c r="P6274"/>
    </row>
    <row r="6275" spans="12:16">
      <c r="L6275"/>
      <c r="M6275"/>
      <c r="O6275"/>
      <c r="P6275"/>
    </row>
    <row r="6276" spans="12:16">
      <c r="L6276"/>
      <c r="M6276"/>
      <c r="O6276"/>
      <c r="P6276"/>
    </row>
    <row r="6277" spans="12:16">
      <c r="L6277"/>
      <c r="M6277"/>
      <c r="O6277"/>
      <c r="P6277"/>
    </row>
    <row r="6278" spans="12:16">
      <c r="L6278"/>
      <c r="M6278"/>
      <c r="O6278"/>
      <c r="P6278"/>
    </row>
    <row r="6279" spans="12:16">
      <c r="L6279"/>
      <c r="M6279"/>
      <c r="O6279"/>
      <c r="P6279"/>
    </row>
    <row r="6280" spans="12:16">
      <c r="L6280"/>
      <c r="M6280"/>
      <c r="O6280"/>
      <c r="P6280"/>
    </row>
    <row r="6281" spans="12:16">
      <c r="L6281"/>
      <c r="M6281"/>
      <c r="O6281"/>
      <c r="P6281"/>
    </row>
    <row r="6282" spans="12:16">
      <c r="L6282"/>
      <c r="M6282"/>
      <c r="O6282"/>
      <c r="P6282"/>
    </row>
    <row r="6283" spans="12:16">
      <c r="L6283"/>
      <c r="M6283"/>
      <c r="O6283"/>
      <c r="P6283"/>
    </row>
    <row r="6284" spans="12:16">
      <c r="L6284"/>
      <c r="M6284"/>
      <c r="O6284"/>
      <c r="P6284"/>
    </row>
    <row r="6285" spans="12:16">
      <c r="L6285"/>
      <c r="M6285"/>
      <c r="O6285"/>
      <c r="P6285"/>
    </row>
    <row r="6286" spans="12:16">
      <c r="L6286"/>
      <c r="M6286"/>
      <c r="O6286"/>
      <c r="P6286"/>
    </row>
    <row r="6287" spans="12:16">
      <c r="L6287"/>
      <c r="M6287"/>
      <c r="O6287"/>
      <c r="P6287"/>
    </row>
    <row r="6288" spans="12:16">
      <c r="L6288"/>
      <c r="M6288"/>
      <c r="O6288"/>
      <c r="P6288"/>
    </row>
    <row r="6289" spans="12:16">
      <c r="L6289"/>
      <c r="M6289"/>
      <c r="O6289"/>
      <c r="P6289"/>
    </row>
    <row r="6290" spans="12:16">
      <c r="L6290"/>
      <c r="M6290"/>
      <c r="O6290"/>
      <c r="P6290"/>
    </row>
    <row r="6291" spans="12:16">
      <c r="L6291"/>
      <c r="M6291"/>
      <c r="O6291"/>
      <c r="P6291"/>
    </row>
    <row r="6292" spans="12:16">
      <c r="L6292"/>
      <c r="M6292"/>
      <c r="O6292"/>
      <c r="P6292"/>
    </row>
    <row r="6293" spans="12:16">
      <c r="L6293"/>
      <c r="M6293"/>
      <c r="O6293"/>
      <c r="P6293"/>
    </row>
    <row r="6294" spans="12:16">
      <c r="L6294"/>
      <c r="M6294"/>
      <c r="O6294"/>
      <c r="P6294"/>
    </row>
    <row r="6295" spans="12:16">
      <c r="L6295"/>
      <c r="M6295"/>
      <c r="O6295"/>
      <c r="P6295"/>
    </row>
    <row r="6296" spans="12:16">
      <c r="L6296"/>
      <c r="M6296"/>
      <c r="O6296"/>
      <c r="P6296"/>
    </row>
    <row r="6297" spans="12:16">
      <c r="L6297"/>
      <c r="M6297"/>
      <c r="O6297"/>
      <c r="P6297"/>
    </row>
    <row r="6298" spans="12:16">
      <c r="L6298"/>
      <c r="M6298"/>
      <c r="O6298"/>
      <c r="P6298"/>
    </row>
    <row r="6299" spans="12:16">
      <c r="L6299"/>
      <c r="M6299"/>
      <c r="O6299"/>
      <c r="P6299"/>
    </row>
    <row r="6300" spans="12:16">
      <c r="L6300"/>
      <c r="M6300"/>
      <c r="O6300"/>
      <c r="P6300"/>
    </row>
    <row r="6301" spans="12:16">
      <c r="L6301"/>
      <c r="M6301"/>
      <c r="O6301"/>
      <c r="P6301"/>
    </row>
    <row r="6302" spans="12:16">
      <c r="L6302"/>
      <c r="M6302"/>
      <c r="O6302"/>
      <c r="P6302"/>
    </row>
    <row r="6303" spans="12:16">
      <c r="L6303"/>
      <c r="M6303"/>
      <c r="O6303"/>
      <c r="P6303"/>
    </row>
    <row r="6304" spans="12:16">
      <c r="L6304"/>
      <c r="M6304"/>
      <c r="O6304"/>
      <c r="P6304"/>
    </row>
    <row r="6305" spans="12:16">
      <c r="L6305"/>
      <c r="M6305"/>
      <c r="O6305"/>
      <c r="P6305"/>
    </row>
    <row r="6306" spans="12:16">
      <c r="L6306"/>
      <c r="M6306"/>
      <c r="O6306"/>
      <c r="P6306"/>
    </row>
    <row r="6307" spans="12:16">
      <c r="L6307"/>
      <c r="M6307"/>
      <c r="O6307"/>
      <c r="P6307"/>
    </row>
    <row r="6308" spans="12:16">
      <c r="L6308"/>
      <c r="M6308"/>
      <c r="O6308"/>
      <c r="P6308"/>
    </row>
    <row r="6309" spans="12:16">
      <c r="L6309"/>
      <c r="M6309"/>
      <c r="O6309"/>
      <c r="P6309"/>
    </row>
    <row r="6310" spans="12:16">
      <c r="L6310"/>
      <c r="M6310"/>
      <c r="O6310"/>
      <c r="P6310"/>
    </row>
    <row r="6311" spans="12:16">
      <c r="L6311"/>
      <c r="M6311"/>
      <c r="O6311"/>
      <c r="P6311"/>
    </row>
    <row r="6312" spans="12:16">
      <c r="L6312"/>
      <c r="M6312"/>
      <c r="O6312"/>
      <c r="P6312"/>
    </row>
    <row r="6313" spans="12:16">
      <c r="L6313"/>
      <c r="M6313"/>
      <c r="O6313"/>
      <c r="P6313"/>
    </row>
    <row r="6314" spans="12:16">
      <c r="L6314"/>
      <c r="M6314"/>
      <c r="O6314"/>
      <c r="P6314"/>
    </row>
    <row r="6315" spans="12:16">
      <c r="L6315"/>
      <c r="M6315"/>
      <c r="O6315"/>
      <c r="P6315"/>
    </row>
    <row r="6316" spans="12:16">
      <c r="L6316"/>
      <c r="M6316"/>
      <c r="O6316"/>
      <c r="P6316"/>
    </row>
    <row r="6317" spans="12:16">
      <c r="L6317"/>
      <c r="M6317"/>
      <c r="O6317"/>
      <c r="P6317"/>
    </row>
    <row r="6318" spans="12:16">
      <c r="L6318"/>
      <c r="M6318"/>
      <c r="O6318"/>
      <c r="P6318"/>
    </row>
    <row r="6319" spans="12:16">
      <c r="L6319"/>
      <c r="M6319"/>
      <c r="O6319"/>
      <c r="P6319"/>
    </row>
    <row r="6320" spans="12:16">
      <c r="L6320"/>
      <c r="M6320"/>
      <c r="O6320"/>
      <c r="P6320"/>
    </row>
    <row r="6321" spans="12:16">
      <c r="L6321"/>
      <c r="M6321"/>
      <c r="O6321"/>
      <c r="P6321"/>
    </row>
    <row r="6322" spans="12:16">
      <c r="L6322"/>
      <c r="M6322"/>
      <c r="O6322"/>
      <c r="P6322"/>
    </row>
    <row r="6323" spans="12:16">
      <c r="L6323"/>
      <c r="M6323"/>
      <c r="O6323"/>
      <c r="P6323"/>
    </row>
    <row r="6324" spans="12:16">
      <c r="L6324"/>
      <c r="M6324"/>
      <c r="O6324"/>
      <c r="P6324"/>
    </row>
    <row r="6325" spans="12:16">
      <c r="L6325"/>
      <c r="M6325"/>
      <c r="O6325"/>
      <c r="P6325"/>
    </row>
    <row r="6326" spans="12:16">
      <c r="L6326"/>
      <c r="M6326"/>
      <c r="O6326"/>
      <c r="P6326"/>
    </row>
    <row r="6327" spans="12:16">
      <c r="L6327"/>
      <c r="M6327"/>
      <c r="O6327"/>
      <c r="P6327"/>
    </row>
    <row r="6328" spans="12:16">
      <c r="L6328"/>
      <c r="M6328"/>
      <c r="O6328"/>
      <c r="P6328"/>
    </row>
    <row r="6329" spans="12:16">
      <c r="L6329"/>
      <c r="M6329"/>
      <c r="O6329"/>
      <c r="P6329"/>
    </row>
    <row r="6330" spans="12:16">
      <c r="L6330"/>
      <c r="M6330"/>
      <c r="O6330"/>
      <c r="P6330"/>
    </row>
    <row r="6331" spans="12:16">
      <c r="L6331"/>
      <c r="M6331"/>
      <c r="O6331"/>
      <c r="P6331"/>
    </row>
    <row r="6332" spans="12:16">
      <c r="L6332"/>
      <c r="M6332"/>
      <c r="O6332"/>
      <c r="P6332"/>
    </row>
    <row r="6333" spans="12:16">
      <c r="L6333"/>
      <c r="M6333"/>
      <c r="O6333"/>
      <c r="P6333"/>
    </row>
    <row r="6334" spans="12:16">
      <c r="L6334"/>
      <c r="M6334"/>
      <c r="O6334"/>
      <c r="P6334"/>
    </row>
    <row r="6335" spans="12:16">
      <c r="L6335"/>
      <c r="M6335"/>
      <c r="O6335"/>
      <c r="P6335"/>
    </row>
    <row r="6336" spans="12:16">
      <c r="L6336"/>
      <c r="M6336"/>
      <c r="O6336"/>
      <c r="P6336"/>
    </row>
    <row r="6337" spans="12:16">
      <c r="L6337"/>
      <c r="M6337"/>
      <c r="O6337"/>
      <c r="P6337"/>
    </row>
    <row r="6338" spans="12:16">
      <c r="L6338"/>
      <c r="M6338"/>
      <c r="O6338"/>
      <c r="P6338"/>
    </row>
    <row r="6339" spans="12:16">
      <c r="L6339"/>
      <c r="M6339"/>
      <c r="O6339"/>
      <c r="P6339"/>
    </row>
    <row r="6340" spans="12:16">
      <c r="L6340"/>
      <c r="M6340"/>
      <c r="O6340"/>
      <c r="P6340"/>
    </row>
    <row r="6341" spans="12:16">
      <c r="L6341"/>
      <c r="M6341"/>
      <c r="O6341"/>
      <c r="P6341"/>
    </row>
    <row r="6342" spans="12:16">
      <c r="L6342"/>
      <c r="M6342"/>
      <c r="O6342"/>
      <c r="P6342"/>
    </row>
    <row r="6343" spans="12:16">
      <c r="L6343"/>
      <c r="M6343"/>
      <c r="O6343"/>
      <c r="P6343"/>
    </row>
    <row r="6344" spans="12:16">
      <c r="L6344"/>
      <c r="M6344"/>
      <c r="O6344"/>
      <c r="P6344"/>
    </row>
    <row r="6345" spans="12:16">
      <c r="L6345"/>
      <c r="M6345"/>
      <c r="O6345"/>
      <c r="P6345"/>
    </row>
    <row r="6346" spans="12:16">
      <c r="L6346"/>
      <c r="M6346"/>
      <c r="O6346"/>
      <c r="P6346"/>
    </row>
    <row r="6347" spans="12:16">
      <c r="L6347"/>
      <c r="M6347"/>
      <c r="O6347"/>
      <c r="P6347"/>
    </row>
    <row r="6348" spans="12:16">
      <c r="L6348"/>
      <c r="M6348"/>
      <c r="O6348"/>
      <c r="P6348"/>
    </row>
    <row r="6349" spans="12:16">
      <c r="L6349"/>
      <c r="M6349"/>
      <c r="O6349"/>
      <c r="P6349"/>
    </row>
    <row r="6350" spans="12:16">
      <c r="L6350"/>
      <c r="M6350"/>
      <c r="O6350"/>
      <c r="P6350"/>
    </row>
    <row r="6351" spans="12:16">
      <c r="L6351"/>
      <c r="M6351"/>
      <c r="O6351"/>
      <c r="P6351"/>
    </row>
    <row r="6352" spans="12:16">
      <c r="L6352"/>
      <c r="M6352"/>
      <c r="O6352"/>
      <c r="P6352"/>
    </row>
    <row r="6353" spans="12:16">
      <c r="L6353"/>
      <c r="M6353"/>
      <c r="O6353"/>
      <c r="P6353"/>
    </row>
    <row r="6354" spans="12:16">
      <c r="L6354"/>
      <c r="M6354"/>
      <c r="O6354"/>
      <c r="P6354"/>
    </row>
    <row r="6355" spans="12:16">
      <c r="L6355"/>
      <c r="M6355"/>
      <c r="O6355"/>
      <c r="P6355"/>
    </row>
    <row r="6356" spans="12:16">
      <c r="L6356"/>
      <c r="M6356"/>
      <c r="O6356"/>
      <c r="P6356"/>
    </row>
    <row r="6357" spans="12:16">
      <c r="L6357"/>
      <c r="M6357"/>
      <c r="O6357"/>
      <c r="P6357"/>
    </row>
    <row r="6358" spans="12:16">
      <c r="L6358"/>
      <c r="M6358"/>
      <c r="O6358"/>
      <c r="P6358"/>
    </row>
    <row r="6359" spans="12:16">
      <c r="L6359"/>
      <c r="M6359"/>
      <c r="O6359"/>
      <c r="P6359"/>
    </row>
    <row r="6360" spans="12:16">
      <c r="L6360"/>
      <c r="M6360"/>
      <c r="O6360"/>
      <c r="P6360"/>
    </row>
    <row r="6361" spans="12:16">
      <c r="L6361"/>
      <c r="M6361"/>
      <c r="O6361"/>
      <c r="P6361"/>
    </row>
    <row r="6362" spans="12:16">
      <c r="L6362"/>
      <c r="M6362"/>
      <c r="O6362"/>
      <c r="P6362"/>
    </row>
    <row r="6363" spans="12:16">
      <c r="L6363"/>
      <c r="M6363"/>
      <c r="O6363"/>
      <c r="P6363"/>
    </row>
    <row r="6364" spans="12:16">
      <c r="L6364"/>
      <c r="M6364"/>
      <c r="O6364"/>
      <c r="P6364"/>
    </row>
    <row r="6365" spans="12:16">
      <c r="L6365"/>
      <c r="M6365"/>
      <c r="O6365"/>
      <c r="P6365"/>
    </row>
    <row r="6366" spans="12:16">
      <c r="L6366"/>
      <c r="M6366"/>
      <c r="O6366"/>
      <c r="P6366"/>
    </row>
    <row r="6367" spans="12:16">
      <c r="L6367"/>
      <c r="M6367"/>
      <c r="O6367"/>
      <c r="P6367"/>
    </row>
    <row r="6368" spans="12:16">
      <c r="L6368"/>
      <c r="M6368"/>
      <c r="O6368"/>
      <c r="P6368"/>
    </row>
    <row r="6369" spans="12:16">
      <c r="L6369"/>
      <c r="M6369"/>
      <c r="O6369"/>
      <c r="P6369"/>
    </row>
    <row r="6370" spans="12:16">
      <c r="L6370"/>
      <c r="M6370"/>
      <c r="O6370"/>
      <c r="P6370"/>
    </row>
    <row r="6371" spans="12:16">
      <c r="L6371"/>
      <c r="M6371"/>
      <c r="O6371"/>
      <c r="P6371"/>
    </row>
    <row r="6372" spans="12:16">
      <c r="L6372"/>
      <c r="M6372"/>
      <c r="O6372"/>
      <c r="P6372"/>
    </row>
    <row r="6373" spans="12:16">
      <c r="L6373"/>
      <c r="M6373"/>
      <c r="O6373"/>
      <c r="P6373"/>
    </row>
    <row r="6374" spans="12:16">
      <c r="L6374"/>
      <c r="M6374"/>
      <c r="O6374"/>
      <c r="P6374"/>
    </row>
    <row r="6375" spans="12:16">
      <c r="L6375"/>
      <c r="M6375"/>
      <c r="O6375"/>
      <c r="P6375"/>
    </row>
    <row r="6376" spans="12:16">
      <c r="L6376"/>
      <c r="M6376"/>
      <c r="O6376"/>
      <c r="P6376"/>
    </row>
    <row r="6377" spans="12:16">
      <c r="L6377"/>
      <c r="M6377"/>
      <c r="O6377"/>
      <c r="P6377"/>
    </row>
    <row r="6378" spans="12:16">
      <c r="L6378"/>
      <c r="M6378"/>
      <c r="O6378"/>
      <c r="P6378"/>
    </row>
    <row r="6379" spans="12:16">
      <c r="L6379"/>
      <c r="M6379"/>
      <c r="O6379"/>
      <c r="P6379"/>
    </row>
    <row r="6380" spans="12:16">
      <c r="L6380"/>
      <c r="M6380"/>
      <c r="O6380"/>
      <c r="P6380"/>
    </row>
    <row r="6381" spans="12:16">
      <c r="L6381"/>
      <c r="M6381"/>
      <c r="O6381"/>
      <c r="P6381"/>
    </row>
    <row r="6382" spans="12:16">
      <c r="L6382"/>
      <c r="M6382"/>
      <c r="O6382"/>
      <c r="P6382"/>
    </row>
    <row r="6383" spans="12:16">
      <c r="L6383"/>
      <c r="M6383"/>
      <c r="O6383"/>
      <c r="P6383"/>
    </row>
    <row r="6384" spans="12:16">
      <c r="L6384"/>
      <c r="M6384"/>
      <c r="O6384"/>
      <c r="P6384"/>
    </row>
    <row r="6385" spans="12:16">
      <c r="L6385"/>
      <c r="M6385"/>
      <c r="O6385"/>
      <c r="P6385"/>
    </row>
    <row r="6386" spans="12:16">
      <c r="L6386"/>
      <c r="M6386"/>
      <c r="O6386"/>
      <c r="P6386"/>
    </row>
    <row r="6387" spans="12:16">
      <c r="L6387"/>
      <c r="M6387"/>
      <c r="O6387"/>
      <c r="P6387"/>
    </row>
    <row r="6388" spans="12:16">
      <c r="L6388"/>
      <c r="M6388"/>
      <c r="O6388"/>
      <c r="P6388"/>
    </row>
    <row r="6389" spans="12:16">
      <c r="L6389"/>
      <c r="M6389"/>
      <c r="O6389"/>
      <c r="P6389"/>
    </row>
    <row r="6390" spans="12:16">
      <c r="L6390"/>
      <c r="M6390"/>
      <c r="O6390"/>
      <c r="P6390"/>
    </row>
    <row r="6391" spans="12:16">
      <c r="L6391"/>
      <c r="M6391"/>
      <c r="O6391"/>
      <c r="P6391"/>
    </row>
    <row r="6392" spans="12:16">
      <c r="L6392"/>
      <c r="M6392"/>
      <c r="O6392"/>
      <c r="P6392"/>
    </row>
    <row r="6393" spans="12:16">
      <c r="L6393"/>
      <c r="M6393"/>
      <c r="O6393"/>
      <c r="P6393"/>
    </row>
    <row r="6394" spans="12:16">
      <c r="L6394"/>
      <c r="M6394"/>
      <c r="O6394"/>
      <c r="P6394"/>
    </row>
    <row r="6395" spans="12:16">
      <c r="L6395"/>
      <c r="M6395"/>
      <c r="O6395"/>
      <c r="P6395"/>
    </row>
    <row r="6396" spans="12:16">
      <c r="L6396"/>
      <c r="M6396"/>
      <c r="O6396"/>
      <c r="P6396"/>
    </row>
    <row r="6397" spans="12:16">
      <c r="L6397"/>
      <c r="M6397"/>
      <c r="O6397"/>
      <c r="P6397"/>
    </row>
    <row r="6398" spans="12:16">
      <c r="L6398"/>
      <c r="M6398"/>
      <c r="O6398"/>
      <c r="P6398"/>
    </row>
    <row r="6399" spans="12:16">
      <c r="L6399"/>
      <c r="M6399"/>
      <c r="O6399"/>
      <c r="P6399"/>
    </row>
    <row r="6400" spans="12:16">
      <c r="L6400"/>
      <c r="M6400"/>
      <c r="O6400"/>
      <c r="P6400"/>
    </row>
    <row r="6401" spans="12:16">
      <c r="L6401"/>
      <c r="M6401"/>
      <c r="O6401"/>
      <c r="P6401"/>
    </row>
    <row r="6402" spans="12:16">
      <c r="L6402"/>
      <c r="M6402"/>
      <c r="O6402"/>
      <c r="P6402"/>
    </row>
    <row r="6403" spans="12:16">
      <c r="L6403"/>
      <c r="M6403"/>
      <c r="O6403"/>
      <c r="P6403"/>
    </row>
    <row r="6404" spans="12:16">
      <c r="L6404"/>
      <c r="M6404"/>
      <c r="O6404"/>
      <c r="P6404"/>
    </row>
    <row r="6405" spans="12:16">
      <c r="L6405"/>
      <c r="M6405"/>
      <c r="O6405"/>
      <c r="P6405"/>
    </row>
    <row r="6406" spans="12:16">
      <c r="L6406"/>
      <c r="M6406"/>
      <c r="O6406"/>
      <c r="P6406"/>
    </row>
    <row r="6407" spans="12:16">
      <c r="L6407"/>
      <c r="M6407"/>
      <c r="O6407"/>
      <c r="P6407"/>
    </row>
    <row r="6408" spans="12:16">
      <c r="L6408"/>
      <c r="M6408"/>
      <c r="O6408"/>
      <c r="P6408"/>
    </row>
    <row r="6409" spans="12:16">
      <c r="L6409"/>
      <c r="M6409"/>
      <c r="O6409"/>
      <c r="P6409"/>
    </row>
    <row r="6410" spans="12:16">
      <c r="L6410"/>
      <c r="M6410"/>
      <c r="O6410"/>
      <c r="P6410"/>
    </row>
    <row r="6411" spans="12:16">
      <c r="L6411"/>
      <c r="M6411"/>
      <c r="O6411"/>
      <c r="P6411"/>
    </row>
    <row r="6412" spans="12:16">
      <c r="L6412"/>
      <c r="M6412"/>
      <c r="O6412"/>
      <c r="P6412"/>
    </row>
    <row r="6413" spans="12:16">
      <c r="L6413"/>
      <c r="M6413"/>
      <c r="O6413"/>
      <c r="P6413"/>
    </row>
    <row r="6414" spans="12:16">
      <c r="L6414"/>
      <c r="M6414"/>
      <c r="O6414"/>
      <c r="P6414"/>
    </row>
    <row r="6415" spans="12:16">
      <c r="L6415"/>
      <c r="M6415"/>
      <c r="O6415"/>
      <c r="P6415"/>
    </row>
    <row r="6416" spans="12:16">
      <c r="L6416"/>
      <c r="M6416"/>
      <c r="O6416"/>
      <c r="P6416"/>
    </row>
    <row r="6417" spans="12:16">
      <c r="L6417"/>
      <c r="M6417"/>
      <c r="O6417"/>
      <c r="P6417"/>
    </row>
    <row r="6418" spans="12:16">
      <c r="L6418"/>
      <c r="M6418"/>
      <c r="O6418"/>
      <c r="P6418"/>
    </row>
    <row r="6419" spans="12:16">
      <c r="L6419"/>
      <c r="M6419"/>
      <c r="O6419"/>
      <c r="P6419"/>
    </row>
    <row r="6420" spans="12:16">
      <c r="L6420"/>
      <c r="M6420"/>
      <c r="O6420"/>
      <c r="P6420"/>
    </row>
    <row r="6421" spans="12:16">
      <c r="L6421"/>
      <c r="M6421"/>
      <c r="O6421"/>
      <c r="P6421"/>
    </row>
    <row r="6422" spans="12:16">
      <c r="L6422"/>
      <c r="M6422"/>
      <c r="O6422"/>
      <c r="P6422"/>
    </row>
    <row r="6423" spans="12:16">
      <c r="L6423"/>
      <c r="M6423"/>
      <c r="O6423"/>
      <c r="P6423"/>
    </row>
    <row r="6424" spans="12:16">
      <c r="L6424"/>
      <c r="M6424"/>
      <c r="O6424"/>
      <c r="P6424"/>
    </row>
    <row r="6425" spans="12:16">
      <c r="L6425"/>
      <c r="M6425"/>
      <c r="O6425"/>
      <c r="P6425"/>
    </row>
    <row r="6426" spans="12:16">
      <c r="L6426"/>
      <c r="M6426"/>
      <c r="O6426"/>
      <c r="P6426"/>
    </row>
    <row r="6427" spans="12:16">
      <c r="L6427"/>
      <c r="M6427"/>
      <c r="O6427"/>
      <c r="P6427"/>
    </row>
    <row r="6428" spans="12:16">
      <c r="L6428"/>
      <c r="M6428"/>
      <c r="O6428"/>
      <c r="P6428"/>
    </row>
    <row r="6429" spans="12:16">
      <c r="L6429"/>
      <c r="M6429"/>
      <c r="O6429"/>
      <c r="P6429"/>
    </row>
    <row r="6430" spans="12:16">
      <c r="L6430"/>
      <c r="M6430"/>
      <c r="O6430"/>
      <c r="P6430"/>
    </row>
    <row r="6431" spans="12:16">
      <c r="L6431"/>
      <c r="M6431"/>
      <c r="O6431"/>
      <c r="P6431"/>
    </row>
    <row r="6432" spans="12:16">
      <c r="L6432"/>
      <c r="M6432"/>
      <c r="O6432"/>
      <c r="P6432"/>
    </row>
    <row r="6433" spans="12:16">
      <c r="L6433"/>
      <c r="M6433"/>
      <c r="O6433"/>
      <c r="P6433"/>
    </row>
    <row r="6434" spans="12:16">
      <c r="L6434"/>
      <c r="M6434"/>
      <c r="O6434"/>
      <c r="P6434"/>
    </row>
    <row r="6435" spans="12:16">
      <c r="L6435"/>
      <c r="M6435"/>
      <c r="O6435"/>
      <c r="P6435"/>
    </row>
    <row r="6436" spans="12:16">
      <c r="L6436"/>
      <c r="M6436"/>
      <c r="O6436"/>
      <c r="P6436"/>
    </row>
    <row r="6437" spans="12:16">
      <c r="L6437"/>
      <c r="M6437"/>
      <c r="O6437"/>
      <c r="P6437"/>
    </row>
    <row r="6438" spans="12:16">
      <c r="L6438"/>
      <c r="M6438"/>
      <c r="O6438"/>
      <c r="P6438"/>
    </row>
    <row r="6439" spans="12:16">
      <c r="L6439"/>
      <c r="M6439"/>
      <c r="O6439"/>
      <c r="P6439"/>
    </row>
    <row r="6440" spans="12:16">
      <c r="L6440"/>
      <c r="M6440"/>
      <c r="O6440"/>
      <c r="P6440"/>
    </row>
    <row r="6441" spans="12:16">
      <c r="L6441"/>
      <c r="M6441"/>
      <c r="O6441"/>
      <c r="P6441"/>
    </row>
    <row r="6442" spans="12:16">
      <c r="L6442"/>
      <c r="M6442"/>
      <c r="O6442"/>
      <c r="P6442"/>
    </row>
    <row r="6443" spans="12:16">
      <c r="L6443"/>
      <c r="M6443"/>
      <c r="O6443"/>
      <c r="P6443"/>
    </row>
    <row r="6444" spans="12:16">
      <c r="L6444"/>
      <c r="M6444"/>
      <c r="O6444"/>
      <c r="P6444"/>
    </row>
    <row r="6445" spans="12:16">
      <c r="L6445"/>
      <c r="M6445"/>
      <c r="O6445"/>
      <c r="P6445"/>
    </row>
    <row r="6446" spans="12:16">
      <c r="L6446"/>
      <c r="M6446"/>
      <c r="O6446"/>
      <c r="P6446"/>
    </row>
    <row r="6447" spans="12:16">
      <c r="L6447"/>
      <c r="M6447"/>
      <c r="O6447"/>
      <c r="P6447"/>
    </row>
    <row r="6448" spans="12:16">
      <c r="L6448"/>
      <c r="M6448"/>
      <c r="O6448"/>
      <c r="P6448"/>
    </row>
    <row r="6449" spans="12:16">
      <c r="L6449"/>
      <c r="M6449"/>
      <c r="O6449"/>
      <c r="P6449"/>
    </row>
    <row r="6450" spans="12:16">
      <c r="L6450"/>
      <c r="M6450"/>
      <c r="O6450"/>
      <c r="P6450"/>
    </row>
    <row r="6451" spans="12:16">
      <c r="L6451"/>
      <c r="M6451"/>
      <c r="O6451"/>
      <c r="P6451"/>
    </row>
    <row r="6452" spans="12:16">
      <c r="L6452"/>
      <c r="M6452"/>
      <c r="O6452"/>
      <c r="P6452"/>
    </row>
    <row r="6453" spans="12:16">
      <c r="L6453"/>
      <c r="M6453"/>
      <c r="O6453"/>
      <c r="P6453"/>
    </row>
    <row r="6454" spans="12:16">
      <c r="L6454"/>
      <c r="M6454"/>
      <c r="O6454"/>
      <c r="P6454"/>
    </row>
    <row r="6455" spans="12:16">
      <c r="L6455"/>
      <c r="M6455"/>
      <c r="O6455"/>
      <c r="P6455"/>
    </row>
    <row r="6456" spans="12:16">
      <c r="L6456"/>
      <c r="M6456"/>
      <c r="O6456"/>
      <c r="P6456"/>
    </row>
    <row r="6457" spans="12:16">
      <c r="L6457"/>
      <c r="M6457"/>
      <c r="O6457"/>
      <c r="P6457"/>
    </row>
    <row r="6458" spans="12:16">
      <c r="L6458"/>
      <c r="M6458"/>
      <c r="O6458"/>
      <c r="P6458"/>
    </row>
    <row r="6459" spans="12:16">
      <c r="L6459"/>
      <c r="M6459"/>
      <c r="O6459"/>
      <c r="P6459"/>
    </row>
    <row r="6460" spans="12:16">
      <c r="L6460"/>
      <c r="M6460"/>
      <c r="O6460"/>
      <c r="P6460"/>
    </row>
    <row r="6461" spans="12:16">
      <c r="L6461"/>
      <c r="M6461"/>
      <c r="O6461"/>
      <c r="P6461"/>
    </row>
    <row r="6462" spans="12:16">
      <c r="L6462"/>
      <c r="M6462"/>
      <c r="O6462"/>
      <c r="P6462"/>
    </row>
    <row r="6463" spans="12:16">
      <c r="L6463"/>
      <c r="M6463"/>
      <c r="O6463"/>
      <c r="P6463"/>
    </row>
    <row r="6464" spans="12:16">
      <c r="L6464"/>
      <c r="M6464"/>
      <c r="O6464"/>
      <c r="P6464"/>
    </row>
    <row r="6465" spans="12:16">
      <c r="L6465"/>
      <c r="M6465"/>
      <c r="O6465"/>
      <c r="P6465"/>
    </row>
    <row r="6466" spans="12:16">
      <c r="L6466"/>
      <c r="M6466"/>
      <c r="O6466"/>
      <c r="P6466"/>
    </row>
    <row r="6467" spans="12:16">
      <c r="L6467"/>
      <c r="M6467"/>
      <c r="O6467"/>
      <c r="P6467"/>
    </row>
    <row r="6468" spans="12:16">
      <c r="L6468"/>
      <c r="M6468"/>
      <c r="O6468"/>
      <c r="P6468"/>
    </row>
    <row r="6469" spans="12:16">
      <c r="L6469"/>
      <c r="M6469"/>
      <c r="O6469"/>
      <c r="P6469"/>
    </row>
    <row r="6470" spans="12:16">
      <c r="L6470"/>
      <c r="M6470"/>
      <c r="O6470"/>
      <c r="P6470"/>
    </row>
    <row r="6471" spans="12:16">
      <c r="L6471"/>
      <c r="M6471"/>
      <c r="O6471"/>
      <c r="P6471"/>
    </row>
    <row r="6472" spans="12:16">
      <c r="L6472"/>
      <c r="M6472"/>
      <c r="O6472"/>
      <c r="P6472"/>
    </row>
    <row r="6473" spans="12:16">
      <c r="L6473"/>
      <c r="M6473"/>
      <c r="O6473"/>
      <c r="P6473"/>
    </row>
    <row r="6474" spans="12:16">
      <c r="L6474"/>
      <c r="M6474"/>
      <c r="O6474"/>
      <c r="P6474"/>
    </row>
    <row r="6475" spans="12:16">
      <c r="L6475"/>
      <c r="M6475"/>
      <c r="O6475"/>
      <c r="P6475"/>
    </row>
    <row r="6476" spans="12:16">
      <c r="L6476"/>
      <c r="M6476"/>
      <c r="O6476"/>
      <c r="P6476"/>
    </row>
    <row r="6477" spans="12:16">
      <c r="L6477"/>
      <c r="M6477"/>
      <c r="O6477"/>
      <c r="P6477"/>
    </row>
    <row r="6478" spans="12:16">
      <c r="L6478"/>
      <c r="M6478"/>
      <c r="O6478"/>
      <c r="P6478"/>
    </row>
    <row r="6479" spans="12:16">
      <c r="L6479"/>
      <c r="M6479"/>
      <c r="O6479"/>
      <c r="P6479"/>
    </row>
    <row r="6480" spans="12:16">
      <c r="L6480"/>
      <c r="M6480"/>
      <c r="O6480"/>
      <c r="P6480"/>
    </row>
    <row r="6481" spans="12:16">
      <c r="L6481"/>
      <c r="M6481"/>
      <c r="O6481"/>
      <c r="P6481"/>
    </row>
    <row r="6482" spans="12:16">
      <c r="L6482"/>
      <c r="M6482"/>
      <c r="O6482"/>
      <c r="P6482"/>
    </row>
    <row r="6483" spans="12:16">
      <c r="L6483"/>
      <c r="M6483"/>
      <c r="O6483"/>
      <c r="P6483"/>
    </row>
    <row r="6484" spans="12:16">
      <c r="L6484"/>
      <c r="M6484"/>
      <c r="O6484"/>
      <c r="P6484"/>
    </row>
    <row r="6485" spans="12:16">
      <c r="L6485"/>
      <c r="M6485"/>
      <c r="O6485"/>
      <c r="P6485"/>
    </row>
    <row r="6486" spans="12:16">
      <c r="L6486"/>
      <c r="M6486"/>
      <c r="O6486"/>
      <c r="P6486"/>
    </row>
    <row r="6487" spans="12:16">
      <c r="L6487"/>
      <c r="M6487"/>
      <c r="O6487"/>
      <c r="P6487"/>
    </row>
    <row r="6488" spans="12:16">
      <c r="L6488"/>
      <c r="M6488"/>
      <c r="O6488"/>
      <c r="P6488"/>
    </row>
    <row r="6489" spans="12:16">
      <c r="L6489"/>
      <c r="M6489"/>
      <c r="O6489"/>
      <c r="P6489"/>
    </row>
    <row r="6490" spans="12:16">
      <c r="L6490"/>
      <c r="M6490"/>
      <c r="O6490"/>
      <c r="P6490"/>
    </row>
    <row r="6491" spans="12:16">
      <c r="L6491"/>
      <c r="M6491"/>
      <c r="O6491"/>
      <c r="P6491"/>
    </row>
    <row r="6492" spans="12:16">
      <c r="L6492"/>
      <c r="M6492"/>
      <c r="O6492"/>
      <c r="P6492"/>
    </row>
    <row r="6493" spans="12:16">
      <c r="L6493"/>
      <c r="M6493"/>
      <c r="O6493"/>
      <c r="P6493"/>
    </row>
    <row r="6494" spans="12:16">
      <c r="L6494"/>
      <c r="M6494"/>
      <c r="O6494"/>
      <c r="P6494"/>
    </row>
    <row r="6495" spans="12:16">
      <c r="L6495"/>
      <c r="M6495"/>
      <c r="O6495"/>
      <c r="P6495"/>
    </row>
    <row r="6496" spans="12:16">
      <c r="L6496"/>
      <c r="M6496"/>
      <c r="O6496"/>
      <c r="P6496"/>
    </row>
    <row r="6497" spans="12:16">
      <c r="L6497"/>
      <c r="M6497"/>
      <c r="O6497"/>
      <c r="P6497"/>
    </row>
    <row r="6498" spans="12:16">
      <c r="L6498"/>
      <c r="M6498"/>
      <c r="O6498"/>
      <c r="P6498"/>
    </row>
    <row r="6499" spans="12:16">
      <c r="L6499"/>
      <c r="M6499"/>
      <c r="O6499"/>
      <c r="P6499"/>
    </row>
    <row r="6500" spans="12:16">
      <c r="L6500"/>
      <c r="M6500"/>
      <c r="O6500"/>
      <c r="P6500"/>
    </row>
    <row r="6501" spans="12:16">
      <c r="L6501"/>
      <c r="M6501"/>
      <c r="O6501"/>
      <c r="P6501"/>
    </row>
    <row r="6502" spans="12:16">
      <c r="L6502"/>
      <c r="M6502"/>
      <c r="O6502"/>
      <c r="P6502"/>
    </row>
    <row r="6503" spans="12:16">
      <c r="L6503"/>
      <c r="M6503"/>
      <c r="O6503"/>
      <c r="P6503"/>
    </row>
    <row r="6504" spans="12:16">
      <c r="L6504"/>
      <c r="M6504"/>
      <c r="O6504"/>
      <c r="P6504"/>
    </row>
    <row r="6505" spans="12:16">
      <c r="L6505"/>
      <c r="M6505"/>
      <c r="O6505"/>
      <c r="P6505"/>
    </row>
    <row r="6506" spans="12:16">
      <c r="L6506"/>
      <c r="M6506"/>
      <c r="O6506"/>
      <c r="P6506"/>
    </row>
    <row r="6507" spans="12:16">
      <c r="L6507"/>
      <c r="M6507"/>
      <c r="O6507"/>
      <c r="P6507"/>
    </row>
    <row r="6508" spans="12:16">
      <c r="L6508"/>
      <c r="M6508"/>
      <c r="O6508"/>
      <c r="P6508"/>
    </row>
    <row r="6509" spans="12:16">
      <c r="L6509"/>
      <c r="M6509"/>
      <c r="O6509"/>
      <c r="P6509"/>
    </row>
    <row r="6510" spans="12:16">
      <c r="L6510"/>
      <c r="M6510"/>
      <c r="O6510"/>
      <c r="P6510"/>
    </row>
    <row r="6511" spans="12:16">
      <c r="L6511"/>
      <c r="M6511"/>
      <c r="O6511"/>
      <c r="P6511"/>
    </row>
    <row r="6512" spans="12:16">
      <c r="L6512"/>
      <c r="M6512"/>
      <c r="O6512"/>
      <c r="P6512"/>
    </row>
    <row r="6513" spans="12:16">
      <c r="L6513"/>
      <c r="M6513"/>
      <c r="O6513"/>
      <c r="P6513"/>
    </row>
    <row r="6514" spans="12:16">
      <c r="L6514"/>
      <c r="M6514"/>
      <c r="O6514"/>
      <c r="P6514"/>
    </row>
    <row r="6515" spans="12:16">
      <c r="L6515"/>
      <c r="M6515"/>
      <c r="O6515"/>
      <c r="P6515"/>
    </row>
    <row r="6516" spans="12:16">
      <c r="L6516"/>
      <c r="M6516"/>
      <c r="O6516"/>
      <c r="P6516"/>
    </row>
    <row r="6517" spans="12:16">
      <c r="L6517"/>
      <c r="M6517"/>
      <c r="O6517"/>
      <c r="P6517"/>
    </row>
    <row r="6518" spans="12:16">
      <c r="L6518"/>
      <c r="M6518"/>
      <c r="O6518"/>
      <c r="P6518"/>
    </row>
    <row r="6519" spans="12:16">
      <c r="L6519"/>
      <c r="M6519"/>
      <c r="O6519"/>
      <c r="P6519"/>
    </row>
    <row r="6520" spans="12:16">
      <c r="L6520"/>
      <c r="M6520"/>
      <c r="O6520"/>
      <c r="P6520"/>
    </row>
    <row r="6521" spans="12:16">
      <c r="L6521"/>
      <c r="M6521"/>
      <c r="O6521"/>
      <c r="P6521"/>
    </row>
    <row r="6522" spans="12:16">
      <c r="L6522"/>
      <c r="M6522"/>
      <c r="O6522"/>
      <c r="P6522"/>
    </row>
    <row r="6523" spans="12:16">
      <c r="L6523"/>
      <c r="M6523"/>
      <c r="O6523"/>
      <c r="P6523"/>
    </row>
    <row r="6524" spans="12:16">
      <c r="L6524"/>
      <c r="M6524"/>
      <c r="O6524"/>
      <c r="P6524"/>
    </row>
    <row r="6525" spans="12:16">
      <c r="L6525"/>
      <c r="M6525"/>
      <c r="O6525"/>
      <c r="P6525"/>
    </row>
    <row r="6526" spans="12:16">
      <c r="L6526"/>
      <c r="M6526"/>
      <c r="O6526"/>
      <c r="P6526"/>
    </row>
    <row r="6527" spans="12:16">
      <c r="L6527"/>
      <c r="M6527"/>
      <c r="O6527"/>
      <c r="P6527"/>
    </row>
    <row r="6528" spans="12:16">
      <c r="L6528"/>
      <c r="M6528"/>
      <c r="O6528"/>
      <c r="P6528"/>
    </row>
    <row r="6529" spans="12:16">
      <c r="L6529"/>
      <c r="M6529"/>
      <c r="O6529"/>
      <c r="P6529"/>
    </row>
    <row r="6530" spans="12:16">
      <c r="L6530"/>
      <c r="M6530"/>
      <c r="O6530"/>
      <c r="P6530"/>
    </row>
    <row r="6531" spans="12:16">
      <c r="L6531"/>
      <c r="M6531"/>
      <c r="O6531"/>
      <c r="P6531"/>
    </row>
    <row r="6532" spans="12:16">
      <c r="L6532"/>
      <c r="M6532"/>
      <c r="O6532"/>
      <c r="P6532"/>
    </row>
    <row r="6533" spans="12:16">
      <c r="L6533"/>
      <c r="M6533"/>
      <c r="O6533"/>
      <c r="P6533"/>
    </row>
    <row r="6534" spans="12:16">
      <c r="L6534"/>
      <c r="M6534"/>
      <c r="O6534"/>
      <c r="P6534"/>
    </row>
    <row r="6535" spans="12:16">
      <c r="L6535"/>
      <c r="M6535"/>
      <c r="O6535"/>
      <c r="P6535"/>
    </row>
    <row r="6536" spans="12:16">
      <c r="L6536"/>
      <c r="M6536"/>
      <c r="O6536"/>
      <c r="P6536"/>
    </row>
    <row r="6537" spans="12:16">
      <c r="L6537"/>
      <c r="M6537"/>
      <c r="O6537"/>
      <c r="P6537"/>
    </row>
    <row r="6538" spans="12:16">
      <c r="L6538"/>
      <c r="M6538"/>
      <c r="O6538"/>
      <c r="P6538"/>
    </row>
    <row r="6539" spans="12:16">
      <c r="L6539"/>
      <c r="M6539"/>
      <c r="O6539"/>
      <c r="P6539"/>
    </row>
    <row r="6540" spans="12:16">
      <c r="L6540"/>
      <c r="M6540"/>
      <c r="O6540"/>
      <c r="P6540"/>
    </row>
    <row r="6541" spans="12:16">
      <c r="L6541"/>
      <c r="M6541"/>
      <c r="O6541"/>
      <c r="P6541"/>
    </row>
    <row r="6542" spans="12:16">
      <c r="L6542"/>
      <c r="M6542"/>
      <c r="O6542"/>
      <c r="P6542"/>
    </row>
    <row r="6543" spans="12:16">
      <c r="L6543"/>
      <c r="M6543"/>
      <c r="O6543"/>
      <c r="P6543"/>
    </row>
    <row r="6544" spans="12:16">
      <c r="L6544"/>
      <c r="M6544"/>
      <c r="O6544"/>
      <c r="P6544"/>
    </row>
    <row r="6545" spans="12:16">
      <c r="L6545"/>
      <c r="M6545"/>
      <c r="O6545"/>
      <c r="P6545"/>
    </row>
    <row r="6546" spans="12:16">
      <c r="L6546"/>
      <c r="M6546"/>
      <c r="O6546"/>
      <c r="P6546"/>
    </row>
    <row r="6547" spans="12:16">
      <c r="L6547"/>
      <c r="M6547"/>
      <c r="O6547"/>
      <c r="P6547"/>
    </row>
    <row r="6548" spans="12:16">
      <c r="L6548"/>
      <c r="M6548"/>
      <c r="O6548"/>
      <c r="P6548"/>
    </row>
    <row r="6549" spans="12:16">
      <c r="L6549"/>
      <c r="M6549"/>
      <c r="O6549"/>
      <c r="P6549"/>
    </row>
    <row r="6550" spans="12:16">
      <c r="L6550"/>
      <c r="M6550"/>
      <c r="O6550"/>
      <c r="P6550"/>
    </row>
    <row r="6551" spans="12:16">
      <c r="L6551"/>
      <c r="M6551"/>
      <c r="O6551"/>
      <c r="P6551"/>
    </row>
    <row r="6552" spans="12:16">
      <c r="L6552"/>
      <c r="M6552"/>
      <c r="O6552"/>
      <c r="P6552"/>
    </row>
    <row r="6553" spans="12:16">
      <c r="L6553"/>
      <c r="M6553"/>
      <c r="O6553"/>
      <c r="P6553"/>
    </row>
    <row r="6554" spans="12:16">
      <c r="L6554"/>
      <c r="M6554"/>
      <c r="O6554"/>
      <c r="P6554"/>
    </row>
    <row r="6555" spans="12:16">
      <c r="L6555"/>
      <c r="M6555"/>
      <c r="O6555"/>
      <c r="P6555"/>
    </row>
    <row r="6556" spans="12:16">
      <c r="L6556"/>
      <c r="M6556"/>
      <c r="O6556"/>
      <c r="P6556"/>
    </row>
    <row r="6557" spans="12:16">
      <c r="L6557"/>
      <c r="M6557"/>
      <c r="O6557"/>
      <c r="P6557"/>
    </row>
    <row r="6558" spans="12:16">
      <c r="L6558"/>
      <c r="M6558"/>
      <c r="O6558"/>
      <c r="P6558"/>
    </row>
    <row r="6559" spans="12:16">
      <c r="L6559"/>
      <c r="M6559"/>
      <c r="O6559"/>
      <c r="P6559"/>
    </row>
    <row r="6560" spans="12:16">
      <c r="L6560"/>
      <c r="M6560"/>
      <c r="O6560"/>
      <c r="P6560"/>
    </row>
    <row r="6561" spans="12:16">
      <c r="L6561"/>
      <c r="M6561"/>
      <c r="O6561"/>
      <c r="P6561"/>
    </row>
    <row r="6562" spans="12:16">
      <c r="L6562"/>
      <c r="M6562"/>
      <c r="O6562"/>
      <c r="P6562"/>
    </row>
    <row r="6563" spans="12:16">
      <c r="L6563"/>
      <c r="M6563"/>
      <c r="O6563"/>
      <c r="P6563"/>
    </row>
    <row r="6564" spans="12:16">
      <c r="L6564"/>
      <c r="M6564"/>
      <c r="O6564"/>
      <c r="P6564"/>
    </row>
    <row r="6565" spans="12:16">
      <c r="L6565"/>
      <c r="M6565"/>
      <c r="O6565"/>
      <c r="P6565"/>
    </row>
    <row r="6566" spans="12:16">
      <c r="L6566"/>
      <c r="M6566"/>
      <c r="O6566"/>
      <c r="P6566"/>
    </row>
    <row r="6567" spans="12:16">
      <c r="L6567"/>
      <c r="M6567"/>
      <c r="O6567"/>
      <c r="P6567"/>
    </row>
    <row r="6568" spans="12:16">
      <c r="L6568"/>
      <c r="M6568"/>
      <c r="O6568"/>
      <c r="P6568"/>
    </row>
    <row r="6569" spans="12:16">
      <c r="L6569"/>
      <c r="M6569"/>
      <c r="O6569"/>
      <c r="P6569"/>
    </row>
    <row r="6570" spans="12:16">
      <c r="L6570"/>
      <c r="M6570"/>
      <c r="O6570"/>
      <c r="P6570"/>
    </row>
    <row r="6571" spans="12:16">
      <c r="L6571"/>
      <c r="M6571"/>
      <c r="O6571"/>
      <c r="P6571"/>
    </row>
    <row r="6572" spans="12:16">
      <c r="L6572"/>
      <c r="M6572"/>
      <c r="O6572"/>
      <c r="P6572"/>
    </row>
    <row r="6573" spans="12:16">
      <c r="L6573"/>
      <c r="M6573"/>
      <c r="O6573"/>
      <c r="P6573"/>
    </row>
    <row r="6574" spans="12:16">
      <c r="L6574"/>
      <c r="M6574"/>
      <c r="O6574"/>
      <c r="P6574"/>
    </row>
    <row r="6575" spans="12:16">
      <c r="L6575"/>
      <c r="M6575"/>
      <c r="O6575"/>
      <c r="P6575"/>
    </row>
    <row r="6576" spans="12:16">
      <c r="L6576"/>
      <c r="M6576"/>
      <c r="O6576"/>
      <c r="P6576"/>
    </row>
    <row r="6577" spans="12:16">
      <c r="L6577"/>
      <c r="M6577"/>
      <c r="O6577"/>
      <c r="P6577"/>
    </row>
    <row r="6578" spans="12:16">
      <c r="L6578"/>
      <c r="M6578"/>
      <c r="O6578"/>
      <c r="P6578"/>
    </row>
    <row r="6579" spans="12:16">
      <c r="L6579"/>
      <c r="M6579"/>
      <c r="O6579"/>
      <c r="P6579"/>
    </row>
    <row r="6580" spans="12:16">
      <c r="L6580"/>
      <c r="M6580"/>
      <c r="O6580"/>
      <c r="P6580"/>
    </row>
    <row r="6581" spans="12:16">
      <c r="L6581"/>
      <c r="M6581"/>
      <c r="O6581"/>
      <c r="P6581"/>
    </row>
    <row r="6582" spans="12:16">
      <c r="L6582"/>
      <c r="M6582"/>
      <c r="O6582"/>
      <c r="P6582"/>
    </row>
    <row r="6583" spans="12:16">
      <c r="L6583"/>
      <c r="M6583"/>
      <c r="O6583"/>
      <c r="P6583"/>
    </row>
    <row r="6584" spans="12:16">
      <c r="L6584"/>
      <c r="M6584"/>
      <c r="O6584"/>
      <c r="P6584"/>
    </row>
    <row r="6585" spans="12:16">
      <c r="L6585"/>
      <c r="M6585"/>
      <c r="O6585"/>
      <c r="P6585"/>
    </row>
    <row r="6586" spans="12:16">
      <c r="L6586"/>
      <c r="M6586"/>
      <c r="O6586"/>
      <c r="P6586"/>
    </row>
    <row r="6587" spans="12:16">
      <c r="L6587"/>
      <c r="M6587"/>
      <c r="O6587"/>
      <c r="P6587"/>
    </row>
    <row r="6588" spans="12:16">
      <c r="L6588"/>
      <c r="M6588"/>
      <c r="O6588"/>
      <c r="P6588"/>
    </row>
    <row r="6589" spans="12:16">
      <c r="L6589"/>
      <c r="M6589"/>
      <c r="O6589"/>
      <c r="P6589"/>
    </row>
    <row r="6590" spans="12:16">
      <c r="L6590"/>
      <c r="M6590"/>
      <c r="O6590"/>
      <c r="P6590"/>
    </row>
    <row r="6591" spans="12:16">
      <c r="L6591"/>
      <c r="M6591"/>
      <c r="O6591"/>
      <c r="P6591"/>
    </row>
    <row r="6592" spans="12:16">
      <c r="L6592"/>
      <c r="M6592"/>
      <c r="O6592"/>
      <c r="P6592"/>
    </row>
    <row r="6593" spans="12:16">
      <c r="L6593"/>
      <c r="M6593"/>
      <c r="O6593"/>
      <c r="P6593"/>
    </row>
    <row r="6594" spans="12:16">
      <c r="L6594"/>
      <c r="M6594"/>
      <c r="O6594"/>
      <c r="P6594"/>
    </row>
    <row r="6595" spans="12:16">
      <c r="L6595"/>
      <c r="M6595"/>
      <c r="O6595"/>
      <c r="P6595"/>
    </row>
    <row r="6596" spans="12:16">
      <c r="L6596"/>
      <c r="M6596"/>
      <c r="O6596"/>
      <c r="P6596"/>
    </row>
    <row r="6597" spans="12:16">
      <c r="L6597"/>
      <c r="M6597"/>
      <c r="O6597"/>
      <c r="P6597"/>
    </row>
    <row r="6598" spans="12:16">
      <c r="L6598"/>
      <c r="M6598"/>
      <c r="O6598"/>
      <c r="P6598"/>
    </row>
    <row r="6599" spans="12:16">
      <c r="L6599"/>
      <c r="M6599"/>
      <c r="O6599"/>
      <c r="P6599"/>
    </row>
    <row r="6600" spans="12:16">
      <c r="L6600"/>
      <c r="M6600"/>
      <c r="O6600"/>
      <c r="P6600"/>
    </row>
    <row r="6601" spans="12:16">
      <c r="L6601"/>
      <c r="M6601"/>
      <c r="O6601"/>
      <c r="P6601"/>
    </row>
    <row r="6602" spans="12:16">
      <c r="L6602"/>
      <c r="M6602"/>
      <c r="O6602"/>
      <c r="P6602"/>
    </row>
    <row r="6603" spans="12:16">
      <c r="L6603"/>
      <c r="M6603"/>
      <c r="O6603"/>
      <c r="P6603"/>
    </row>
    <row r="6604" spans="12:16">
      <c r="L6604"/>
      <c r="M6604"/>
      <c r="O6604"/>
      <c r="P6604"/>
    </row>
    <row r="6605" spans="12:16">
      <c r="L6605"/>
      <c r="M6605"/>
      <c r="O6605"/>
      <c r="P6605"/>
    </row>
    <row r="6606" spans="12:16">
      <c r="L6606"/>
      <c r="M6606"/>
      <c r="O6606"/>
      <c r="P6606"/>
    </row>
    <row r="6607" spans="12:16">
      <c r="L6607"/>
      <c r="M6607"/>
      <c r="O6607"/>
      <c r="P6607"/>
    </row>
    <row r="6608" spans="12:16">
      <c r="L6608"/>
      <c r="M6608"/>
      <c r="O6608"/>
      <c r="P6608"/>
    </row>
    <row r="6609" spans="12:16">
      <c r="L6609"/>
      <c r="M6609"/>
      <c r="O6609"/>
      <c r="P6609"/>
    </row>
    <row r="6610" spans="12:16">
      <c r="L6610"/>
      <c r="M6610"/>
      <c r="O6610"/>
      <c r="P6610"/>
    </row>
    <row r="6611" spans="12:16">
      <c r="L6611"/>
      <c r="M6611"/>
      <c r="O6611"/>
      <c r="P6611"/>
    </row>
    <row r="6612" spans="12:16">
      <c r="L6612"/>
      <c r="M6612"/>
      <c r="O6612"/>
      <c r="P6612"/>
    </row>
    <row r="6613" spans="12:16">
      <c r="L6613"/>
      <c r="M6613"/>
      <c r="O6613"/>
      <c r="P6613"/>
    </row>
    <row r="6614" spans="12:16">
      <c r="L6614"/>
      <c r="M6614"/>
      <c r="O6614"/>
      <c r="P6614"/>
    </row>
    <row r="6615" spans="12:16">
      <c r="L6615"/>
      <c r="M6615"/>
      <c r="O6615"/>
      <c r="P6615"/>
    </row>
    <row r="6616" spans="12:16">
      <c r="L6616"/>
      <c r="M6616"/>
      <c r="O6616"/>
      <c r="P6616"/>
    </row>
    <row r="6617" spans="12:16">
      <c r="L6617"/>
      <c r="M6617"/>
      <c r="O6617"/>
      <c r="P6617"/>
    </row>
    <row r="6618" spans="12:16">
      <c r="L6618"/>
      <c r="M6618"/>
      <c r="O6618"/>
      <c r="P6618"/>
    </row>
    <row r="6619" spans="12:16">
      <c r="L6619"/>
      <c r="M6619"/>
      <c r="O6619"/>
      <c r="P6619"/>
    </row>
    <row r="6620" spans="12:16">
      <c r="L6620"/>
      <c r="M6620"/>
      <c r="O6620"/>
      <c r="P6620"/>
    </row>
    <row r="6621" spans="12:16">
      <c r="L6621"/>
      <c r="M6621"/>
      <c r="O6621"/>
      <c r="P6621"/>
    </row>
    <row r="6622" spans="12:16">
      <c r="L6622"/>
      <c r="M6622"/>
      <c r="O6622"/>
      <c r="P6622"/>
    </row>
    <row r="6623" spans="12:16">
      <c r="L6623"/>
      <c r="M6623"/>
      <c r="O6623"/>
      <c r="P6623"/>
    </row>
    <row r="6624" spans="12:16">
      <c r="L6624"/>
      <c r="M6624"/>
      <c r="O6624"/>
      <c r="P6624"/>
    </row>
    <row r="6625" spans="12:16">
      <c r="L6625"/>
      <c r="M6625"/>
      <c r="O6625"/>
      <c r="P6625"/>
    </row>
    <row r="6626" spans="12:16">
      <c r="L6626"/>
      <c r="M6626"/>
      <c r="O6626"/>
      <c r="P6626"/>
    </row>
    <row r="6627" spans="12:16">
      <c r="L6627"/>
      <c r="M6627"/>
      <c r="O6627"/>
      <c r="P6627"/>
    </row>
    <row r="6628" spans="12:16">
      <c r="L6628"/>
      <c r="M6628"/>
      <c r="O6628"/>
      <c r="P6628"/>
    </row>
    <row r="6629" spans="12:16">
      <c r="L6629"/>
      <c r="M6629"/>
      <c r="O6629"/>
      <c r="P6629"/>
    </row>
    <row r="6630" spans="12:16">
      <c r="L6630"/>
      <c r="M6630"/>
      <c r="O6630"/>
      <c r="P6630"/>
    </row>
    <row r="6631" spans="12:16">
      <c r="L6631"/>
      <c r="M6631"/>
      <c r="O6631"/>
      <c r="P6631"/>
    </row>
    <row r="6632" spans="12:16">
      <c r="L6632"/>
      <c r="M6632"/>
      <c r="O6632"/>
      <c r="P6632"/>
    </row>
    <row r="6633" spans="12:16">
      <c r="L6633"/>
      <c r="M6633"/>
      <c r="O6633"/>
      <c r="P6633"/>
    </row>
    <row r="6634" spans="12:16">
      <c r="L6634"/>
      <c r="M6634"/>
      <c r="O6634"/>
      <c r="P6634"/>
    </row>
    <row r="6635" spans="12:16">
      <c r="L6635"/>
      <c r="M6635"/>
      <c r="O6635"/>
      <c r="P6635"/>
    </row>
    <row r="6636" spans="12:16">
      <c r="L6636"/>
      <c r="M6636"/>
      <c r="O6636"/>
      <c r="P6636"/>
    </row>
    <row r="6637" spans="12:16">
      <c r="L6637"/>
      <c r="M6637"/>
      <c r="O6637"/>
      <c r="P6637"/>
    </row>
    <row r="6638" spans="12:16">
      <c r="L6638"/>
      <c r="M6638"/>
      <c r="O6638"/>
      <c r="P6638"/>
    </row>
    <row r="6639" spans="12:16">
      <c r="L6639"/>
      <c r="M6639"/>
      <c r="O6639"/>
      <c r="P6639"/>
    </row>
    <row r="6640" spans="12:16">
      <c r="L6640"/>
      <c r="M6640"/>
      <c r="O6640"/>
      <c r="P6640"/>
    </row>
    <row r="6641" spans="12:16">
      <c r="L6641"/>
      <c r="M6641"/>
      <c r="O6641"/>
      <c r="P6641"/>
    </row>
    <row r="6642" spans="12:16">
      <c r="L6642"/>
      <c r="M6642"/>
      <c r="O6642"/>
      <c r="P6642"/>
    </row>
    <row r="6643" spans="12:16">
      <c r="L6643"/>
      <c r="M6643"/>
      <c r="O6643"/>
      <c r="P6643"/>
    </row>
    <row r="6644" spans="12:16">
      <c r="L6644"/>
      <c r="M6644"/>
      <c r="O6644"/>
      <c r="P6644"/>
    </row>
    <row r="6645" spans="12:16">
      <c r="L6645"/>
      <c r="M6645"/>
      <c r="O6645"/>
      <c r="P6645"/>
    </row>
    <row r="6646" spans="12:16">
      <c r="L6646"/>
      <c r="M6646"/>
      <c r="O6646"/>
      <c r="P6646"/>
    </row>
    <row r="6647" spans="12:16">
      <c r="L6647"/>
      <c r="M6647"/>
      <c r="O6647"/>
      <c r="P6647"/>
    </row>
    <row r="6648" spans="12:16">
      <c r="L6648"/>
      <c r="M6648"/>
      <c r="O6648"/>
      <c r="P6648"/>
    </row>
    <row r="6649" spans="12:16">
      <c r="L6649"/>
      <c r="M6649"/>
      <c r="O6649"/>
      <c r="P6649"/>
    </row>
    <row r="6650" spans="12:16">
      <c r="L6650"/>
      <c r="M6650"/>
      <c r="O6650"/>
      <c r="P6650"/>
    </row>
    <row r="6651" spans="12:16">
      <c r="L6651"/>
      <c r="M6651"/>
      <c r="O6651"/>
      <c r="P6651"/>
    </row>
    <row r="6652" spans="12:16">
      <c r="L6652"/>
      <c r="M6652"/>
      <c r="O6652"/>
      <c r="P6652"/>
    </row>
    <row r="6653" spans="12:16">
      <c r="L6653"/>
      <c r="M6653"/>
      <c r="O6653"/>
      <c r="P6653"/>
    </row>
    <row r="6654" spans="12:16">
      <c r="L6654"/>
      <c r="M6654"/>
      <c r="O6654"/>
      <c r="P6654"/>
    </row>
    <row r="6655" spans="12:16">
      <c r="L6655"/>
      <c r="M6655"/>
      <c r="O6655"/>
      <c r="P6655"/>
    </row>
    <row r="6656" spans="12:16">
      <c r="L6656"/>
      <c r="M6656"/>
      <c r="O6656"/>
      <c r="P6656"/>
    </row>
    <row r="6657" spans="12:16">
      <c r="L6657"/>
      <c r="M6657"/>
      <c r="O6657"/>
      <c r="P6657"/>
    </row>
    <row r="6658" spans="12:16">
      <c r="L6658"/>
      <c r="M6658"/>
      <c r="O6658"/>
      <c r="P6658"/>
    </row>
    <row r="6659" spans="12:16">
      <c r="L6659"/>
      <c r="M6659"/>
      <c r="O6659"/>
      <c r="P6659"/>
    </row>
    <row r="6660" spans="12:16">
      <c r="L6660"/>
      <c r="M6660"/>
      <c r="O6660"/>
      <c r="P6660"/>
    </row>
    <row r="6661" spans="12:16">
      <c r="L6661"/>
      <c r="M6661"/>
      <c r="O6661"/>
      <c r="P6661"/>
    </row>
    <row r="6662" spans="12:16">
      <c r="L6662"/>
      <c r="M6662"/>
      <c r="O6662"/>
      <c r="P6662"/>
    </row>
    <row r="6663" spans="12:16">
      <c r="L6663"/>
      <c r="M6663"/>
      <c r="O6663"/>
      <c r="P6663"/>
    </row>
    <row r="6664" spans="12:16">
      <c r="L6664"/>
      <c r="M6664"/>
      <c r="O6664"/>
      <c r="P6664"/>
    </row>
    <row r="6665" spans="12:16">
      <c r="L6665"/>
      <c r="M6665"/>
      <c r="O6665"/>
      <c r="P6665"/>
    </row>
    <row r="6666" spans="12:16">
      <c r="L6666"/>
      <c r="M6666"/>
      <c r="O6666"/>
      <c r="P6666"/>
    </row>
    <row r="6667" spans="12:16">
      <c r="L6667"/>
      <c r="M6667"/>
      <c r="O6667"/>
      <c r="P6667"/>
    </row>
    <row r="6668" spans="12:16">
      <c r="L6668"/>
      <c r="M6668"/>
      <c r="O6668"/>
      <c r="P6668"/>
    </row>
    <row r="6669" spans="12:16">
      <c r="L6669"/>
      <c r="M6669"/>
      <c r="O6669"/>
      <c r="P6669"/>
    </row>
    <row r="6670" spans="12:16">
      <c r="L6670"/>
      <c r="M6670"/>
      <c r="O6670"/>
      <c r="P6670"/>
    </row>
    <row r="6671" spans="12:16">
      <c r="L6671"/>
      <c r="M6671"/>
      <c r="O6671"/>
      <c r="P6671"/>
    </row>
    <row r="6672" spans="12:16">
      <c r="L6672"/>
      <c r="M6672"/>
      <c r="O6672"/>
      <c r="P6672"/>
    </row>
    <row r="6673" spans="12:16">
      <c r="L6673"/>
      <c r="M6673"/>
      <c r="O6673"/>
      <c r="P6673"/>
    </row>
    <row r="6674" spans="12:16">
      <c r="L6674"/>
      <c r="M6674"/>
      <c r="O6674"/>
      <c r="P6674"/>
    </row>
    <row r="6675" spans="12:16">
      <c r="L6675"/>
      <c r="M6675"/>
      <c r="O6675"/>
      <c r="P6675"/>
    </row>
    <row r="6676" spans="12:16">
      <c r="L6676"/>
      <c r="M6676"/>
      <c r="O6676"/>
      <c r="P6676"/>
    </row>
    <row r="6677" spans="12:16">
      <c r="L6677"/>
      <c r="M6677"/>
      <c r="O6677"/>
      <c r="P6677"/>
    </row>
    <row r="6678" spans="12:16">
      <c r="L6678"/>
      <c r="M6678"/>
      <c r="O6678"/>
      <c r="P6678"/>
    </row>
    <row r="6679" spans="12:16">
      <c r="L6679"/>
      <c r="M6679"/>
      <c r="O6679"/>
      <c r="P6679"/>
    </row>
    <row r="6680" spans="12:16">
      <c r="L6680"/>
      <c r="M6680"/>
      <c r="O6680"/>
      <c r="P6680"/>
    </row>
    <row r="6681" spans="12:16">
      <c r="L6681"/>
      <c r="M6681"/>
      <c r="O6681"/>
      <c r="P6681"/>
    </row>
    <row r="6682" spans="12:16">
      <c r="L6682"/>
      <c r="M6682"/>
      <c r="O6682"/>
      <c r="P6682"/>
    </row>
    <row r="6683" spans="12:16">
      <c r="L6683"/>
      <c r="M6683"/>
      <c r="O6683"/>
      <c r="P6683"/>
    </row>
    <row r="6684" spans="12:16">
      <c r="L6684"/>
      <c r="M6684"/>
      <c r="O6684"/>
      <c r="P6684"/>
    </row>
    <row r="6685" spans="12:16">
      <c r="L6685"/>
      <c r="M6685"/>
      <c r="O6685"/>
      <c r="P6685"/>
    </row>
    <row r="6686" spans="12:16">
      <c r="L6686"/>
      <c r="M6686"/>
      <c r="O6686"/>
      <c r="P6686"/>
    </row>
    <row r="6687" spans="12:16">
      <c r="L6687"/>
      <c r="M6687"/>
      <c r="O6687"/>
      <c r="P6687"/>
    </row>
    <row r="6688" spans="12:16">
      <c r="L6688"/>
      <c r="M6688"/>
      <c r="O6688"/>
      <c r="P6688"/>
    </row>
    <row r="6689" spans="12:16">
      <c r="L6689"/>
      <c r="M6689"/>
      <c r="O6689"/>
      <c r="P6689"/>
    </row>
    <row r="6690" spans="12:16">
      <c r="L6690"/>
      <c r="M6690"/>
      <c r="O6690"/>
      <c r="P6690"/>
    </row>
    <row r="6691" spans="12:16">
      <c r="L6691"/>
      <c r="M6691"/>
      <c r="O6691"/>
      <c r="P6691"/>
    </row>
    <row r="6692" spans="12:16">
      <c r="L6692"/>
      <c r="M6692"/>
      <c r="O6692"/>
      <c r="P6692"/>
    </row>
    <row r="6693" spans="12:16">
      <c r="L6693"/>
      <c r="M6693"/>
      <c r="O6693"/>
      <c r="P6693"/>
    </row>
    <row r="6694" spans="12:16">
      <c r="L6694"/>
      <c r="M6694"/>
      <c r="O6694"/>
      <c r="P6694"/>
    </row>
    <row r="6695" spans="12:16">
      <c r="L6695"/>
      <c r="M6695"/>
      <c r="O6695"/>
      <c r="P6695"/>
    </row>
    <row r="6696" spans="12:16">
      <c r="L6696"/>
      <c r="M6696"/>
      <c r="O6696"/>
      <c r="P6696"/>
    </row>
    <row r="6697" spans="12:16">
      <c r="L6697"/>
      <c r="M6697"/>
      <c r="O6697"/>
      <c r="P6697"/>
    </row>
    <row r="6698" spans="12:16">
      <c r="L6698"/>
      <c r="M6698"/>
      <c r="O6698"/>
      <c r="P6698"/>
    </row>
    <row r="6699" spans="12:16">
      <c r="L6699"/>
      <c r="M6699"/>
      <c r="O6699"/>
      <c r="P6699"/>
    </row>
    <row r="6700" spans="12:16">
      <c r="L6700"/>
      <c r="M6700"/>
      <c r="O6700"/>
      <c r="P6700"/>
    </row>
    <row r="6701" spans="12:16">
      <c r="L6701"/>
      <c r="M6701"/>
      <c r="O6701"/>
      <c r="P6701"/>
    </row>
    <row r="6702" spans="12:16">
      <c r="L6702"/>
      <c r="M6702"/>
      <c r="O6702"/>
      <c r="P6702"/>
    </row>
    <row r="6703" spans="12:16">
      <c r="L6703"/>
      <c r="M6703"/>
      <c r="O6703"/>
      <c r="P6703"/>
    </row>
    <row r="6704" spans="12:16">
      <c r="L6704"/>
      <c r="M6704"/>
      <c r="O6704"/>
      <c r="P6704"/>
    </row>
    <row r="6705" spans="12:16">
      <c r="L6705"/>
      <c r="M6705"/>
      <c r="O6705"/>
      <c r="P6705"/>
    </row>
    <row r="6706" spans="12:16">
      <c r="L6706"/>
      <c r="M6706"/>
      <c r="O6706"/>
      <c r="P6706"/>
    </row>
    <row r="6707" spans="12:16">
      <c r="L6707"/>
      <c r="M6707"/>
      <c r="O6707"/>
      <c r="P6707"/>
    </row>
    <row r="6708" spans="12:16">
      <c r="L6708"/>
      <c r="M6708"/>
      <c r="O6708"/>
      <c r="P6708"/>
    </row>
    <row r="6709" spans="12:16">
      <c r="L6709"/>
      <c r="M6709"/>
      <c r="O6709"/>
      <c r="P6709"/>
    </row>
    <row r="6710" spans="12:16">
      <c r="L6710"/>
      <c r="M6710"/>
      <c r="O6710"/>
      <c r="P6710"/>
    </row>
    <row r="6711" spans="12:16">
      <c r="L6711"/>
      <c r="M6711"/>
      <c r="O6711"/>
      <c r="P6711"/>
    </row>
    <row r="6712" spans="12:16">
      <c r="L6712"/>
      <c r="M6712"/>
      <c r="O6712"/>
      <c r="P6712"/>
    </row>
    <row r="6713" spans="12:16">
      <c r="L6713"/>
      <c r="M6713"/>
      <c r="O6713"/>
      <c r="P6713"/>
    </row>
    <row r="6714" spans="12:16">
      <c r="L6714"/>
      <c r="M6714"/>
      <c r="O6714"/>
      <c r="P6714"/>
    </row>
    <row r="6715" spans="12:16">
      <c r="L6715"/>
      <c r="M6715"/>
      <c r="O6715"/>
      <c r="P6715"/>
    </row>
    <row r="6716" spans="12:16">
      <c r="L6716"/>
      <c r="M6716"/>
      <c r="O6716"/>
      <c r="P6716"/>
    </row>
    <row r="6717" spans="12:16">
      <c r="L6717"/>
      <c r="M6717"/>
      <c r="O6717"/>
      <c r="P6717"/>
    </row>
    <row r="6718" spans="12:16">
      <c r="L6718"/>
      <c r="M6718"/>
      <c r="O6718"/>
      <c r="P6718"/>
    </row>
    <row r="6719" spans="12:16">
      <c r="L6719"/>
      <c r="M6719"/>
      <c r="O6719"/>
      <c r="P6719"/>
    </row>
    <row r="6720" spans="12:16">
      <c r="L6720"/>
      <c r="M6720"/>
      <c r="O6720"/>
      <c r="P6720"/>
    </row>
    <row r="6721" spans="12:16">
      <c r="L6721"/>
      <c r="M6721"/>
      <c r="O6721"/>
      <c r="P6721"/>
    </row>
    <row r="6722" spans="12:16">
      <c r="L6722"/>
      <c r="M6722"/>
      <c r="O6722"/>
      <c r="P6722"/>
    </row>
    <row r="6723" spans="12:16">
      <c r="L6723"/>
      <c r="M6723"/>
      <c r="O6723"/>
      <c r="P6723"/>
    </row>
    <row r="6724" spans="12:16">
      <c r="L6724"/>
      <c r="M6724"/>
      <c r="O6724"/>
      <c r="P6724"/>
    </row>
    <row r="6725" spans="12:16">
      <c r="L6725"/>
      <c r="M6725"/>
      <c r="O6725"/>
      <c r="P6725"/>
    </row>
    <row r="6726" spans="12:16">
      <c r="L6726"/>
      <c r="M6726"/>
      <c r="O6726"/>
      <c r="P6726"/>
    </row>
    <row r="6727" spans="12:16">
      <c r="L6727"/>
      <c r="M6727"/>
      <c r="O6727"/>
      <c r="P6727"/>
    </row>
    <row r="6728" spans="12:16">
      <c r="L6728"/>
      <c r="M6728"/>
      <c r="O6728"/>
      <c r="P6728"/>
    </row>
    <row r="6729" spans="12:16">
      <c r="L6729"/>
      <c r="M6729"/>
      <c r="O6729"/>
      <c r="P6729"/>
    </row>
    <row r="6730" spans="12:16">
      <c r="L6730"/>
      <c r="M6730"/>
      <c r="O6730"/>
      <c r="P6730"/>
    </row>
    <row r="6731" spans="12:16">
      <c r="L6731"/>
      <c r="M6731"/>
      <c r="O6731"/>
      <c r="P6731"/>
    </row>
    <row r="6732" spans="12:16">
      <c r="L6732"/>
      <c r="M6732"/>
      <c r="O6732"/>
      <c r="P6732"/>
    </row>
    <row r="6733" spans="12:16">
      <c r="L6733"/>
      <c r="M6733"/>
      <c r="O6733"/>
      <c r="P6733"/>
    </row>
    <row r="6734" spans="12:16">
      <c r="L6734"/>
      <c r="M6734"/>
      <c r="O6734"/>
      <c r="P6734"/>
    </row>
    <row r="6735" spans="12:16">
      <c r="L6735"/>
      <c r="M6735"/>
      <c r="O6735"/>
      <c r="P6735"/>
    </row>
    <row r="6736" spans="12:16">
      <c r="L6736"/>
      <c r="M6736"/>
      <c r="O6736"/>
      <c r="P6736"/>
    </row>
    <row r="6737" spans="12:16">
      <c r="L6737"/>
      <c r="M6737"/>
      <c r="O6737"/>
      <c r="P6737"/>
    </row>
    <row r="6738" spans="12:16">
      <c r="L6738"/>
      <c r="M6738"/>
      <c r="O6738"/>
      <c r="P6738"/>
    </row>
    <row r="6739" spans="12:16">
      <c r="L6739"/>
      <c r="M6739"/>
      <c r="O6739"/>
      <c r="P6739"/>
    </row>
    <row r="6740" spans="12:16">
      <c r="L6740"/>
      <c r="M6740"/>
      <c r="O6740"/>
      <c r="P6740"/>
    </row>
    <row r="6741" spans="12:16">
      <c r="L6741"/>
      <c r="M6741"/>
      <c r="O6741"/>
      <c r="P6741"/>
    </row>
    <row r="6742" spans="12:16">
      <c r="L6742"/>
      <c r="M6742"/>
      <c r="O6742"/>
      <c r="P6742"/>
    </row>
    <row r="6743" spans="12:16">
      <c r="L6743"/>
      <c r="M6743"/>
      <c r="O6743"/>
      <c r="P6743"/>
    </row>
    <row r="6744" spans="12:16">
      <c r="L6744"/>
      <c r="M6744"/>
      <c r="O6744"/>
      <c r="P6744"/>
    </row>
    <row r="6745" spans="12:16">
      <c r="L6745"/>
      <c r="M6745"/>
      <c r="O6745"/>
      <c r="P6745"/>
    </row>
    <row r="6746" spans="12:16">
      <c r="L6746"/>
      <c r="M6746"/>
      <c r="O6746"/>
      <c r="P6746"/>
    </row>
    <row r="6747" spans="12:16">
      <c r="L6747"/>
      <c r="M6747"/>
      <c r="O6747"/>
      <c r="P6747"/>
    </row>
    <row r="6748" spans="12:16">
      <c r="L6748"/>
      <c r="M6748"/>
      <c r="O6748"/>
      <c r="P6748"/>
    </row>
    <row r="6749" spans="12:16">
      <c r="L6749"/>
      <c r="M6749"/>
      <c r="O6749"/>
      <c r="P6749"/>
    </row>
    <row r="6750" spans="12:16">
      <c r="L6750"/>
      <c r="M6750"/>
      <c r="O6750"/>
      <c r="P6750"/>
    </row>
    <row r="6751" spans="12:16">
      <c r="L6751"/>
      <c r="M6751"/>
      <c r="O6751"/>
      <c r="P6751"/>
    </row>
    <row r="6752" spans="12:16">
      <c r="L6752"/>
      <c r="M6752"/>
      <c r="O6752"/>
      <c r="P6752"/>
    </row>
    <row r="6753" spans="12:16">
      <c r="L6753"/>
      <c r="M6753"/>
      <c r="O6753"/>
      <c r="P6753"/>
    </row>
    <row r="6754" spans="12:16">
      <c r="L6754"/>
      <c r="M6754"/>
      <c r="O6754"/>
      <c r="P6754"/>
    </row>
    <row r="6755" spans="12:16">
      <c r="L6755"/>
      <c r="M6755"/>
      <c r="O6755"/>
      <c r="P6755"/>
    </row>
    <row r="6756" spans="12:16">
      <c r="L6756"/>
      <c r="M6756"/>
      <c r="O6756"/>
      <c r="P6756"/>
    </row>
    <row r="6757" spans="12:16">
      <c r="L6757"/>
      <c r="M6757"/>
      <c r="O6757"/>
      <c r="P6757"/>
    </row>
    <row r="6758" spans="12:16">
      <c r="L6758"/>
      <c r="M6758"/>
      <c r="O6758"/>
      <c r="P6758"/>
    </row>
    <row r="6759" spans="12:16">
      <c r="L6759"/>
      <c r="M6759"/>
      <c r="O6759"/>
      <c r="P6759"/>
    </row>
    <row r="6760" spans="12:16">
      <c r="L6760"/>
      <c r="M6760"/>
      <c r="O6760"/>
      <c r="P6760"/>
    </row>
    <row r="6761" spans="12:16">
      <c r="L6761"/>
      <c r="M6761"/>
      <c r="O6761"/>
      <c r="P6761"/>
    </row>
    <row r="6762" spans="12:16">
      <c r="L6762"/>
      <c r="M6762"/>
      <c r="O6762"/>
      <c r="P6762"/>
    </row>
    <row r="6763" spans="12:16">
      <c r="L6763"/>
      <c r="M6763"/>
      <c r="O6763"/>
      <c r="P6763"/>
    </row>
    <row r="6764" spans="12:16">
      <c r="L6764"/>
      <c r="M6764"/>
      <c r="O6764"/>
      <c r="P6764"/>
    </row>
    <row r="6765" spans="12:16">
      <c r="L6765"/>
      <c r="M6765"/>
      <c r="O6765"/>
      <c r="P6765"/>
    </row>
    <row r="6766" spans="12:16">
      <c r="L6766"/>
      <c r="M6766"/>
      <c r="O6766"/>
      <c r="P6766"/>
    </row>
    <row r="6767" spans="12:16">
      <c r="L6767"/>
      <c r="M6767"/>
      <c r="O6767"/>
      <c r="P6767"/>
    </row>
    <row r="6768" spans="12:16">
      <c r="L6768"/>
      <c r="M6768"/>
      <c r="O6768"/>
      <c r="P6768"/>
    </row>
    <row r="6769" spans="12:16">
      <c r="L6769"/>
      <c r="M6769"/>
      <c r="O6769"/>
      <c r="P6769"/>
    </row>
    <row r="6770" spans="12:16">
      <c r="L6770"/>
      <c r="M6770"/>
      <c r="O6770"/>
      <c r="P6770"/>
    </row>
    <row r="6771" spans="12:16">
      <c r="L6771"/>
      <c r="M6771"/>
      <c r="O6771"/>
      <c r="P6771"/>
    </row>
    <row r="6772" spans="12:16">
      <c r="L6772"/>
      <c r="M6772"/>
      <c r="O6772"/>
      <c r="P6772"/>
    </row>
    <row r="6773" spans="12:16">
      <c r="L6773"/>
      <c r="M6773"/>
      <c r="O6773"/>
      <c r="P6773"/>
    </row>
    <row r="6774" spans="12:16">
      <c r="L6774"/>
      <c r="M6774"/>
      <c r="O6774"/>
      <c r="P6774"/>
    </row>
    <row r="6775" spans="12:16">
      <c r="L6775"/>
      <c r="M6775"/>
      <c r="O6775"/>
      <c r="P6775"/>
    </row>
    <row r="6776" spans="12:16">
      <c r="L6776"/>
      <c r="M6776"/>
      <c r="O6776"/>
      <c r="P6776"/>
    </row>
    <row r="6777" spans="12:16">
      <c r="L6777"/>
      <c r="M6777"/>
      <c r="O6777"/>
      <c r="P6777"/>
    </row>
    <row r="6778" spans="12:16">
      <c r="L6778"/>
      <c r="M6778"/>
      <c r="O6778"/>
      <c r="P6778"/>
    </row>
    <row r="6779" spans="12:16">
      <c r="L6779"/>
      <c r="M6779"/>
      <c r="O6779"/>
      <c r="P6779"/>
    </row>
    <row r="6780" spans="12:16">
      <c r="L6780"/>
      <c r="M6780"/>
      <c r="O6780"/>
      <c r="P6780"/>
    </row>
    <row r="6781" spans="12:16">
      <c r="L6781"/>
      <c r="M6781"/>
      <c r="O6781"/>
      <c r="P6781"/>
    </row>
    <row r="6782" spans="12:16">
      <c r="L6782"/>
      <c r="M6782"/>
      <c r="O6782"/>
      <c r="P6782"/>
    </row>
    <row r="6783" spans="12:16">
      <c r="L6783"/>
      <c r="M6783"/>
      <c r="O6783"/>
      <c r="P6783"/>
    </row>
    <row r="6784" spans="12:16">
      <c r="L6784"/>
      <c r="M6784"/>
      <c r="O6784"/>
      <c r="P6784"/>
    </row>
    <row r="6785" spans="12:16">
      <c r="L6785"/>
      <c r="M6785"/>
      <c r="O6785"/>
      <c r="P6785"/>
    </row>
    <row r="6786" spans="12:16">
      <c r="L6786"/>
      <c r="M6786"/>
      <c r="O6786"/>
      <c r="P6786"/>
    </row>
    <row r="6787" spans="12:16">
      <c r="L6787"/>
      <c r="M6787"/>
      <c r="O6787"/>
      <c r="P6787"/>
    </row>
    <row r="6788" spans="12:16">
      <c r="L6788"/>
      <c r="M6788"/>
      <c r="O6788"/>
      <c r="P6788"/>
    </row>
    <row r="6789" spans="12:16">
      <c r="L6789"/>
      <c r="M6789"/>
      <c r="O6789"/>
      <c r="P6789"/>
    </row>
    <row r="6790" spans="12:16">
      <c r="L6790"/>
      <c r="M6790"/>
      <c r="O6790"/>
      <c r="P6790"/>
    </row>
    <row r="6791" spans="12:16">
      <c r="L6791"/>
      <c r="M6791"/>
      <c r="O6791"/>
      <c r="P6791"/>
    </row>
    <row r="6792" spans="12:16">
      <c r="L6792"/>
      <c r="M6792"/>
      <c r="O6792"/>
      <c r="P6792"/>
    </row>
    <row r="6793" spans="12:16">
      <c r="L6793"/>
      <c r="M6793"/>
      <c r="O6793"/>
      <c r="P6793"/>
    </row>
    <row r="6794" spans="12:16">
      <c r="L6794"/>
      <c r="M6794"/>
      <c r="O6794"/>
      <c r="P6794"/>
    </row>
    <row r="6795" spans="12:16">
      <c r="L6795"/>
      <c r="M6795"/>
      <c r="O6795"/>
      <c r="P6795"/>
    </row>
    <row r="6796" spans="12:16">
      <c r="L6796"/>
      <c r="M6796"/>
      <c r="O6796"/>
      <c r="P6796"/>
    </row>
    <row r="6797" spans="12:16">
      <c r="L6797"/>
      <c r="M6797"/>
      <c r="O6797"/>
      <c r="P6797"/>
    </row>
    <row r="6798" spans="12:16">
      <c r="L6798"/>
      <c r="M6798"/>
      <c r="O6798"/>
      <c r="P6798"/>
    </row>
    <row r="6799" spans="12:16">
      <c r="L6799"/>
      <c r="M6799"/>
      <c r="O6799"/>
      <c r="P6799"/>
    </row>
    <row r="6800" spans="12:16">
      <c r="L6800"/>
      <c r="M6800"/>
      <c r="O6800"/>
      <c r="P6800"/>
    </row>
    <row r="6801" spans="12:16">
      <c r="L6801"/>
      <c r="M6801"/>
      <c r="O6801"/>
      <c r="P6801"/>
    </row>
    <row r="6802" spans="12:16">
      <c r="L6802"/>
      <c r="M6802"/>
      <c r="O6802"/>
      <c r="P6802"/>
    </row>
    <row r="6803" spans="12:16">
      <c r="L6803"/>
      <c r="M6803"/>
      <c r="O6803"/>
      <c r="P6803"/>
    </row>
    <row r="6804" spans="12:16">
      <c r="L6804"/>
      <c r="M6804"/>
      <c r="O6804"/>
      <c r="P6804"/>
    </row>
    <row r="6805" spans="12:16">
      <c r="L6805"/>
      <c r="M6805"/>
      <c r="O6805"/>
      <c r="P6805"/>
    </row>
    <row r="6806" spans="12:16">
      <c r="L6806"/>
      <c r="M6806"/>
      <c r="O6806"/>
      <c r="P6806"/>
    </row>
    <row r="6807" spans="12:16">
      <c r="L6807"/>
      <c r="M6807"/>
      <c r="O6807"/>
      <c r="P6807"/>
    </row>
    <row r="6808" spans="12:16">
      <c r="L6808"/>
      <c r="M6808"/>
      <c r="O6808"/>
      <c r="P6808"/>
    </row>
    <row r="6809" spans="12:16">
      <c r="L6809"/>
      <c r="M6809"/>
      <c r="O6809"/>
      <c r="P6809"/>
    </row>
    <row r="6810" spans="12:16">
      <c r="L6810"/>
      <c r="M6810"/>
      <c r="O6810"/>
      <c r="P6810"/>
    </row>
    <row r="6811" spans="12:16">
      <c r="L6811"/>
      <c r="M6811"/>
      <c r="O6811"/>
      <c r="P6811"/>
    </row>
    <row r="6812" spans="12:16">
      <c r="L6812"/>
      <c r="M6812"/>
      <c r="O6812"/>
      <c r="P6812"/>
    </row>
    <row r="6813" spans="12:16">
      <c r="L6813"/>
      <c r="M6813"/>
      <c r="O6813"/>
      <c r="P6813"/>
    </row>
    <row r="6814" spans="12:16">
      <c r="L6814"/>
      <c r="M6814"/>
      <c r="O6814"/>
      <c r="P6814"/>
    </row>
    <row r="6815" spans="12:16">
      <c r="L6815"/>
      <c r="M6815"/>
      <c r="O6815"/>
      <c r="P6815"/>
    </row>
    <row r="6816" spans="12:16">
      <c r="L6816"/>
      <c r="M6816"/>
      <c r="O6816"/>
      <c r="P6816"/>
    </row>
    <row r="6817" spans="12:16">
      <c r="L6817"/>
      <c r="M6817"/>
      <c r="O6817"/>
      <c r="P6817"/>
    </row>
    <row r="6818" spans="12:16">
      <c r="L6818"/>
      <c r="M6818"/>
      <c r="O6818"/>
      <c r="P6818"/>
    </row>
    <row r="6819" spans="12:16">
      <c r="L6819"/>
      <c r="M6819"/>
      <c r="O6819"/>
      <c r="P6819"/>
    </row>
    <row r="6820" spans="12:16">
      <c r="L6820"/>
      <c r="M6820"/>
      <c r="O6820"/>
      <c r="P6820"/>
    </row>
    <row r="6821" spans="12:16">
      <c r="L6821"/>
      <c r="M6821"/>
      <c r="O6821"/>
      <c r="P6821"/>
    </row>
    <row r="6822" spans="12:16">
      <c r="L6822"/>
      <c r="M6822"/>
      <c r="O6822"/>
      <c r="P6822"/>
    </row>
    <row r="6823" spans="12:16">
      <c r="L6823"/>
      <c r="M6823"/>
      <c r="O6823"/>
      <c r="P6823"/>
    </row>
    <row r="6824" spans="12:16">
      <c r="L6824"/>
      <c r="M6824"/>
      <c r="O6824"/>
      <c r="P6824"/>
    </row>
    <row r="6825" spans="12:16">
      <c r="L6825"/>
      <c r="M6825"/>
      <c r="O6825"/>
      <c r="P6825"/>
    </row>
    <row r="6826" spans="12:16">
      <c r="L6826"/>
      <c r="M6826"/>
      <c r="O6826"/>
      <c r="P6826"/>
    </row>
    <row r="6827" spans="12:16">
      <c r="L6827"/>
      <c r="M6827"/>
      <c r="O6827"/>
      <c r="P6827"/>
    </row>
    <row r="6828" spans="12:16">
      <c r="L6828"/>
      <c r="M6828"/>
      <c r="O6828"/>
      <c r="P6828"/>
    </row>
    <row r="6829" spans="12:16">
      <c r="L6829"/>
      <c r="M6829"/>
      <c r="O6829"/>
      <c r="P6829"/>
    </row>
    <row r="6830" spans="12:16">
      <c r="L6830"/>
      <c r="M6830"/>
      <c r="O6830"/>
      <c r="P6830"/>
    </row>
    <row r="6831" spans="12:16">
      <c r="L6831"/>
      <c r="M6831"/>
      <c r="O6831"/>
      <c r="P6831"/>
    </row>
    <row r="6832" spans="12:16">
      <c r="L6832"/>
      <c r="M6832"/>
      <c r="O6832"/>
      <c r="P6832"/>
    </row>
    <row r="6833" spans="12:16">
      <c r="L6833"/>
      <c r="M6833"/>
      <c r="O6833"/>
      <c r="P6833"/>
    </row>
    <row r="6834" spans="12:16">
      <c r="L6834"/>
      <c r="M6834"/>
      <c r="O6834"/>
      <c r="P6834"/>
    </row>
    <row r="6835" spans="12:16">
      <c r="L6835"/>
      <c r="M6835"/>
      <c r="O6835"/>
      <c r="P6835"/>
    </row>
    <row r="6836" spans="12:16">
      <c r="L6836"/>
      <c r="M6836"/>
      <c r="O6836"/>
      <c r="P6836"/>
    </row>
    <row r="6837" spans="12:16">
      <c r="L6837"/>
      <c r="M6837"/>
      <c r="O6837"/>
      <c r="P6837"/>
    </row>
    <row r="6838" spans="12:16">
      <c r="L6838"/>
      <c r="M6838"/>
      <c r="O6838"/>
      <c r="P6838"/>
    </row>
    <row r="6839" spans="12:16">
      <c r="L6839"/>
      <c r="M6839"/>
      <c r="O6839"/>
      <c r="P6839"/>
    </row>
    <row r="6840" spans="12:16">
      <c r="L6840"/>
      <c r="M6840"/>
      <c r="O6840"/>
      <c r="P6840"/>
    </row>
    <row r="6841" spans="12:16">
      <c r="L6841"/>
      <c r="M6841"/>
      <c r="O6841"/>
      <c r="P6841"/>
    </row>
    <row r="6842" spans="12:16">
      <c r="L6842"/>
      <c r="M6842"/>
      <c r="O6842"/>
      <c r="P6842"/>
    </row>
    <row r="6843" spans="12:16">
      <c r="L6843"/>
      <c r="M6843"/>
      <c r="O6843"/>
      <c r="P6843"/>
    </row>
    <row r="6844" spans="12:16">
      <c r="L6844"/>
      <c r="M6844"/>
      <c r="O6844"/>
      <c r="P6844"/>
    </row>
    <row r="6845" spans="12:16">
      <c r="L6845"/>
      <c r="M6845"/>
      <c r="O6845"/>
      <c r="P6845"/>
    </row>
    <row r="6846" spans="12:16">
      <c r="L6846"/>
      <c r="M6846"/>
      <c r="O6846"/>
      <c r="P6846"/>
    </row>
    <row r="6847" spans="12:16">
      <c r="L6847"/>
      <c r="M6847"/>
      <c r="O6847"/>
      <c r="P6847"/>
    </row>
    <row r="6848" spans="12:16">
      <c r="L6848"/>
      <c r="M6848"/>
      <c r="O6848"/>
      <c r="P6848"/>
    </row>
    <row r="6849" spans="12:16">
      <c r="L6849"/>
      <c r="M6849"/>
      <c r="O6849"/>
      <c r="P6849"/>
    </row>
    <row r="6850" spans="12:16">
      <c r="L6850"/>
      <c r="M6850"/>
      <c r="O6850"/>
      <c r="P6850"/>
    </row>
    <row r="6851" spans="12:16">
      <c r="L6851"/>
      <c r="M6851"/>
      <c r="O6851"/>
      <c r="P6851"/>
    </row>
    <row r="6852" spans="12:16">
      <c r="L6852"/>
      <c r="M6852"/>
      <c r="O6852"/>
      <c r="P6852"/>
    </row>
    <row r="6853" spans="12:16">
      <c r="L6853"/>
      <c r="M6853"/>
      <c r="O6853"/>
      <c r="P6853"/>
    </row>
    <row r="6854" spans="12:16">
      <c r="L6854"/>
      <c r="M6854"/>
      <c r="O6854"/>
      <c r="P6854"/>
    </row>
    <row r="6855" spans="12:16">
      <c r="L6855"/>
      <c r="M6855"/>
      <c r="O6855"/>
      <c r="P6855"/>
    </row>
    <row r="6856" spans="12:16">
      <c r="L6856"/>
      <c r="M6856"/>
      <c r="O6856"/>
      <c r="P6856"/>
    </row>
    <row r="6857" spans="12:16">
      <c r="L6857"/>
      <c r="M6857"/>
      <c r="O6857"/>
      <c r="P6857"/>
    </row>
    <row r="6858" spans="12:16">
      <c r="L6858"/>
      <c r="M6858"/>
      <c r="O6858"/>
      <c r="P6858"/>
    </row>
    <row r="6859" spans="12:16">
      <c r="L6859"/>
      <c r="M6859"/>
      <c r="O6859"/>
      <c r="P6859"/>
    </row>
    <row r="6860" spans="12:16">
      <c r="L6860"/>
      <c r="M6860"/>
      <c r="O6860"/>
      <c r="P6860"/>
    </row>
    <row r="6861" spans="12:16">
      <c r="L6861"/>
      <c r="M6861"/>
      <c r="O6861"/>
      <c r="P6861"/>
    </row>
    <row r="6862" spans="12:16">
      <c r="L6862"/>
      <c r="M6862"/>
      <c r="O6862"/>
      <c r="P6862"/>
    </row>
    <row r="6863" spans="12:16">
      <c r="L6863"/>
      <c r="M6863"/>
      <c r="O6863"/>
      <c r="P6863"/>
    </row>
    <row r="6864" spans="12:16">
      <c r="L6864"/>
      <c r="M6864"/>
      <c r="O6864"/>
      <c r="P6864"/>
    </row>
    <row r="6865" spans="12:16">
      <c r="L6865"/>
      <c r="M6865"/>
      <c r="O6865"/>
      <c r="P6865"/>
    </row>
    <row r="6866" spans="12:16">
      <c r="L6866"/>
      <c r="M6866"/>
      <c r="O6866"/>
      <c r="P6866"/>
    </row>
    <row r="6867" spans="12:16">
      <c r="L6867"/>
      <c r="M6867"/>
      <c r="O6867"/>
      <c r="P6867"/>
    </row>
    <row r="6868" spans="12:16">
      <c r="L6868"/>
      <c r="M6868"/>
      <c r="O6868"/>
      <c r="P6868"/>
    </row>
    <row r="6869" spans="12:16">
      <c r="L6869"/>
      <c r="M6869"/>
      <c r="O6869"/>
      <c r="P6869"/>
    </row>
    <row r="6870" spans="12:16">
      <c r="L6870"/>
      <c r="M6870"/>
      <c r="O6870"/>
      <c r="P6870"/>
    </row>
    <row r="6871" spans="12:16">
      <c r="L6871"/>
      <c r="M6871"/>
      <c r="O6871"/>
      <c r="P6871"/>
    </row>
    <row r="6872" spans="12:16">
      <c r="L6872"/>
      <c r="M6872"/>
      <c r="O6872"/>
      <c r="P6872"/>
    </row>
    <row r="6873" spans="12:16">
      <c r="L6873"/>
      <c r="M6873"/>
      <c r="O6873"/>
      <c r="P6873"/>
    </row>
    <row r="6874" spans="12:16">
      <c r="L6874"/>
      <c r="M6874"/>
      <c r="O6874"/>
      <c r="P6874"/>
    </row>
    <row r="6875" spans="12:16">
      <c r="L6875"/>
      <c r="M6875"/>
      <c r="O6875"/>
      <c r="P6875"/>
    </row>
    <row r="6876" spans="12:16">
      <c r="L6876"/>
      <c r="M6876"/>
      <c r="O6876"/>
      <c r="P6876"/>
    </row>
    <row r="6877" spans="12:16">
      <c r="L6877"/>
      <c r="M6877"/>
      <c r="O6877"/>
      <c r="P6877"/>
    </row>
    <row r="6878" spans="12:16">
      <c r="L6878"/>
      <c r="M6878"/>
      <c r="O6878"/>
      <c r="P6878"/>
    </row>
    <row r="6879" spans="12:16">
      <c r="L6879"/>
      <c r="M6879"/>
      <c r="O6879"/>
      <c r="P6879"/>
    </row>
    <row r="6880" spans="12:16">
      <c r="L6880"/>
      <c r="M6880"/>
      <c r="O6880"/>
      <c r="P6880"/>
    </row>
    <row r="6881" spans="12:16">
      <c r="L6881"/>
      <c r="M6881"/>
      <c r="O6881"/>
      <c r="P6881"/>
    </row>
    <row r="6882" spans="12:16">
      <c r="L6882"/>
      <c r="M6882"/>
      <c r="O6882"/>
      <c r="P6882"/>
    </row>
    <row r="6883" spans="12:16">
      <c r="L6883"/>
      <c r="M6883"/>
      <c r="O6883"/>
      <c r="P6883"/>
    </row>
    <row r="6884" spans="12:16">
      <c r="L6884"/>
      <c r="M6884"/>
      <c r="O6884"/>
      <c r="P6884"/>
    </row>
    <row r="6885" spans="12:16">
      <c r="L6885"/>
      <c r="M6885"/>
      <c r="O6885"/>
      <c r="P6885"/>
    </row>
    <row r="6886" spans="12:16">
      <c r="L6886"/>
      <c r="M6886"/>
      <c r="O6886"/>
      <c r="P6886"/>
    </row>
    <row r="6887" spans="12:16">
      <c r="L6887"/>
      <c r="M6887"/>
      <c r="O6887"/>
      <c r="P6887"/>
    </row>
    <row r="6888" spans="12:16">
      <c r="L6888"/>
      <c r="M6888"/>
      <c r="O6888"/>
      <c r="P6888"/>
    </row>
    <row r="6889" spans="12:16">
      <c r="L6889"/>
      <c r="M6889"/>
      <c r="O6889"/>
      <c r="P6889"/>
    </row>
    <row r="6890" spans="12:16">
      <c r="L6890"/>
      <c r="M6890"/>
      <c r="O6890"/>
      <c r="P6890"/>
    </row>
    <row r="6891" spans="12:16">
      <c r="L6891"/>
      <c r="M6891"/>
      <c r="O6891"/>
      <c r="P6891"/>
    </row>
    <row r="6892" spans="12:16">
      <c r="L6892"/>
      <c r="M6892"/>
      <c r="O6892"/>
      <c r="P6892"/>
    </row>
    <row r="6893" spans="12:16">
      <c r="L6893"/>
      <c r="M6893"/>
      <c r="O6893"/>
      <c r="P6893"/>
    </row>
    <row r="6894" spans="12:16">
      <c r="L6894"/>
      <c r="M6894"/>
      <c r="O6894"/>
      <c r="P6894"/>
    </row>
    <row r="6895" spans="12:16">
      <c r="L6895"/>
      <c r="M6895"/>
      <c r="O6895"/>
      <c r="P6895"/>
    </row>
    <row r="6896" spans="12:16">
      <c r="L6896"/>
      <c r="M6896"/>
      <c r="O6896"/>
      <c r="P6896"/>
    </row>
    <row r="6897" spans="12:16">
      <c r="L6897"/>
      <c r="M6897"/>
      <c r="O6897"/>
      <c r="P6897"/>
    </row>
    <row r="6898" spans="12:16">
      <c r="L6898"/>
      <c r="M6898"/>
      <c r="O6898"/>
      <c r="P6898"/>
    </row>
    <row r="6899" spans="12:16">
      <c r="L6899"/>
      <c r="M6899"/>
      <c r="O6899"/>
      <c r="P6899"/>
    </row>
    <row r="6900" spans="12:16">
      <c r="L6900"/>
      <c r="M6900"/>
      <c r="O6900"/>
      <c r="P6900"/>
    </row>
    <row r="6901" spans="12:16">
      <c r="L6901"/>
      <c r="M6901"/>
      <c r="O6901"/>
      <c r="P6901"/>
    </row>
    <row r="6902" spans="12:16">
      <c r="L6902"/>
      <c r="M6902"/>
      <c r="O6902"/>
      <c r="P6902"/>
    </row>
    <row r="6903" spans="12:16">
      <c r="L6903"/>
      <c r="M6903"/>
      <c r="O6903"/>
      <c r="P6903"/>
    </row>
    <row r="6904" spans="12:16">
      <c r="L6904"/>
      <c r="M6904"/>
      <c r="O6904"/>
      <c r="P6904"/>
    </row>
    <row r="6905" spans="12:16">
      <c r="L6905"/>
      <c r="M6905"/>
      <c r="O6905"/>
      <c r="P6905"/>
    </row>
    <row r="6906" spans="12:16">
      <c r="L6906"/>
      <c r="M6906"/>
      <c r="O6906"/>
      <c r="P6906"/>
    </row>
    <row r="6907" spans="12:16">
      <c r="L6907"/>
      <c r="M6907"/>
      <c r="O6907"/>
      <c r="P6907"/>
    </row>
    <row r="6908" spans="12:16">
      <c r="L6908"/>
      <c r="M6908"/>
      <c r="O6908"/>
      <c r="P6908"/>
    </row>
    <row r="6909" spans="12:16">
      <c r="L6909"/>
      <c r="M6909"/>
      <c r="O6909"/>
      <c r="P6909"/>
    </row>
    <row r="6910" spans="12:16">
      <c r="L6910"/>
      <c r="M6910"/>
      <c r="O6910"/>
      <c r="P6910"/>
    </row>
    <row r="6911" spans="12:16">
      <c r="L6911"/>
      <c r="M6911"/>
      <c r="O6911"/>
      <c r="P6911"/>
    </row>
    <row r="6912" spans="12:16">
      <c r="L6912"/>
      <c r="M6912"/>
      <c r="O6912"/>
      <c r="P6912"/>
    </row>
    <row r="6913" spans="12:16">
      <c r="L6913"/>
      <c r="M6913"/>
      <c r="O6913"/>
      <c r="P6913"/>
    </row>
    <row r="6914" spans="12:16">
      <c r="L6914"/>
      <c r="M6914"/>
      <c r="O6914"/>
      <c r="P6914"/>
    </row>
    <row r="6915" spans="12:16">
      <c r="L6915"/>
      <c r="M6915"/>
      <c r="O6915"/>
      <c r="P6915"/>
    </row>
    <row r="6916" spans="12:16">
      <c r="L6916"/>
      <c r="M6916"/>
      <c r="O6916"/>
      <c r="P6916"/>
    </row>
    <row r="6917" spans="12:16">
      <c r="L6917"/>
      <c r="M6917"/>
      <c r="O6917"/>
      <c r="P6917"/>
    </row>
    <row r="6918" spans="12:16">
      <c r="L6918"/>
      <c r="M6918"/>
      <c r="O6918"/>
      <c r="P6918"/>
    </row>
    <row r="6919" spans="12:16">
      <c r="L6919"/>
      <c r="M6919"/>
      <c r="O6919"/>
      <c r="P6919"/>
    </row>
    <row r="6920" spans="12:16">
      <c r="L6920"/>
      <c r="M6920"/>
      <c r="O6920"/>
      <c r="P6920"/>
    </row>
    <row r="6921" spans="12:16">
      <c r="L6921"/>
      <c r="M6921"/>
      <c r="O6921"/>
      <c r="P6921"/>
    </row>
    <row r="6922" spans="12:16">
      <c r="L6922"/>
      <c r="M6922"/>
      <c r="O6922"/>
      <c r="P6922"/>
    </row>
    <row r="6923" spans="12:16">
      <c r="L6923"/>
      <c r="M6923"/>
      <c r="O6923"/>
      <c r="P6923"/>
    </row>
    <row r="6924" spans="12:16">
      <c r="L6924"/>
      <c r="M6924"/>
      <c r="O6924"/>
      <c r="P6924"/>
    </row>
    <row r="6925" spans="12:16">
      <c r="L6925"/>
      <c r="M6925"/>
      <c r="O6925"/>
      <c r="P6925"/>
    </row>
    <row r="6926" spans="12:16">
      <c r="L6926"/>
      <c r="M6926"/>
      <c r="O6926"/>
      <c r="P6926"/>
    </row>
    <row r="6927" spans="12:16">
      <c r="L6927"/>
      <c r="M6927"/>
      <c r="O6927"/>
      <c r="P6927"/>
    </row>
    <row r="6928" spans="12:16">
      <c r="L6928"/>
      <c r="M6928"/>
      <c r="O6928"/>
      <c r="P6928"/>
    </row>
    <row r="6929" spans="12:16">
      <c r="L6929"/>
      <c r="M6929"/>
      <c r="O6929"/>
      <c r="P6929"/>
    </row>
    <row r="6930" spans="12:16">
      <c r="L6930"/>
      <c r="M6930"/>
      <c r="O6930"/>
      <c r="P6930"/>
    </row>
    <row r="6931" spans="12:16">
      <c r="L6931"/>
      <c r="M6931"/>
      <c r="O6931"/>
      <c r="P6931"/>
    </row>
    <row r="6932" spans="12:16">
      <c r="L6932"/>
      <c r="M6932"/>
      <c r="O6932"/>
      <c r="P6932"/>
    </row>
    <row r="6933" spans="12:16">
      <c r="L6933"/>
      <c r="M6933"/>
      <c r="O6933"/>
      <c r="P6933"/>
    </row>
    <row r="6934" spans="12:16">
      <c r="L6934"/>
      <c r="M6934"/>
      <c r="O6934"/>
      <c r="P6934"/>
    </row>
    <row r="6935" spans="12:16">
      <c r="L6935"/>
      <c r="M6935"/>
      <c r="O6935"/>
      <c r="P6935"/>
    </row>
    <row r="6936" spans="12:16">
      <c r="L6936"/>
      <c r="M6936"/>
      <c r="O6936"/>
      <c r="P6936"/>
    </row>
    <row r="6937" spans="12:16">
      <c r="L6937"/>
      <c r="M6937"/>
      <c r="O6937"/>
      <c r="P6937"/>
    </row>
    <row r="6938" spans="12:16">
      <c r="L6938"/>
      <c r="M6938"/>
      <c r="O6938"/>
      <c r="P6938"/>
    </row>
    <row r="6939" spans="12:16">
      <c r="L6939"/>
      <c r="M6939"/>
      <c r="O6939"/>
      <c r="P6939"/>
    </row>
    <row r="6940" spans="12:16">
      <c r="L6940"/>
      <c r="M6940"/>
      <c r="O6940"/>
      <c r="P6940"/>
    </row>
    <row r="6941" spans="12:16">
      <c r="L6941"/>
      <c r="M6941"/>
      <c r="O6941"/>
      <c r="P6941"/>
    </row>
    <row r="6942" spans="12:16">
      <c r="L6942"/>
      <c r="M6942"/>
      <c r="O6942"/>
      <c r="P6942"/>
    </row>
    <row r="6943" spans="12:16">
      <c r="L6943"/>
      <c r="M6943"/>
      <c r="O6943"/>
      <c r="P6943"/>
    </row>
    <row r="6944" spans="12:16">
      <c r="L6944"/>
      <c r="M6944"/>
      <c r="O6944"/>
      <c r="P6944"/>
    </row>
    <row r="6945" spans="12:16">
      <c r="L6945"/>
      <c r="M6945"/>
      <c r="O6945"/>
      <c r="P6945"/>
    </row>
    <row r="6946" spans="12:16">
      <c r="L6946"/>
      <c r="M6946"/>
      <c r="O6946"/>
      <c r="P6946"/>
    </row>
    <row r="6947" spans="12:16">
      <c r="L6947"/>
      <c r="M6947"/>
      <c r="O6947"/>
      <c r="P6947"/>
    </row>
    <row r="6948" spans="12:16">
      <c r="L6948"/>
      <c r="M6948"/>
      <c r="O6948"/>
      <c r="P6948"/>
    </row>
    <row r="6949" spans="12:16">
      <c r="L6949"/>
      <c r="M6949"/>
      <c r="O6949"/>
      <c r="P6949"/>
    </row>
    <row r="6950" spans="12:16">
      <c r="L6950"/>
      <c r="M6950"/>
      <c r="O6950"/>
      <c r="P6950"/>
    </row>
    <row r="6951" spans="12:16">
      <c r="L6951"/>
      <c r="M6951"/>
      <c r="O6951"/>
      <c r="P6951"/>
    </row>
    <row r="6952" spans="12:16">
      <c r="L6952"/>
      <c r="M6952"/>
      <c r="O6952"/>
      <c r="P6952"/>
    </row>
    <row r="6953" spans="12:16">
      <c r="L6953"/>
      <c r="M6953"/>
      <c r="O6953"/>
      <c r="P6953"/>
    </row>
    <row r="6954" spans="12:16">
      <c r="L6954"/>
      <c r="M6954"/>
      <c r="O6954"/>
      <c r="P6954"/>
    </row>
    <row r="6955" spans="12:16">
      <c r="L6955"/>
      <c r="M6955"/>
      <c r="O6955"/>
      <c r="P6955"/>
    </row>
    <row r="6956" spans="12:16">
      <c r="L6956"/>
      <c r="M6956"/>
      <c r="O6956"/>
      <c r="P6956"/>
    </row>
    <row r="6957" spans="12:16">
      <c r="L6957"/>
      <c r="M6957"/>
      <c r="O6957"/>
      <c r="P6957"/>
    </row>
    <row r="6958" spans="12:16">
      <c r="L6958"/>
      <c r="M6958"/>
      <c r="O6958"/>
      <c r="P6958"/>
    </row>
    <row r="6959" spans="12:16">
      <c r="L6959"/>
      <c r="M6959"/>
      <c r="O6959"/>
      <c r="P6959"/>
    </row>
    <row r="6960" spans="12:16">
      <c r="L6960"/>
      <c r="M6960"/>
      <c r="O6960"/>
      <c r="P6960"/>
    </row>
    <row r="6961" spans="12:16">
      <c r="L6961"/>
      <c r="M6961"/>
      <c r="O6961"/>
      <c r="P6961"/>
    </row>
    <row r="6962" spans="12:16">
      <c r="L6962"/>
      <c r="M6962"/>
      <c r="O6962"/>
      <c r="P6962"/>
    </row>
    <row r="6963" spans="12:16">
      <c r="L6963"/>
      <c r="M6963"/>
      <c r="O6963"/>
      <c r="P6963"/>
    </row>
    <row r="6964" spans="12:16">
      <c r="L6964"/>
      <c r="M6964"/>
      <c r="O6964"/>
      <c r="P6964"/>
    </row>
    <row r="6965" spans="12:16">
      <c r="L6965"/>
      <c r="M6965"/>
      <c r="O6965"/>
      <c r="P6965"/>
    </row>
    <row r="6966" spans="12:16">
      <c r="L6966"/>
      <c r="M6966"/>
      <c r="O6966"/>
      <c r="P6966"/>
    </row>
    <row r="6967" spans="12:16">
      <c r="L6967"/>
      <c r="M6967"/>
      <c r="O6967"/>
      <c r="P6967"/>
    </row>
    <row r="6968" spans="12:16">
      <c r="L6968"/>
      <c r="M6968"/>
      <c r="O6968"/>
      <c r="P6968"/>
    </row>
    <row r="6969" spans="12:16">
      <c r="L6969"/>
      <c r="M6969"/>
      <c r="O6969"/>
      <c r="P6969"/>
    </row>
    <row r="6970" spans="12:16">
      <c r="L6970"/>
      <c r="M6970"/>
      <c r="O6970"/>
      <c r="P6970"/>
    </row>
    <row r="6971" spans="12:16">
      <c r="L6971"/>
      <c r="M6971"/>
      <c r="O6971"/>
      <c r="P6971"/>
    </row>
    <row r="6972" spans="12:16">
      <c r="L6972"/>
      <c r="M6972"/>
      <c r="O6972"/>
      <c r="P6972"/>
    </row>
    <row r="6973" spans="12:16">
      <c r="L6973"/>
      <c r="M6973"/>
      <c r="O6973"/>
      <c r="P6973"/>
    </row>
    <row r="6974" spans="12:16">
      <c r="L6974"/>
      <c r="M6974"/>
      <c r="O6974"/>
      <c r="P6974"/>
    </row>
    <row r="6975" spans="12:16">
      <c r="L6975"/>
      <c r="M6975"/>
      <c r="O6975"/>
      <c r="P6975"/>
    </row>
    <row r="6976" spans="12:16">
      <c r="L6976"/>
      <c r="M6976"/>
      <c r="O6976"/>
      <c r="P6976"/>
    </row>
    <row r="6977" spans="12:16">
      <c r="L6977"/>
      <c r="M6977"/>
      <c r="O6977"/>
      <c r="P6977"/>
    </row>
    <row r="6978" spans="12:16">
      <c r="L6978"/>
      <c r="M6978"/>
      <c r="O6978"/>
      <c r="P6978"/>
    </row>
    <row r="6979" spans="12:16">
      <c r="L6979"/>
      <c r="M6979"/>
      <c r="O6979"/>
      <c r="P6979"/>
    </row>
    <row r="6980" spans="12:16">
      <c r="L6980"/>
      <c r="M6980"/>
      <c r="O6980"/>
      <c r="P6980"/>
    </row>
    <row r="6981" spans="12:16">
      <c r="L6981"/>
      <c r="M6981"/>
      <c r="O6981"/>
      <c r="P6981"/>
    </row>
    <row r="6982" spans="12:16">
      <c r="L6982"/>
      <c r="M6982"/>
      <c r="O6982"/>
      <c r="P6982"/>
    </row>
    <row r="6983" spans="12:16">
      <c r="L6983"/>
      <c r="M6983"/>
      <c r="O6983"/>
      <c r="P6983"/>
    </row>
    <row r="6984" spans="12:16">
      <c r="L6984"/>
      <c r="M6984"/>
      <c r="O6984"/>
      <c r="P6984"/>
    </row>
    <row r="6985" spans="12:16">
      <c r="L6985"/>
      <c r="M6985"/>
      <c r="O6985"/>
      <c r="P6985"/>
    </row>
    <row r="6986" spans="12:16">
      <c r="L6986"/>
      <c r="M6986"/>
      <c r="O6986"/>
      <c r="P6986"/>
    </row>
    <row r="6987" spans="12:16">
      <c r="L6987"/>
      <c r="M6987"/>
      <c r="O6987"/>
      <c r="P6987"/>
    </row>
    <row r="6988" spans="12:16">
      <c r="L6988"/>
      <c r="M6988"/>
      <c r="O6988"/>
      <c r="P6988"/>
    </row>
    <row r="6989" spans="12:16">
      <c r="L6989"/>
      <c r="M6989"/>
      <c r="O6989"/>
      <c r="P6989"/>
    </row>
    <row r="6990" spans="12:16">
      <c r="L6990"/>
      <c r="M6990"/>
      <c r="O6990"/>
      <c r="P6990"/>
    </row>
    <row r="6991" spans="12:16">
      <c r="L6991"/>
      <c r="M6991"/>
      <c r="O6991"/>
      <c r="P6991"/>
    </row>
    <row r="6992" spans="12:16">
      <c r="L6992"/>
      <c r="M6992"/>
      <c r="O6992"/>
      <c r="P6992"/>
    </row>
    <row r="6993" spans="12:16">
      <c r="L6993"/>
      <c r="M6993"/>
      <c r="O6993"/>
      <c r="P6993"/>
    </row>
    <row r="6994" spans="12:16">
      <c r="L6994"/>
      <c r="M6994"/>
      <c r="O6994"/>
      <c r="P6994"/>
    </row>
    <row r="6995" spans="12:16">
      <c r="L6995"/>
      <c r="M6995"/>
      <c r="O6995"/>
      <c r="P6995"/>
    </row>
    <row r="6996" spans="12:16">
      <c r="L6996"/>
      <c r="M6996"/>
      <c r="O6996"/>
      <c r="P6996"/>
    </row>
    <row r="6997" spans="12:16">
      <c r="L6997"/>
      <c r="M6997"/>
      <c r="O6997"/>
      <c r="P6997"/>
    </row>
    <row r="6998" spans="12:16">
      <c r="L6998"/>
      <c r="M6998"/>
      <c r="O6998"/>
      <c r="P6998"/>
    </row>
    <row r="6999" spans="12:16">
      <c r="L6999"/>
      <c r="M6999"/>
      <c r="O6999"/>
      <c r="P6999"/>
    </row>
    <row r="7000" spans="12:16">
      <c r="L7000"/>
      <c r="M7000"/>
      <c r="O7000"/>
      <c r="P7000"/>
    </row>
    <row r="7001" spans="12:16">
      <c r="L7001"/>
      <c r="M7001"/>
      <c r="O7001"/>
      <c r="P7001"/>
    </row>
    <row r="7002" spans="12:16">
      <c r="L7002"/>
      <c r="M7002"/>
      <c r="O7002"/>
      <c r="P7002"/>
    </row>
    <row r="7003" spans="12:16">
      <c r="L7003"/>
      <c r="M7003"/>
      <c r="O7003"/>
      <c r="P7003"/>
    </row>
    <row r="7004" spans="12:16">
      <c r="L7004"/>
      <c r="M7004"/>
      <c r="O7004"/>
      <c r="P7004"/>
    </row>
    <row r="7005" spans="12:16">
      <c r="L7005"/>
      <c r="M7005"/>
      <c r="O7005"/>
      <c r="P7005"/>
    </row>
    <row r="7006" spans="12:16">
      <c r="L7006"/>
      <c r="M7006"/>
      <c r="O7006"/>
      <c r="P7006"/>
    </row>
    <row r="7007" spans="12:16">
      <c r="L7007"/>
      <c r="M7007"/>
      <c r="O7007"/>
      <c r="P7007"/>
    </row>
    <row r="7008" spans="12:16">
      <c r="L7008"/>
      <c r="M7008"/>
      <c r="O7008"/>
      <c r="P7008"/>
    </row>
    <row r="7009" spans="12:16">
      <c r="L7009"/>
      <c r="M7009"/>
      <c r="O7009"/>
      <c r="P7009"/>
    </row>
    <row r="7010" spans="12:16">
      <c r="L7010"/>
      <c r="M7010"/>
      <c r="O7010"/>
      <c r="P7010"/>
    </row>
    <row r="7011" spans="12:16">
      <c r="L7011"/>
      <c r="M7011"/>
      <c r="O7011"/>
      <c r="P7011"/>
    </row>
    <row r="7012" spans="12:16">
      <c r="L7012"/>
      <c r="M7012"/>
      <c r="O7012"/>
      <c r="P7012"/>
    </row>
    <row r="7013" spans="12:16">
      <c r="L7013"/>
      <c r="M7013"/>
      <c r="O7013"/>
      <c r="P7013"/>
    </row>
    <row r="7014" spans="12:16">
      <c r="L7014"/>
      <c r="M7014"/>
      <c r="O7014"/>
      <c r="P7014"/>
    </row>
    <row r="7015" spans="12:16">
      <c r="L7015"/>
      <c r="M7015"/>
      <c r="O7015"/>
      <c r="P7015"/>
    </row>
    <row r="7016" spans="12:16">
      <c r="L7016"/>
      <c r="M7016"/>
      <c r="O7016"/>
      <c r="P7016"/>
    </row>
    <row r="7017" spans="12:16">
      <c r="L7017"/>
      <c r="M7017"/>
      <c r="O7017"/>
      <c r="P7017"/>
    </row>
    <row r="7018" spans="12:16">
      <c r="L7018"/>
      <c r="M7018"/>
      <c r="O7018"/>
      <c r="P7018"/>
    </row>
    <row r="7019" spans="12:16">
      <c r="L7019"/>
      <c r="M7019"/>
      <c r="O7019"/>
      <c r="P7019"/>
    </row>
    <row r="7020" spans="12:16">
      <c r="L7020"/>
      <c r="M7020"/>
      <c r="O7020"/>
      <c r="P7020"/>
    </row>
    <row r="7021" spans="12:16">
      <c r="L7021"/>
      <c r="M7021"/>
      <c r="O7021"/>
      <c r="P7021"/>
    </row>
    <row r="7022" spans="12:16">
      <c r="L7022"/>
      <c r="M7022"/>
      <c r="O7022"/>
      <c r="P7022"/>
    </row>
    <row r="7023" spans="12:16">
      <c r="L7023"/>
      <c r="M7023"/>
      <c r="O7023"/>
      <c r="P7023"/>
    </row>
    <row r="7024" spans="12:16">
      <c r="L7024"/>
      <c r="M7024"/>
      <c r="O7024"/>
      <c r="P7024"/>
    </row>
    <row r="7025" spans="12:16">
      <c r="L7025"/>
      <c r="M7025"/>
      <c r="O7025"/>
      <c r="P7025"/>
    </row>
    <row r="7026" spans="12:16">
      <c r="L7026"/>
      <c r="M7026"/>
      <c r="O7026"/>
      <c r="P7026"/>
    </row>
    <row r="7027" spans="12:16">
      <c r="L7027"/>
      <c r="M7027"/>
      <c r="O7027"/>
      <c r="P7027"/>
    </row>
    <row r="7028" spans="12:16">
      <c r="L7028"/>
      <c r="M7028"/>
      <c r="O7028"/>
      <c r="P7028"/>
    </row>
    <row r="7029" spans="12:16">
      <c r="L7029"/>
      <c r="M7029"/>
      <c r="O7029"/>
      <c r="P7029"/>
    </row>
    <row r="7030" spans="12:16">
      <c r="L7030"/>
      <c r="M7030"/>
      <c r="O7030"/>
      <c r="P7030"/>
    </row>
    <row r="7031" spans="12:16">
      <c r="L7031"/>
      <c r="M7031"/>
      <c r="O7031"/>
      <c r="P7031"/>
    </row>
    <row r="7032" spans="12:16">
      <c r="L7032"/>
      <c r="M7032"/>
      <c r="O7032"/>
      <c r="P7032"/>
    </row>
    <row r="7033" spans="12:16">
      <c r="L7033"/>
      <c r="M7033"/>
      <c r="O7033"/>
      <c r="P7033"/>
    </row>
    <row r="7034" spans="12:16">
      <c r="L7034"/>
      <c r="M7034"/>
      <c r="O7034"/>
      <c r="P7034"/>
    </row>
    <row r="7035" spans="12:16">
      <c r="L7035"/>
      <c r="M7035"/>
      <c r="O7035"/>
      <c r="P7035"/>
    </row>
    <row r="7036" spans="12:16">
      <c r="L7036"/>
      <c r="M7036"/>
      <c r="O7036"/>
      <c r="P7036"/>
    </row>
    <row r="7037" spans="12:16">
      <c r="L7037"/>
      <c r="M7037"/>
      <c r="O7037"/>
      <c r="P7037"/>
    </row>
    <row r="7038" spans="12:16">
      <c r="L7038"/>
      <c r="M7038"/>
      <c r="O7038"/>
      <c r="P7038"/>
    </row>
    <row r="7039" spans="12:16">
      <c r="L7039"/>
      <c r="M7039"/>
      <c r="O7039"/>
      <c r="P7039"/>
    </row>
    <row r="7040" spans="12:16">
      <c r="L7040"/>
      <c r="M7040"/>
      <c r="O7040"/>
      <c r="P7040"/>
    </row>
    <row r="7041" spans="12:16">
      <c r="L7041"/>
      <c r="M7041"/>
      <c r="O7041"/>
      <c r="P7041"/>
    </row>
    <row r="7042" spans="12:16">
      <c r="L7042"/>
      <c r="M7042"/>
      <c r="O7042"/>
      <c r="P7042"/>
    </row>
    <row r="7043" spans="12:16">
      <c r="L7043"/>
      <c r="M7043"/>
      <c r="O7043"/>
      <c r="P7043"/>
    </row>
    <row r="7044" spans="12:16">
      <c r="L7044"/>
      <c r="M7044"/>
      <c r="O7044"/>
      <c r="P7044"/>
    </row>
    <row r="7045" spans="12:16">
      <c r="L7045"/>
      <c r="M7045"/>
      <c r="O7045"/>
      <c r="P7045"/>
    </row>
    <row r="7046" spans="12:16">
      <c r="L7046"/>
      <c r="M7046"/>
      <c r="O7046"/>
      <c r="P7046"/>
    </row>
    <row r="7047" spans="12:16">
      <c r="L7047"/>
      <c r="M7047"/>
      <c r="O7047"/>
      <c r="P7047"/>
    </row>
    <row r="7048" spans="12:16">
      <c r="L7048"/>
      <c r="M7048"/>
      <c r="O7048"/>
      <c r="P7048"/>
    </row>
    <row r="7049" spans="12:16">
      <c r="L7049"/>
      <c r="M7049"/>
      <c r="O7049"/>
      <c r="P7049"/>
    </row>
    <row r="7050" spans="12:16">
      <c r="L7050"/>
      <c r="M7050"/>
      <c r="O7050"/>
      <c r="P7050"/>
    </row>
    <row r="7051" spans="12:16">
      <c r="L7051"/>
      <c r="M7051"/>
      <c r="O7051"/>
      <c r="P7051"/>
    </row>
    <row r="7052" spans="12:16">
      <c r="L7052"/>
      <c r="M7052"/>
      <c r="O7052"/>
      <c r="P7052"/>
    </row>
    <row r="7053" spans="12:16">
      <c r="L7053"/>
      <c r="M7053"/>
      <c r="O7053"/>
      <c r="P7053"/>
    </row>
    <row r="7054" spans="12:16">
      <c r="L7054"/>
      <c r="M7054"/>
      <c r="O7054"/>
      <c r="P7054"/>
    </row>
    <row r="7055" spans="12:16">
      <c r="L7055"/>
      <c r="M7055"/>
      <c r="O7055"/>
      <c r="P7055"/>
    </row>
    <row r="7056" spans="12:16">
      <c r="L7056"/>
      <c r="M7056"/>
      <c r="O7056"/>
      <c r="P7056"/>
    </row>
    <row r="7057" spans="12:16">
      <c r="L7057"/>
      <c r="M7057"/>
      <c r="O7057"/>
      <c r="P7057"/>
    </row>
    <row r="7058" spans="12:16">
      <c r="L7058"/>
      <c r="M7058"/>
      <c r="O7058"/>
      <c r="P7058"/>
    </row>
    <row r="7059" spans="12:16">
      <c r="L7059"/>
      <c r="M7059"/>
      <c r="O7059"/>
      <c r="P7059"/>
    </row>
    <row r="7060" spans="12:16">
      <c r="L7060"/>
      <c r="M7060"/>
      <c r="O7060"/>
      <c r="P7060"/>
    </row>
    <row r="7061" spans="12:16">
      <c r="L7061"/>
      <c r="M7061"/>
      <c r="O7061"/>
      <c r="P7061"/>
    </row>
    <row r="7062" spans="12:16">
      <c r="L7062"/>
      <c r="M7062"/>
      <c r="O7062"/>
      <c r="P7062"/>
    </row>
    <row r="7063" spans="12:16">
      <c r="L7063"/>
      <c r="M7063"/>
      <c r="O7063"/>
      <c r="P7063"/>
    </row>
    <row r="7064" spans="12:16">
      <c r="L7064"/>
      <c r="M7064"/>
      <c r="O7064"/>
      <c r="P7064"/>
    </row>
    <row r="7065" spans="12:16">
      <c r="L7065"/>
      <c r="M7065"/>
      <c r="O7065"/>
      <c r="P7065"/>
    </row>
    <row r="7066" spans="12:16">
      <c r="L7066"/>
      <c r="M7066"/>
      <c r="O7066"/>
      <c r="P7066"/>
    </row>
    <row r="7067" spans="12:16">
      <c r="L7067"/>
      <c r="M7067"/>
      <c r="O7067"/>
      <c r="P7067"/>
    </row>
    <row r="7068" spans="12:16">
      <c r="L7068"/>
      <c r="M7068"/>
      <c r="O7068"/>
      <c r="P7068"/>
    </row>
    <row r="7069" spans="12:16">
      <c r="L7069"/>
      <c r="M7069"/>
      <c r="O7069"/>
      <c r="P7069"/>
    </row>
    <row r="7070" spans="12:16">
      <c r="L7070"/>
      <c r="M7070"/>
      <c r="O7070"/>
      <c r="P7070"/>
    </row>
    <row r="7071" spans="12:16">
      <c r="L7071"/>
      <c r="M7071"/>
      <c r="O7071"/>
      <c r="P7071"/>
    </row>
    <row r="7072" spans="12:16">
      <c r="L7072"/>
      <c r="M7072"/>
      <c r="O7072"/>
      <c r="P7072"/>
    </row>
    <row r="7073" spans="12:16">
      <c r="L7073"/>
      <c r="M7073"/>
      <c r="O7073"/>
      <c r="P7073"/>
    </row>
    <row r="7074" spans="12:16">
      <c r="L7074"/>
      <c r="M7074"/>
      <c r="O7074"/>
      <c r="P7074"/>
    </row>
    <row r="7075" spans="12:16">
      <c r="L7075"/>
      <c r="M7075"/>
      <c r="O7075"/>
      <c r="P7075"/>
    </row>
    <row r="7076" spans="12:16">
      <c r="L7076"/>
      <c r="M7076"/>
      <c r="O7076"/>
      <c r="P7076"/>
    </row>
    <row r="7077" spans="12:16">
      <c r="L7077"/>
      <c r="M7077"/>
      <c r="O7077"/>
      <c r="P7077"/>
    </row>
    <row r="7078" spans="12:16">
      <c r="L7078"/>
      <c r="M7078"/>
      <c r="O7078"/>
      <c r="P7078"/>
    </row>
    <row r="7079" spans="12:16">
      <c r="L7079"/>
      <c r="M7079"/>
      <c r="O7079"/>
      <c r="P7079"/>
    </row>
    <row r="7080" spans="12:16">
      <c r="L7080"/>
      <c r="M7080"/>
      <c r="O7080"/>
      <c r="P7080"/>
    </row>
    <row r="7081" spans="12:16">
      <c r="L7081"/>
      <c r="M7081"/>
      <c r="O7081"/>
      <c r="P7081"/>
    </row>
    <row r="7082" spans="12:16">
      <c r="L7082"/>
      <c r="M7082"/>
      <c r="O7082"/>
      <c r="P7082"/>
    </row>
    <row r="7083" spans="12:16">
      <c r="L7083"/>
      <c r="M7083"/>
      <c r="O7083"/>
      <c r="P7083"/>
    </row>
    <row r="7084" spans="12:16">
      <c r="L7084"/>
      <c r="M7084"/>
      <c r="O7084"/>
      <c r="P7084"/>
    </row>
    <row r="7085" spans="12:16">
      <c r="L7085"/>
      <c r="M7085"/>
      <c r="O7085"/>
      <c r="P7085"/>
    </row>
    <row r="7086" spans="12:16">
      <c r="L7086"/>
      <c r="M7086"/>
      <c r="O7086"/>
      <c r="P7086"/>
    </row>
    <row r="7087" spans="12:16">
      <c r="L7087"/>
      <c r="M7087"/>
      <c r="O7087"/>
      <c r="P7087"/>
    </row>
    <row r="7088" spans="12:16">
      <c r="L7088"/>
      <c r="M7088"/>
      <c r="O7088"/>
      <c r="P7088"/>
    </row>
    <row r="7089" spans="12:16">
      <c r="L7089"/>
      <c r="M7089"/>
      <c r="O7089"/>
      <c r="P7089"/>
    </row>
    <row r="7090" spans="12:16">
      <c r="L7090"/>
      <c r="M7090"/>
      <c r="O7090"/>
      <c r="P7090"/>
    </row>
    <row r="7091" spans="12:16">
      <c r="L7091"/>
      <c r="M7091"/>
      <c r="O7091"/>
      <c r="P7091"/>
    </row>
    <row r="7092" spans="12:16">
      <c r="L7092"/>
      <c r="M7092"/>
      <c r="O7092"/>
      <c r="P7092"/>
    </row>
    <row r="7093" spans="12:16">
      <c r="L7093"/>
      <c r="M7093"/>
      <c r="O7093"/>
      <c r="P7093"/>
    </row>
    <row r="7094" spans="12:16">
      <c r="L7094"/>
      <c r="M7094"/>
      <c r="O7094"/>
      <c r="P7094"/>
    </row>
    <row r="7095" spans="12:16">
      <c r="L7095"/>
      <c r="M7095"/>
      <c r="O7095"/>
      <c r="P7095"/>
    </row>
    <row r="7096" spans="12:16">
      <c r="L7096"/>
      <c r="M7096"/>
      <c r="O7096"/>
      <c r="P7096"/>
    </row>
    <row r="7097" spans="12:16">
      <c r="L7097"/>
      <c r="M7097"/>
      <c r="O7097"/>
      <c r="P7097"/>
    </row>
    <row r="7098" spans="12:16">
      <c r="L7098"/>
      <c r="M7098"/>
      <c r="O7098"/>
      <c r="P7098"/>
    </row>
    <row r="7099" spans="12:16">
      <c r="L7099"/>
      <c r="M7099"/>
      <c r="O7099"/>
      <c r="P7099"/>
    </row>
    <row r="7100" spans="12:16">
      <c r="L7100"/>
      <c r="M7100"/>
      <c r="O7100"/>
      <c r="P7100"/>
    </row>
    <row r="7101" spans="12:16">
      <c r="L7101"/>
      <c r="M7101"/>
      <c r="O7101"/>
      <c r="P7101"/>
    </row>
    <row r="7102" spans="12:16">
      <c r="L7102"/>
      <c r="M7102"/>
      <c r="O7102"/>
      <c r="P7102"/>
    </row>
    <row r="7103" spans="12:16">
      <c r="L7103"/>
      <c r="M7103"/>
      <c r="O7103"/>
      <c r="P7103"/>
    </row>
    <row r="7104" spans="12:16">
      <c r="L7104"/>
      <c r="M7104"/>
      <c r="O7104"/>
      <c r="P7104"/>
    </row>
    <row r="7105" spans="12:16">
      <c r="L7105"/>
      <c r="M7105"/>
      <c r="O7105"/>
      <c r="P7105"/>
    </row>
    <row r="7106" spans="12:16">
      <c r="L7106"/>
      <c r="M7106"/>
      <c r="O7106"/>
      <c r="P7106"/>
    </row>
    <row r="7107" spans="12:16">
      <c r="L7107"/>
      <c r="M7107"/>
      <c r="O7107"/>
      <c r="P7107"/>
    </row>
    <row r="7108" spans="12:16">
      <c r="L7108"/>
      <c r="M7108"/>
      <c r="O7108"/>
      <c r="P7108"/>
    </row>
    <row r="7109" spans="12:16">
      <c r="L7109"/>
      <c r="M7109"/>
      <c r="O7109"/>
      <c r="P7109"/>
    </row>
    <row r="7110" spans="12:16">
      <c r="L7110"/>
      <c r="M7110"/>
      <c r="O7110"/>
      <c r="P7110"/>
    </row>
    <row r="7111" spans="12:16">
      <c r="L7111"/>
      <c r="M7111"/>
      <c r="O7111"/>
      <c r="P7111"/>
    </row>
    <row r="7112" spans="12:16">
      <c r="L7112"/>
      <c r="M7112"/>
      <c r="O7112"/>
      <c r="P7112"/>
    </row>
    <row r="7113" spans="12:16">
      <c r="L7113"/>
      <c r="M7113"/>
      <c r="O7113"/>
      <c r="P7113"/>
    </row>
    <row r="7114" spans="12:16">
      <c r="L7114"/>
      <c r="M7114"/>
      <c r="O7114"/>
      <c r="P7114"/>
    </row>
    <row r="7115" spans="12:16">
      <c r="L7115"/>
      <c r="M7115"/>
      <c r="O7115"/>
      <c r="P7115"/>
    </row>
    <row r="7116" spans="12:16">
      <c r="L7116"/>
      <c r="M7116"/>
      <c r="O7116"/>
      <c r="P7116"/>
    </row>
    <row r="7117" spans="12:16">
      <c r="L7117"/>
      <c r="M7117"/>
      <c r="O7117"/>
      <c r="P7117"/>
    </row>
    <row r="7118" spans="12:16">
      <c r="L7118"/>
      <c r="M7118"/>
      <c r="O7118"/>
      <c r="P7118"/>
    </row>
    <row r="7119" spans="12:16">
      <c r="L7119"/>
      <c r="M7119"/>
      <c r="O7119"/>
      <c r="P7119"/>
    </row>
    <row r="7120" spans="12:16">
      <c r="L7120"/>
      <c r="M7120"/>
      <c r="O7120"/>
      <c r="P7120"/>
    </row>
    <row r="7121" spans="12:16">
      <c r="L7121"/>
      <c r="M7121"/>
      <c r="O7121"/>
      <c r="P7121"/>
    </row>
    <row r="7122" spans="12:16">
      <c r="L7122"/>
      <c r="M7122"/>
      <c r="O7122"/>
      <c r="P7122"/>
    </row>
    <row r="7123" spans="12:16">
      <c r="L7123"/>
      <c r="M7123"/>
      <c r="O7123"/>
      <c r="P7123"/>
    </row>
    <row r="7124" spans="12:16">
      <c r="L7124"/>
      <c r="M7124"/>
      <c r="O7124"/>
      <c r="P7124"/>
    </row>
    <row r="7125" spans="12:16">
      <c r="L7125"/>
      <c r="M7125"/>
      <c r="O7125"/>
      <c r="P7125"/>
    </row>
    <row r="7126" spans="12:16">
      <c r="L7126"/>
      <c r="M7126"/>
      <c r="O7126"/>
      <c r="P7126"/>
    </row>
    <row r="7127" spans="12:16">
      <c r="L7127"/>
      <c r="M7127"/>
      <c r="O7127"/>
      <c r="P7127"/>
    </row>
    <row r="7128" spans="12:16">
      <c r="L7128"/>
      <c r="M7128"/>
      <c r="O7128"/>
      <c r="P7128"/>
    </row>
    <row r="7129" spans="12:16">
      <c r="L7129"/>
      <c r="M7129"/>
      <c r="O7129"/>
      <c r="P7129"/>
    </row>
    <row r="7130" spans="12:16">
      <c r="L7130"/>
      <c r="M7130"/>
      <c r="O7130"/>
      <c r="P7130"/>
    </row>
    <row r="7131" spans="12:16">
      <c r="L7131"/>
      <c r="M7131"/>
      <c r="O7131"/>
      <c r="P7131"/>
    </row>
    <row r="7132" spans="12:16">
      <c r="L7132"/>
      <c r="M7132"/>
      <c r="O7132"/>
      <c r="P7132"/>
    </row>
    <row r="7133" spans="12:16">
      <c r="L7133"/>
      <c r="M7133"/>
      <c r="O7133"/>
      <c r="P7133"/>
    </row>
    <row r="7134" spans="12:16">
      <c r="L7134"/>
      <c r="M7134"/>
      <c r="O7134"/>
      <c r="P7134"/>
    </row>
    <row r="7135" spans="12:16">
      <c r="L7135"/>
      <c r="M7135"/>
      <c r="O7135"/>
      <c r="P7135"/>
    </row>
    <row r="7136" spans="12:16">
      <c r="L7136"/>
      <c r="M7136"/>
      <c r="O7136"/>
      <c r="P7136"/>
    </row>
    <row r="7137" spans="12:16">
      <c r="L7137"/>
      <c r="M7137"/>
      <c r="O7137"/>
      <c r="P7137"/>
    </row>
    <row r="7138" spans="12:16">
      <c r="L7138"/>
      <c r="M7138"/>
      <c r="O7138"/>
      <c r="P7138"/>
    </row>
    <row r="7139" spans="12:16">
      <c r="L7139"/>
      <c r="M7139"/>
      <c r="O7139"/>
      <c r="P7139"/>
    </row>
    <row r="7140" spans="12:16">
      <c r="L7140"/>
      <c r="M7140"/>
      <c r="O7140"/>
      <c r="P7140"/>
    </row>
    <row r="7141" spans="12:16">
      <c r="L7141"/>
      <c r="M7141"/>
      <c r="O7141"/>
      <c r="P7141"/>
    </row>
    <row r="7142" spans="12:16">
      <c r="L7142"/>
      <c r="M7142"/>
      <c r="O7142"/>
      <c r="P7142"/>
    </row>
    <row r="7143" spans="12:16">
      <c r="L7143"/>
      <c r="M7143"/>
      <c r="O7143"/>
      <c r="P7143"/>
    </row>
    <row r="7144" spans="12:16">
      <c r="L7144"/>
      <c r="M7144"/>
      <c r="O7144"/>
      <c r="P7144"/>
    </row>
    <row r="7145" spans="12:16">
      <c r="L7145"/>
      <c r="M7145"/>
      <c r="O7145"/>
      <c r="P7145"/>
    </row>
    <row r="7146" spans="12:16">
      <c r="L7146"/>
      <c r="M7146"/>
      <c r="O7146"/>
      <c r="P7146"/>
    </row>
    <row r="7147" spans="12:16">
      <c r="L7147"/>
      <c r="M7147"/>
      <c r="O7147"/>
      <c r="P7147"/>
    </row>
    <row r="7148" spans="12:16">
      <c r="L7148"/>
      <c r="M7148"/>
      <c r="O7148"/>
      <c r="P7148"/>
    </row>
    <row r="7149" spans="12:16">
      <c r="L7149"/>
      <c r="M7149"/>
      <c r="O7149"/>
      <c r="P7149"/>
    </row>
    <row r="7150" spans="12:16">
      <c r="L7150"/>
      <c r="M7150"/>
      <c r="O7150"/>
      <c r="P7150"/>
    </row>
    <row r="7151" spans="12:16">
      <c r="L7151"/>
      <c r="M7151"/>
      <c r="O7151"/>
      <c r="P7151"/>
    </row>
    <row r="7152" spans="12:16">
      <c r="L7152"/>
      <c r="M7152"/>
      <c r="O7152"/>
      <c r="P7152"/>
    </row>
    <row r="7153" spans="12:16">
      <c r="L7153"/>
      <c r="M7153"/>
      <c r="O7153"/>
      <c r="P7153"/>
    </row>
    <row r="7154" spans="12:16">
      <c r="L7154"/>
      <c r="M7154"/>
      <c r="O7154"/>
      <c r="P7154"/>
    </row>
    <row r="7155" spans="12:16">
      <c r="L7155"/>
      <c r="M7155"/>
      <c r="O7155"/>
      <c r="P7155"/>
    </row>
    <row r="7156" spans="12:16">
      <c r="L7156"/>
      <c r="M7156"/>
      <c r="O7156"/>
      <c r="P7156"/>
    </row>
    <row r="7157" spans="12:16">
      <c r="L7157"/>
      <c r="M7157"/>
      <c r="O7157"/>
      <c r="P7157"/>
    </row>
    <row r="7158" spans="12:16">
      <c r="L7158"/>
      <c r="M7158"/>
      <c r="O7158"/>
      <c r="P7158"/>
    </row>
    <row r="7159" spans="12:16">
      <c r="L7159"/>
      <c r="M7159"/>
      <c r="O7159"/>
      <c r="P7159"/>
    </row>
    <row r="7160" spans="12:16">
      <c r="L7160"/>
      <c r="M7160"/>
      <c r="O7160"/>
      <c r="P7160"/>
    </row>
    <row r="7161" spans="12:16">
      <c r="L7161"/>
      <c r="M7161"/>
      <c r="O7161"/>
      <c r="P7161"/>
    </row>
    <row r="7162" spans="12:16">
      <c r="L7162"/>
      <c r="M7162"/>
      <c r="O7162"/>
      <c r="P7162"/>
    </row>
    <row r="7163" spans="12:16">
      <c r="L7163"/>
      <c r="M7163"/>
      <c r="O7163"/>
      <c r="P7163"/>
    </row>
    <row r="7164" spans="12:16">
      <c r="L7164"/>
      <c r="M7164"/>
      <c r="O7164"/>
      <c r="P7164"/>
    </row>
    <row r="7165" spans="12:16">
      <c r="L7165"/>
      <c r="M7165"/>
      <c r="O7165"/>
      <c r="P7165"/>
    </row>
    <row r="7166" spans="12:16">
      <c r="L7166"/>
      <c r="M7166"/>
      <c r="O7166"/>
      <c r="P7166"/>
    </row>
    <row r="7167" spans="12:16">
      <c r="L7167"/>
      <c r="M7167"/>
      <c r="O7167"/>
      <c r="P7167"/>
    </row>
    <row r="7168" spans="12:16">
      <c r="L7168"/>
      <c r="M7168"/>
      <c r="O7168"/>
      <c r="P7168"/>
    </row>
    <row r="7169" spans="12:16">
      <c r="L7169"/>
      <c r="M7169"/>
      <c r="O7169"/>
      <c r="P7169"/>
    </row>
    <row r="7170" spans="12:16">
      <c r="L7170"/>
      <c r="M7170"/>
      <c r="O7170"/>
      <c r="P7170"/>
    </row>
    <row r="7171" spans="12:16">
      <c r="L7171"/>
      <c r="M7171"/>
      <c r="O7171"/>
      <c r="P7171"/>
    </row>
    <row r="7172" spans="12:16">
      <c r="L7172"/>
      <c r="M7172"/>
      <c r="O7172"/>
      <c r="P7172"/>
    </row>
    <row r="7173" spans="12:16">
      <c r="L7173"/>
      <c r="M7173"/>
      <c r="O7173"/>
      <c r="P7173"/>
    </row>
    <row r="7174" spans="12:16">
      <c r="L7174"/>
      <c r="M7174"/>
      <c r="O7174"/>
      <c r="P7174"/>
    </row>
    <row r="7175" spans="12:16">
      <c r="L7175"/>
      <c r="M7175"/>
      <c r="O7175"/>
      <c r="P7175"/>
    </row>
    <row r="7176" spans="12:16">
      <c r="L7176"/>
      <c r="M7176"/>
      <c r="O7176"/>
      <c r="P7176"/>
    </row>
    <row r="7177" spans="12:16">
      <c r="L7177"/>
      <c r="M7177"/>
      <c r="O7177"/>
      <c r="P7177"/>
    </row>
    <row r="7178" spans="12:16">
      <c r="L7178"/>
      <c r="M7178"/>
      <c r="O7178"/>
      <c r="P7178"/>
    </row>
    <row r="7179" spans="12:16">
      <c r="L7179"/>
      <c r="M7179"/>
      <c r="O7179"/>
      <c r="P7179"/>
    </row>
    <row r="7180" spans="12:16">
      <c r="L7180"/>
      <c r="M7180"/>
      <c r="O7180"/>
      <c r="P7180"/>
    </row>
    <row r="7181" spans="12:16">
      <c r="L7181"/>
      <c r="M7181"/>
      <c r="O7181"/>
      <c r="P7181"/>
    </row>
    <row r="7182" spans="12:16">
      <c r="L7182"/>
      <c r="M7182"/>
      <c r="O7182"/>
      <c r="P7182"/>
    </row>
    <row r="7183" spans="12:16">
      <c r="L7183"/>
      <c r="M7183"/>
      <c r="O7183"/>
      <c r="P7183"/>
    </row>
    <row r="7184" spans="12:16">
      <c r="L7184"/>
      <c r="M7184"/>
      <c r="O7184"/>
      <c r="P7184"/>
    </row>
    <row r="7185" spans="12:16">
      <c r="L7185"/>
      <c r="M7185"/>
      <c r="O7185"/>
      <c r="P7185"/>
    </row>
    <row r="7186" spans="12:16">
      <c r="L7186"/>
      <c r="M7186"/>
      <c r="O7186"/>
      <c r="P7186"/>
    </row>
    <row r="7187" spans="12:16">
      <c r="L7187"/>
      <c r="M7187"/>
      <c r="O7187"/>
      <c r="P7187"/>
    </row>
    <row r="7188" spans="12:16">
      <c r="L7188"/>
      <c r="M7188"/>
      <c r="O7188"/>
      <c r="P7188"/>
    </row>
    <row r="7189" spans="12:16">
      <c r="L7189"/>
      <c r="M7189"/>
      <c r="O7189"/>
      <c r="P7189"/>
    </row>
    <row r="7190" spans="12:16">
      <c r="L7190"/>
      <c r="M7190"/>
      <c r="O7190"/>
      <c r="P7190"/>
    </row>
    <row r="7191" spans="12:16">
      <c r="L7191"/>
      <c r="M7191"/>
      <c r="O7191"/>
      <c r="P7191"/>
    </row>
    <row r="7192" spans="12:16">
      <c r="L7192"/>
      <c r="M7192"/>
      <c r="O7192"/>
      <c r="P7192"/>
    </row>
    <row r="7193" spans="12:16">
      <c r="L7193"/>
      <c r="M7193"/>
      <c r="O7193"/>
      <c r="P7193"/>
    </row>
    <row r="7194" spans="12:16">
      <c r="L7194"/>
      <c r="M7194"/>
      <c r="O7194"/>
      <c r="P7194"/>
    </row>
    <row r="7195" spans="12:16">
      <c r="L7195"/>
      <c r="M7195"/>
      <c r="O7195"/>
      <c r="P7195"/>
    </row>
    <row r="7196" spans="12:16">
      <c r="L7196"/>
      <c r="M7196"/>
      <c r="O7196"/>
      <c r="P7196"/>
    </row>
    <row r="7197" spans="12:16">
      <c r="L7197"/>
      <c r="M7197"/>
      <c r="O7197"/>
      <c r="P7197"/>
    </row>
    <row r="7198" spans="12:16">
      <c r="L7198"/>
      <c r="M7198"/>
      <c r="O7198"/>
      <c r="P7198"/>
    </row>
    <row r="7199" spans="12:16">
      <c r="L7199"/>
      <c r="M7199"/>
      <c r="O7199"/>
      <c r="P7199"/>
    </row>
    <row r="7200" spans="12:16">
      <c r="L7200"/>
      <c r="M7200"/>
      <c r="O7200"/>
      <c r="P7200"/>
    </row>
    <row r="7201" spans="12:16">
      <c r="L7201"/>
      <c r="M7201"/>
      <c r="O7201"/>
      <c r="P7201"/>
    </row>
    <row r="7202" spans="12:16">
      <c r="L7202"/>
      <c r="M7202"/>
      <c r="O7202"/>
      <c r="P7202"/>
    </row>
    <row r="7203" spans="12:16">
      <c r="L7203"/>
      <c r="M7203"/>
      <c r="O7203"/>
      <c r="P7203"/>
    </row>
    <row r="7204" spans="12:16">
      <c r="L7204"/>
      <c r="M7204"/>
      <c r="O7204"/>
      <c r="P7204"/>
    </row>
    <row r="7205" spans="12:16">
      <c r="L7205"/>
      <c r="M7205"/>
      <c r="O7205"/>
      <c r="P7205"/>
    </row>
    <row r="7206" spans="12:16">
      <c r="L7206"/>
      <c r="M7206"/>
      <c r="O7206"/>
      <c r="P7206"/>
    </row>
    <row r="7207" spans="12:16">
      <c r="L7207"/>
      <c r="M7207"/>
      <c r="O7207"/>
      <c r="P7207"/>
    </row>
    <row r="7208" spans="12:16">
      <c r="L7208"/>
      <c r="M7208"/>
      <c r="O7208"/>
      <c r="P7208"/>
    </row>
    <row r="7209" spans="12:16">
      <c r="L7209"/>
      <c r="M7209"/>
      <c r="O7209"/>
      <c r="P7209"/>
    </row>
    <row r="7210" spans="12:16">
      <c r="L7210"/>
      <c r="M7210"/>
      <c r="O7210"/>
      <c r="P7210"/>
    </row>
    <row r="7211" spans="12:16">
      <c r="L7211"/>
      <c r="M7211"/>
      <c r="O7211"/>
      <c r="P7211"/>
    </row>
    <row r="7212" spans="12:16">
      <c r="L7212"/>
      <c r="M7212"/>
      <c r="O7212"/>
      <c r="P7212"/>
    </row>
    <row r="7213" spans="12:16">
      <c r="L7213"/>
      <c r="M7213"/>
      <c r="O7213"/>
      <c r="P7213"/>
    </row>
    <row r="7214" spans="12:16">
      <c r="L7214"/>
      <c r="M7214"/>
      <c r="O7214"/>
      <c r="P7214"/>
    </row>
    <row r="7215" spans="12:16">
      <c r="L7215"/>
      <c r="M7215"/>
      <c r="O7215"/>
      <c r="P7215"/>
    </row>
    <row r="7216" spans="12:16">
      <c r="L7216"/>
      <c r="M7216"/>
      <c r="O7216"/>
      <c r="P7216"/>
    </row>
    <row r="7217" spans="12:16">
      <c r="L7217"/>
      <c r="M7217"/>
      <c r="O7217"/>
      <c r="P7217"/>
    </row>
    <row r="7218" spans="12:16">
      <c r="L7218"/>
      <c r="M7218"/>
      <c r="O7218"/>
      <c r="P7218"/>
    </row>
    <row r="7219" spans="12:16">
      <c r="L7219"/>
      <c r="M7219"/>
      <c r="O7219"/>
      <c r="P7219"/>
    </row>
    <row r="7220" spans="12:16">
      <c r="L7220"/>
      <c r="M7220"/>
      <c r="O7220"/>
      <c r="P7220"/>
    </row>
    <row r="7221" spans="12:16">
      <c r="L7221"/>
      <c r="M7221"/>
      <c r="O7221"/>
      <c r="P7221"/>
    </row>
    <row r="7222" spans="12:16">
      <c r="L7222"/>
      <c r="M7222"/>
      <c r="O7222"/>
      <c r="P7222"/>
    </row>
    <row r="7223" spans="12:16">
      <c r="L7223"/>
      <c r="M7223"/>
      <c r="O7223"/>
      <c r="P7223"/>
    </row>
    <row r="7224" spans="12:16">
      <c r="L7224"/>
      <c r="M7224"/>
      <c r="O7224"/>
      <c r="P7224"/>
    </row>
    <row r="7225" spans="12:16">
      <c r="L7225"/>
      <c r="M7225"/>
      <c r="O7225"/>
      <c r="P7225"/>
    </row>
    <row r="7226" spans="12:16">
      <c r="L7226"/>
      <c r="M7226"/>
      <c r="O7226"/>
      <c r="P7226"/>
    </row>
    <row r="7227" spans="12:16">
      <c r="L7227"/>
      <c r="M7227"/>
      <c r="O7227"/>
      <c r="P7227"/>
    </row>
    <row r="7228" spans="12:16">
      <c r="L7228"/>
      <c r="M7228"/>
      <c r="O7228"/>
      <c r="P7228"/>
    </row>
    <row r="7229" spans="12:16">
      <c r="L7229"/>
      <c r="M7229"/>
      <c r="O7229"/>
      <c r="P7229"/>
    </row>
    <row r="7230" spans="12:16">
      <c r="L7230"/>
      <c r="M7230"/>
      <c r="O7230"/>
      <c r="P7230"/>
    </row>
    <row r="7231" spans="12:16">
      <c r="L7231"/>
      <c r="M7231"/>
      <c r="O7231"/>
      <c r="P7231"/>
    </row>
    <row r="7232" spans="12:16">
      <c r="L7232"/>
      <c r="M7232"/>
      <c r="O7232"/>
      <c r="P7232"/>
    </row>
    <row r="7233" spans="12:16">
      <c r="L7233"/>
      <c r="M7233"/>
      <c r="O7233"/>
      <c r="P7233"/>
    </row>
    <row r="7234" spans="12:16">
      <c r="L7234"/>
      <c r="M7234"/>
      <c r="O7234"/>
      <c r="P7234"/>
    </row>
    <row r="7235" spans="12:16">
      <c r="L7235"/>
      <c r="M7235"/>
      <c r="O7235"/>
      <c r="P7235"/>
    </row>
    <row r="7236" spans="12:16">
      <c r="L7236"/>
      <c r="M7236"/>
      <c r="O7236"/>
      <c r="P7236"/>
    </row>
    <row r="7237" spans="12:16">
      <c r="L7237"/>
      <c r="M7237"/>
      <c r="O7237"/>
      <c r="P7237"/>
    </row>
    <row r="7238" spans="12:16">
      <c r="L7238"/>
      <c r="M7238"/>
      <c r="O7238"/>
      <c r="P7238"/>
    </row>
    <row r="7239" spans="12:16">
      <c r="L7239"/>
      <c r="M7239"/>
      <c r="O7239"/>
      <c r="P7239"/>
    </row>
    <row r="7240" spans="12:16">
      <c r="L7240"/>
      <c r="M7240"/>
      <c r="O7240"/>
      <c r="P7240"/>
    </row>
    <row r="7241" spans="12:16">
      <c r="L7241"/>
      <c r="M7241"/>
      <c r="O7241"/>
      <c r="P7241"/>
    </row>
    <row r="7242" spans="12:16">
      <c r="L7242"/>
      <c r="M7242"/>
      <c r="O7242"/>
      <c r="P7242"/>
    </row>
    <row r="7243" spans="12:16">
      <c r="L7243"/>
      <c r="M7243"/>
      <c r="O7243"/>
      <c r="P7243"/>
    </row>
    <row r="7244" spans="12:16">
      <c r="L7244"/>
      <c r="M7244"/>
      <c r="O7244"/>
      <c r="P7244"/>
    </row>
    <row r="7245" spans="12:16">
      <c r="L7245"/>
      <c r="M7245"/>
      <c r="O7245"/>
      <c r="P7245"/>
    </row>
    <row r="7246" spans="12:16">
      <c r="L7246"/>
      <c r="M7246"/>
      <c r="O7246"/>
      <c r="P7246"/>
    </row>
    <row r="7247" spans="12:16">
      <c r="L7247"/>
      <c r="M7247"/>
      <c r="O7247"/>
      <c r="P7247"/>
    </row>
    <row r="7248" spans="12:16">
      <c r="L7248"/>
      <c r="M7248"/>
      <c r="O7248"/>
      <c r="P7248"/>
    </row>
    <row r="7249" spans="12:16">
      <c r="L7249"/>
      <c r="M7249"/>
      <c r="O7249"/>
      <c r="P7249"/>
    </row>
    <row r="7250" spans="12:16">
      <c r="L7250"/>
      <c r="M7250"/>
      <c r="O7250"/>
      <c r="P7250"/>
    </row>
    <row r="7251" spans="12:16">
      <c r="L7251"/>
      <c r="M7251"/>
      <c r="O7251"/>
      <c r="P7251"/>
    </row>
    <row r="7252" spans="12:16">
      <c r="L7252"/>
      <c r="M7252"/>
      <c r="O7252"/>
      <c r="P7252"/>
    </row>
    <row r="7253" spans="12:16">
      <c r="L7253"/>
      <c r="M7253"/>
      <c r="O7253"/>
      <c r="P7253"/>
    </row>
    <row r="7254" spans="12:16">
      <c r="L7254"/>
      <c r="M7254"/>
      <c r="O7254"/>
      <c r="P7254"/>
    </row>
    <row r="7255" spans="12:16">
      <c r="L7255"/>
      <c r="M7255"/>
      <c r="O7255"/>
      <c r="P7255"/>
    </row>
    <row r="7256" spans="12:16">
      <c r="L7256"/>
      <c r="M7256"/>
      <c r="O7256"/>
      <c r="P7256"/>
    </row>
    <row r="7257" spans="12:16">
      <c r="L7257"/>
      <c r="M7257"/>
      <c r="O7257"/>
      <c r="P7257"/>
    </row>
    <row r="7258" spans="12:16">
      <c r="L7258"/>
      <c r="M7258"/>
      <c r="O7258"/>
      <c r="P7258"/>
    </row>
    <row r="7259" spans="12:16">
      <c r="L7259"/>
      <c r="M7259"/>
      <c r="O7259"/>
      <c r="P7259"/>
    </row>
    <row r="7260" spans="12:16">
      <c r="L7260"/>
      <c r="M7260"/>
      <c r="O7260"/>
      <c r="P7260"/>
    </row>
    <row r="7261" spans="12:16">
      <c r="L7261"/>
      <c r="M7261"/>
      <c r="O7261"/>
      <c r="P7261"/>
    </row>
    <row r="7262" spans="12:16">
      <c r="L7262"/>
      <c r="M7262"/>
      <c r="O7262"/>
      <c r="P7262"/>
    </row>
    <row r="7263" spans="12:16">
      <c r="L7263"/>
      <c r="M7263"/>
      <c r="O7263"/>
      <c r="P7263"/>
    </row>
    <row r="7264" spans="12:16">
      <c r="L7264"/>
      <c r="M7264"/>
      <c r="O7264"/>
      <c r="P7264"/>
    </row>
    <row r="7265" spans="12:16">
      <c r="L7265"/>
      <c r="M7265"/>
      <c r="O7265"/>
      <c r="P7265"/>
    </row>
    <row r="7266" spans="12:16">
      <c r="L7266"/>
      <c r="M7266"/>
      <c r="O7266"/>
      <c r="P7266"/>
    </row>
    <row r="7267" spans="12:16">
      <c r="L7267"/>
      <c r="M7267"/>
      <c r="O7267"/>
      <c r="P7267"/>
    </row>
    <row r="7268" spans="12:16">
      <c r="L7268"/>
      <c r="M7268"/>
      <c r="O7268"/>
      <c r="P7268"/>
    </row>
    <row r="7269" spans="12:16">
      <c r="L7269"/>
      <c r="M7269"/>
      <c r="O7269"/>
      <c r="P7269"/>
    </row>
    <row r="7270" spans="12:16">
      <c r="L7270"/>
      <c r="M7270"/>
      <c r="O7270"/>
      <c r="P7270"/>
    </row>
    <row r="7271" spans="12:16">
      <c r="L7271"/>
      <c r="M7271"/>
      <c r="O7271"/>
      <c r="P7271"/>
    </row>
    <row r="7272" spans="12:16">
      <c r="L7272"/>
      <c r="M7272"/>
      <c r="O7272"/>
      <c r="P7272"/>
    </row>
    <row r="7273" spans="12:16">
      <c r="L7273"/>
      <c r="M7273"/>
      <c r="O7273"/>
      <c r="P7273"/>
    </row>
    <row r="7274" spans="12:16">
      <c r="L7274"/>
      <c r="M7274"/>
      <c r="O7274"/>
      <c r="P7274"/>
    </row>
    <row r="7275" spans="12:16">
      <c r="L7275"/>
      <c r="M7275"/>
      <c r="O7275"/>
      <c r="P7275"/>
    </row>
    <row r="7276" spans="12:16">
      <c r="L7276"/>
      <c r="M7276"/>
      <c r="O7276"/>
      <c r="P7276"/>
    </row>
    <row r="7277" spans="12:16">
      <c r="L7277"/>
      <c r="M7277"/>
      <c r="O7277"/>
      <c r="P7277"/>
    </row>
    <row r="7278" spans="12:16">
      <c r="L7278"/>
      <c r="M7278"/>
      <c r="O7278"/>
      <c r="P7278"/>
    </row>
    <row r="7279" spans="12:16">
      <c r="L7279"/>
      <c r="M7279"/>
      <c r="O7279"/>
      <c r="P7279"/>
    </row>
    <row r="7280" spans="12:16">
      <c r="L7280"/>
      <c r="M7280"/>
      <c r="O7280"/>
      <c r="P7280"/>
    </row>
    <row r="7281" spans="12:16">
      <c r="L7281"/>
      <c r="M7281"/>
      <c r="O7281"/>
      <c r="P7281"/>
    </row>
    <row r="7282" spans="12:16">
      <c r="L7282"/>
      <c r="M7282"/>
      <c r="O7282"/>
      <c r="P7282"/>
    </row>
    <row r="7283" spans="12:16">
      <c r="L7283"/>
      <c r="M7283"/>
      <c r="O7283"/>
      <c r="P7283"/>
    </row>
    <row r="7284" spans="12:16">
      <c r="L7284"/>
      <c r="M7284"/>
      <c r="O7284"/>
      <c r="P7284"/>
    </row>
    <row r="7285" spans="12:16">
      <c r="L7285"/>
      <c r="M7285"/>
      <c r="O7285"/>
      <c r="P7285"/>
    </row>
    <row r="7286" spans="12:16">
      <c r="L7286"/>
      <c r="M7286"/>
      <c r="O7286"/>
      <c r="P7286"/>
    </row>
    <row r="7287" spans="12:16">
      <c r="L7287"/>
      <c r="M7287"/>
      <c r="O7287"/>
      <c r="P7287"/>
    </row>
    <row r="7288" spans="12:16">
      <c r="L7288"/>
      <c r="M7288"/>
      <c r="O7288"/>
      <c r="P7288"/>
    </row>
    <row r="7289" spans="12:16">
      <c r="L7289"/>
      <c r="M7289"/>
      <c r="O7289"/>
      <c r="P7289"/>
    </row>
    <row r="7290" spans="12:16">
      <c r="L7290"/>
      <c r="M7290"/>
      <c r="O7290"/>
      <c r="P7290"/>
    </row>
    <row r="7291" spans="12:16">
      <c r="L7291"/>
      <c r="M7291"/>
      <c r="O7291"/>
      <c r="P7291"/>
    </row>
    <row r="7292" spans="12:16">
      <c r="L7292"/>
      <c r="M7292"/>
      <c r="O7292"/>
      <c r="P7292"/>
    </row>
    <row r="7293" spans="12:16">
      <c r="L7293"/>
      <c r="M7293"/>
      <c r="O7293"/>
      <c r="P7293"/>
    </row>
    <row r="7294" spans="12:16">
      <c r="L7294"/>
      <c r="M7294"/>
      <c r="O7294"/>
      <c r="P7294"/>
    </row>
    <row r="7295" spans="12:16">
      <c r="L7295"/>
      <c r="M7295"/>
      <c r="O7295"/>
      <c r="P7295"/>
    </row>
    <row r="7296" spans="12:16">
      <c r="L7296"/>
      <c r="M7296"/>
      <c r="O7296"/>
      <c r="P7296"/>
    </row>
    <row r="7297" spans="12:16">
      <c r="L7297"/>
      <c r="M7297"/>
      <c r="O7297"/>
      <c r="P7297"/>
    </row>
    <row r="7298" spans="12:16">
      <c r="L7298"/>
      <c r="M7298"/>
      <c r="O7298"/>
      <c r="P7298"/>
    </row>
    <row r="7299" spans="12:16">
      <c r="L7299"/>
      <c r="M7299"/>
      <c r="O7299"/>
      <c r="P7299"/>
    </row>
    <row r="7300" spans="12:16">
      <c r="L7300"/>
      <c r="M7300"/>
      <c r="O7300"/>
      <c r="P7300"/>
    </row>
    <row r="7301" spans="12:16">
      <c r="L7301"/>
      <c r="M7301"/>
      <c r="O7301"/>
      <c r="P7301"/>
    </row>
    <row r="7302" spans="12:16">
      <c r="L7302"/>
      <c r="M7302"/>
      <c r="O7302"/>
      <c r="P7302"/>
    </row>
    <row r="7303" spans="12:16">
      <c r="L7303"/>
      <c r="M7303"/>
      <c r="O7303"/>
      <c r="P7303"/>
    </row>
    <row r="7304" spans="12:16">
      <c r="L7304"/>
      <c r="M7304"/>
      <c r="O7304"/>
      <c r="P7304"/>
    </row>
    <row r="7305" spans="12:16">
      <c r="L7305"/>
      <c r="M7305"/>
      <c r="O7305"/>
      <c r="P7305"/>
    </row>
    <row r="7306" spans="12:16">
      <c r="L7306"/>
      <c r="M7306"/>
      <c r="O7306"/>
      <c r="P7306"/>
    </row>
    <row r="7307" spans="12:16">
      <c r="L7307"/>
      <c r="M7307"/>
      <c r="O7307"/>
      <c r="P7307"/>
    </row>
    <row r="7308" spans="12:16">
      <c r="L7308"/>
      <c r="M7308"/>
      <c r="O7308"/>
      <c r="P7308"/>
    </row>
    <row r="7309" spans="12:16">
      <c r="L7309"/>
      <c r="M7309"/>
      <c r="O7309"/>
      <c r="P7309"/>
    </row>
    <row r="7310" spans="12:16">
      <c r="L7310"/>
      <c r="M7310"/>
      <c r="O7310"/>
      <c r="P7310"/>
    </row>
    <row r="7311" spans="12:16">
      <c r="L7311"/>
      <c r="M7311"/>
      <c r="O7311"/>
      <c r="P7311"/>
    </row>
    <row r="7312" spans="12:16">
      <c r="L7312"/>
      <c r="M7312"/>
      <c r="O7312"/>
      <c r="P7312"/>
    </row>
    <row r="7313" spans="12:16">
      <c r="L7313"/>
      <c r="M7313"/>
      <c r="O7313"/>
      <c r="P7313"/>
    </row>
    <row r="7314" spans="12:16">
      <c r="L7314"/>
      <c r="M7314"/>
      <c r="O7314"/>
      <c r="P7314"/>
    </row>
    <row r="7315" spans="12:16">
      <c r="L7315"/>
      <c r="M7315"/>
      <c r="O7315"/>
      <c r="P7315"/>
    </row>
    <row r="7316" spans="12:16">
      <c r="L7316"/>
      <c r="M7316"/>
      <c r="O7316"/>
      <c r="P7316"/>
    </row>
    <row r="7317" spans="12:16">
      <c r="L7317"/>
      <c r="M7317"/>
      <c r="O7317"/>
      <c r="P7317"/>
    </row>
    <row r="7318" spans="12:16">
      <c r="L7318"/>
      <c r="M7318"/>
      <c r="O7318"/>
      <c r="P7318"/>
    </row>
    <row r="7319" spans="12:16">
      <c r="L7319"/>
      <c r="M7319"/>
      <c r="O7319"/>
      <c r="P7319"/>
    </row>
    <row r="7320" spans="12:16">
      <c r="L7320"/>
      <c r="M7320"/>
      <c r="O7320"/>
      <c r="P7320"/>
    </row>
    <row r="7321" spans="12:16">
      <c r="L7321"/>
      <c r="M7321"/>
      <c r="O7321"/>
      <c r="P7321"/>
    </row>
    <row r="7322" spans="12:16">
      <c r="L7322"/>
      <c r="M7322"/>
      <c r="O7322"/>
      <c r="P7322"/>
    </row>
    <row r="7323" spans="12:16">
      <c r="L7323"/>
      <c r="M7323"/>
      <c r="O7323"/>
      <c r="P7323"/>
    </row>
    <row r="7324" spans="12:16">
      <c r="L7324"/>
      <c r="M7324"/>
      <c r="O7324"/>
      <c r="P7324"/>
    </row>
    <row r="7325" spans="12:16">
      <c r="L7325"/>
      <c r="M7325"/>
      <c r="O7325"/>
      <c r="P7325"/>
    </row>
    <row r="7326" spans="12:16">
      <c r="L7326"/>
      <c r="M7326"/>
      <c r="O7326"/>
      <c r="P7326"/>
    </row>
    <row r="7327" spans="12:16">
      <c r="L7327"/>
      <c r="M7327"/>
      <c r="O7327"/>
      <c r="P7327"/>
    </row>
    <row r="7328" spans="12:16">
      <c r="L7328"/>
      <c r="M7328"/>
      <c r="O7328"/>
      <c r="P7328"/>
    </row>
    <row r="7329" spans="12:16">
      <c r="L7329"/>
      <c r="M7329"/>
      <c r="O7329"/>
      <c r="P7329"/>
    </row>
    <row r="7330" spans="12:16">
      <c r="L7330"/>
      <c r="M7330"/>
      <c r="O7330"/>
      <c r="P7330"/>
    </row>
    <row r="7331" spans="12:16">
      <c r="L7331"/>
      <c r="M7331"/>
      <c r="O7331"/>
      <c r="P7331"/>
    </row>
    <row r="7332" spans="12:16">
      <c r="L7332"/>
      <c r="M7332"/>
      <c r="O7332"/>
      <c r="P7332"/>
    </row>
    <row r="7333" spans="12:16">
      <c r="L7333"/>
      <c r="M7333"/>
      <c r="O7333"/>
      <c r="P7333"/>
    </row>
    <row r="7334" spans="12:16">
      <c r="L7334"/>
      <c r="M7334"/>
      <c r="O7334"/>
      <c r="P7334"/>
    </row>
    <row r="7335" spans="12:16">
      <c r="L7335"/>
      <c r="M7335"/>
      <c r="O7335"/>
      <c r="P7335"/>
    </row>
    <row r="7336" spans="12:16">
      <c r="L7336"/>
      <c r="M7336"/>
      <c r="O7336"/>
      <c r="P7336"/>
    </row>
    <row r="7337" spans="12:16">
      <c r="L7337"/>
      <c r="M7337"/>
      <c r="O7337"/>
      <c r="P7337"/>
    </row>
    <row r="7338" spans="12:16">
      <c r="L7338"/>
      <c r="M7338"/>
      <c r="O7338"/>
      <c r="P7338"/>
    </row>
    <row r="7339" spans="12:16">
      <c r="L7339"/>
      <c r="M7339"/>
      <c r="O7339"/>
      <c r="P7339"/>
    </row>
    <row r="7340" spans="12:16">
      <c r="L7340"/>
      <c r="M7340"/>
      <c r="O7340"/>
      <c r="P7340"/>
    </row>
    <row r="7341" spans="12:16">
      <c r="L7341"/>
      <c r="M7341"/>
      <c r="O7341"/>
      <c r="P7341"/>
    </row>
    <row r="7342" spans="12:16">
      <c r="L7342"/>
      <c r="M7342"/>
      <c r="O7342"/>
      <c r="P7342"/>
    </row>
    <row r="7343" spans="12:16">
      <c r="L7343"/>
      <c r="M7343"/>
      <c r="O7343"/>
      <c r="P7343"/>
    </row>
    <row r="7344" spans="12:16">
      <c r="L7344"/>
      <c r="M7344"/>
      <c r="O7344"/>
      <c r="P7344"/>
    </row>
    <row r="7345" spans="12:16">
      <c r="L7345"/>
      <c r="M7345"/>
      <c r="O7345"/>
      <c r="P7345"/>
    </row>
    <row r="7346" spans="12:16">
      <c r="L7346"/>
      <c r="M7346"/>
      <c r="O7346"/>
      <c r="P7346"/>
    </row>
    <row r="7347" spans="12:16">
      <c r="L7347"/>
      <c r="M7347"/>
      <c r="O7347"/>
      <c r="P7347"/>
    </row>
    <row r="7348" spans="12:16">
      <c r="L7348"/>
      <c r="M7348"/>
      <c r="O7348"/>
      <c r="P7348"/>
    </row>
    <row r="7349" spans="12:16">
      <c r="L7349"/>
      <c r="M7349"/>
      <c r="O7349"/>
      <c r="P7349"/>
    </row>
    <row r="7350" spans="12:16">
      <c r="L7350"/>
      <c r="M7350"/>
      <c r="O7350"/>
      <c r="P7350"/>
    </row>
    <row r="7351" spans="12:16">
      <c r="L7351"/>
      <c r="M7351"/>
      <c r="O7351"/>
      <c r="P7351"/>
    </row>
    <row r="7352" spans="12:16">
      <c r="L7352"/>
      <c r="M7352"/>
      <c r="O7352"/>
      <c r="P7352"/>
    </row>
    <row r="7353" spans="12:16">
      <c r="L7353"/>
      <c r="M7353"/>
      <c r="O7353"/>
      <c r="P7353"/>
    </row>
    <row r="7354" spans="12:16">
      <c r="L7354"/>
      <c r="M7354"/>
      <c r="O7354"/>
      <c r="P7354"/>
    </row>
    <row r="7355" spans="12:16">
      <c r="L7355"/>
      <c r="M7355"/>
      <c r="O7355"/>
      <c r="P7355"/>
    </row>
    <row r="7356" spans="12:16">
      <c r="L7356"/>
      <c r="M7356"/>
      <c r="O7356"/>
      <c r="P7356"/>
    </row>
    <row r="7357" spans="12:16">
      <c r="L7357"/>
      <c r="M7357"/>
      <c r="O7357"/>
      <c r="P7357"/>
    </row>
    <row r="7358" spans="12:16">
      <c r="L7358"/>
      <c r="M7358"/>
      <c r="O7358"/>
      <c r="P7358"/>
    </row>
    <row r="7359" spans="12:16">
      <c r="L7359"/>
      <c r="M7359"/>
      <c r="O7359"/>
      <c r="P7359"/>
    </row>
    <row r="7360" spans="12:16">
      <c r="L7360"/>
      <c r="M7360"/>
      <c r="O7360"/>
      <c r="P7360"/>
    </row>
    <row r="7361" spans="12:16">
      <c r="L7361"/>
      <c r="M7361"/>
      <c r="O7361"/>
      <c r="P7361"/>
    </row>
    <row r="7362" spans="12:16">
      <c r="L7362"/>
      <c r="M7362"/>
      <c r="O7362"/>
      <c r="P7362"/>
    </row>
    <row r="7363" spans="12:16">
      <c r="L7363"/>
      <c r="M7363"/>
      <c r="O7363"/>
      <c r="P7363"/>
    </row>
    <row r="7364" spans="12:16">
      <c r="L7364"/>
      <c r="M7364"/>
      <c r="O7364"/>
      <c r="P7364"/>
    </row>
    <row r="7365" spans="12:16">
      <c r="L7365"/>
      <c r="M7365"/>
      <c r="O7365"/>
      <c r="P7365"/>
    </row>
    <row r="7366" spans="12:16">
      <c r="L7366"/>
      <c r="M7366"/>
      <c r="O7366"/>
      <c r="P7366"/>
    </row>
    <row r="7367" spans="12:16">
      <c r="L7367"/>
      <c r="M7367"/>
      <c r="O7367"/>
      <c r="P7367"/>
    </row>
    <row r="7368" spans="12:16">
      <c r="L7368"/>
      <c r="M7368"/>
      <c r="O7368"/>
      <c r="P7368"/>
    </row>
    <row r="7369" spans="12:16">
      <c r="L7369"/>
      <c r="M7369"/>
      <c r="O7369"/>
      <c r="P7369"/>
    </row>
    <row r="7370" spans="12:16">
      <c r="L7370"/>
      <c r="M7370"/>
      <c r="O7370"/>
      <c r="P7370"/>
    </row>
    <row r="7371" spans="12:16">
      <c r="L7371"/>
      <c r="M7371"/>
      <c r="O7371"/>
      <c r="P7371"/>
    </row>
    <row r="7372" spans="12:16">
      <c r="L7372"/>
      <c r="M7372"/>
      <c r="O7372"/>
      <c r="P7372"/>
    </row>
    <row r="7373" spans="12:16">
      <c r="L7373"/>
      <c r="M7373"/>
      <c r="O7373"/>
      <c r="P7373"/>
    </row>
    <row r="7374" spans="12:16">
      <c r="L7374"/>
      <c r="M7374"/>
      <c r="O7374"/>
      <c r="P7374"/>
    </row>
    <row r="7375" spans="12:16">
      <c r="L7375"/>
      <c r="M7375"/>
      <c r="O7375"/>
      <c r="P7375"/>
    </row>
    <row r="7376" spans="12:16">
      <c r="L7376"/>
      <c r="M7376"/>
      <c r="O7376"/>
      <c r="P7376"/>
    </row>
    <row r="7377" spans="12:16">
      <c r="L7377"/>
      <c r="M7377"/>
      <c r="O7377"/>
      <c r="P7377"/>
    </row>
    <row r="7378" spans="12:16">
      <c r="L7378"/>
      <c r="M7378"/>
      <c r="O7378"/>
      <c r="P7378"/>
    </row>
    <row r="7379" spans="12:16">
      <c r="L7379"/>
      <c r="M7379"/>
      <c r="O7379"/>
      <c r="P7379"/>
    </row>
    <row r="7380" spans="12:16">
      <c r="L7380"/>
      <c r="M7380"/>
      <c r="O7380"/>
      <c r="P7380"/>
    </row>
    <row r="7381" spans="12:16">
      <c r="L7381"/>
      <c r="M7381"/>
      <c r="O7381"/>
      <c r="P7381"/>
    </row>
    <row r="7382" spans="12:16">
      <c r="L7382"/>
      <c r="M7382"/>
      <c r="O7382"/>
      <c r="P7382"/>
    </row>
    <row r="7383" spans="12:16">
      <c r="L7383"/>
      <c r="M7383"/>
      <c r="O7383"/>
      <c r="P7383"/>
    </row>
    <row r="7384" spans="12:16">
      <c r="L7384"/>
      <c r="M7384"/>
      <c r="O7384"/>
      <c r="P7384"/>
    </row>
    <row r="7385" spans="12:16">
      <c r="L7385"/>
      <c r="M7385"/>
      <c r="O7385"/>
      <c r="P7385"/>
    </row>
    <row r="7386" spans="12:16">
      <c r="L7386"/>
      <c r="M7386"/>
      <c r="O7386"/>
      <c r="P7386"/>
    </row>
    <row r="7387" spans="12:16">
      <c r="L7387"/>
      <c r="M7387"/>
      <c r="O7387"/>
      <c r="P7387"/>
    </row>
    <row r="7388" spans="12:16">
      <c r="L7388"/>
      <c r="M7388"/>
      <c r="O7388"/>
      <c r="P7388"/>
    </row>
    <row r="7389" spans="12:16">
      <c r="L7389"/>
      <c r="M7389"/>
      <c r="O7389"/>
      <c r="P7389"/>
    </row>
    <row r="7390" spans="12:16">
      <c r="L7390"/>
      <c r="M7390"/>
      <c r="O7390"/>
      <c r="P7390"/>
    </row>
    <row r="7391" spans="12:16">
      <c r="L7391"/>
      <c r="M7391"/>
      <c r="O7391"/>
      <c r="P7391"/>
    </row>
    <row r="7392" spans="12:16">
      <c r="L7392"/>
      <c r="M7392"/>
      <c r="O7392"/>
      <c r="P7392"/>
    </row>
    <row r="7393" spans="12:16">
      <c r="L7393"/>
      <c r="M7393"/>
      <c r="O7393"/>
      <c r="P7393"/>
    </row>
    <row r="7394" spans="12:16">
      <c r="L7394"/>
      <c r="M7394"/>
      <c r="O7394"/>
      <c r="P7394"/>
    </row>
    <row r="7395" spans="12:16">
      <c r="L7395"/>
      <c r="M7395"/>
      <c r="O7395"/>
      <c r="P7395"/>
    </row>
    <row r="7396" spans="12:16">
      <c r="L7396"/>
      <c r="M7396"/>
      <c r="O7396"/>
      <c r="P7396"/>
    </row>
    <row r="7397" spans="12:16">
      <c r="L7397"/>
      <c r="M7397"/>
      <c r="O7397"/>
      <c r="P7397"/>
    </row>
    <row r="7398" spans="12:16">
      <c r="L7398"/>
      <c r="M7398"/>
      <c r="O7398"/>
      <c r="P7398"/>
    </row>
    <row r="7399" spans="12:16">
      <c r="L7399"/>
      <c r="M7399"/>
      <c r="O7399"/>
      <c r="P7399"/>
    </row>
    <row r="7400" spans="12:16">
      <c r="L7400"/>
      <c r="M7400"/>
      <c r="O7400"/>
      <c r="P7400"/>
    </row>
    <row r="7401" spans="12:16">
      <c r="L7401"/>
      <c r="M7401"/>
      <c r="O7401"/>
      <c r="P7401"/>
    </row>
    <row r="7402" spans="12:16">
      <c r="L7402"/>
      <c r="M7402"/>
      <c r="O7402"/>
      <c r="P7402"/>
    </row>
    <row r="7403" spans="12:16">
      <c r="L7403"/>
      <c r="M7403"/>
      <c r="O7403"/>
      <c r="P7403"/>
    </row>
    <row r="7404" spans="12:16">
      <c r="L7404"/>
      <c r="M7404"/>
      <c r="O7404"/>
      <c r="P7404"/>
    </row>
    <row r="7405" spans="12:16">
      <c r="L7405"/>
      <c r="M7405"/>
      <c r="O7405"/>
      <c r="P7405"/>
    </row>
    <row r="7406" spans="12:16">
      <c r="L7406"/>
      <c r="M7406"/>
      <c r="O7406"/>
      <c r="P7406"/>
    </row>
    <row r="7407" spans="12:16">
      <c r="L7407"/>
      <c r="M7407"/>
      <c r="O7407"/>
      <c r="P7407"/>
    </row>
    <row r="7408" spans="12:16">
      <c r="L7408"/>
      <c r="M7408"/>
      <c r="O7408"/>
      <c r="P7408"/>
    </row>
    <row r="7409" spans="12:16">
      <c r="L7409"/>
      <c r="M7409"/>
      <c r="O7409"/>
      <c r="P7409"/>
    </row>
    <row r="7410" spans="12:16">
      <c r="L7410"/>
      <c r="M7410"/>
      <c r="O7410"/>
      <c r="P7410"/>
    </row>
    <row r="7411" spans="12:16">
      <c r="L7411"/>
      <c r="M7411"/>
      <c r="O7411"/>
      <c r="P7411"/>
    </row>
    <row r="7412" spans="12:16">
      <c r="L7412"/>
      <c r="M7412"/>
      <c r="O7412"/>
      <c r="P7412"/>
    </row>
    <row r="7413" spans="12:16">
      <c r="L7413"/>
      <c r="M7413"/>
      <c r="O7413"/>
      <c r="P7413"/>
    </row>
    <row r="7414" spans="12:16">
      <c r="L7414"/>
      <c r="M7414"/>
      <c r="O7414"/>
      <c r="P7414"/>
    </row>
    <row r="7415" spans="12:16">
      <c r="L7415"/>
      <c r="M7415"/>
      <c r="O7415"/>
      <c r="P7415"/>
    </row>
    <row r="7416" spans="12:16">
      <c r="L7416"/>
      <c r="M7416"/>
      <c r="O7416"/>
      <c r="P7416"/>
    </row>
    <row r="7417" spans="12:16">
      <c r="L7417"/>
      <c r="M7417"/>
      <c r="O7417"/>
      <c r="P7417"/>
    </row>
    <row r="7418" spans="12:16">
      <c r="L7418"/>
      <c r="M7418"/>
      <c r="O7418"/>
      <c r="P7418"/>
    </row>
    <row r="7419" spans="12:16">
      <c r="L7419"/>
      <c r="M7419"/>
      <c r="O7419"/>
      <c r="P7419"/>
    </row>
    <row r="7420" spans="12:16">
      <c r="L7420"/>
      <c r="M7420"/>
      <c r="O7420"/>
      <c r="P7420"/>
    </row>
    <row r="7421" spans="12:16">
      <c r="L7421"/>
      <c r="M7421"/>
      <c r="O7421"/>
      <c r="P7421"/>
    </row>
    <row r="7422" spans="12:16">
      <c r="L7422"/>
      <c r="M7422"/>
      <c r="O7422"/>
      <c r="P7422"/>
    </row>
    <row r="7423" spans="12:16">
      <c r="L7423"/>
      <c r="M7423"/>
      <c r="O7423"/>
      <c r="P7423"/>
    </row>
    <row r="7424" spans="12:16">
      <c r="L7424"/>
      <c r="M7424"/>
      <c r="O7424"/>
      <c r="P7424"/>
    </row>
    <row r="7425" spans="12:16">
      <c r="L7425"/>
      <c r="M7425"/>
      <c r="O7425"/>
      <c r="P7425"/>
    </row>
    <row r="7426" spans="12:16">
      <c r="L7426"/>
      <c r="M7426"/>
      <c r="O7426"/>
      <c r="P7426"/>
    </row>
    <row r="7427" spans="12:16">
      <c r="L7427"/>
      <c r="M7427"/>
      <c r="O7427"/>
      <c r="P7427"/>
    </row>
    <row r="7428" spans="12:16">
      <c r="L7428"/>
      <c r="M7428"/>
      <c r="O7428"/>
      <c r="P7428"/>
    </row>
    <row r="7429" spans="12:16">
      <c r="L7429"/>
      <c r="M7429"/>
      <c r="O7429"/>
      <c r="P7429"/>
    </row>
    <row r="7430" spans="12:16">
      <c r="L7430"/>
      <c r="M7430"/>
      <c r="O7430"/>
      <c r="P7430"/>
    </row>
    <row r="7431" spans="12:16">
      <c r="L7431"/>
      <c r="M7431"/>
      <c r="O7431"/>
      <c r="P7431"/>
    </row>
    <row r="7432" spans="12:16">
      <c r="L7432"/>
      <c r="M7432"/>
      <c r="O7432"/>
      <c r="P7432"/>
    </row>
    <row r="7433" spans="12:16">
      <c r="L7433"/>
      <c r="M7433"/>
      <c r="O7433"/>
      <c r="P7433"/>
    </row>
    <row r="7434" spans="12:16">
      <c r="L7434"/>
      <c r="M7434"/>
      <c r="O7434"/>
      <c r="P7434"/>
    </row>
    <row r="7435" spans="12:16">
      <c r="L7435"/>
      <c r="M7435"/>
      <c r="O7435"/>
      <c r="P7435"/>
    </row>
    <row r="7436" spans="12:16">
      <c r="L7436"/>
      <c r="M7436"/>
      <c r="O7436"/>
      <c r="P7436"/>
    </row>
    <row r="7437" spans="12:16">
      <c r="L7437"/>
      <c r="M7437"/>
      <c r="O7437"/>
      <c r="P7437"/>
    </row>
    <row r="7438" spans="12:16">
      <c r="L7438"/>
      <c r="M7438"/>
      <c r="O7438"/>
      <c r="P7438"/>
    </row>
    <row r="7439" spans="12:16">
      <c r="L7439"/>
      <c r="M7439"/>
      <c r="O7439"/>
      <c r="P7439"/>
    </row>
    <row r="7440" spans="12:16">
      <c r="L7440"/>
      <c r="M7440"/>
      <c r="O7440"/>
      <c r="P7440"/>
    </row>
    <row r="7441" spans="12:16">
      <c r="L7441"/>
      <c r="M7441"/>
      <c r="O7441"/>
      <c r="P7441"/>
    </row>
    <row r="7442" spans="12:16">
      <c r="L7442"/>
      <c r="M7442"/>
      <c r="O7442"/>
      <c r="P7442"/>
    </row>
    <row r="7443" spans="12:16">
      <c r="L7443"/>
      <c r="M7443"/>
      <c r="O7443"/>
      <c r="P7443"/>
    </row>
    <row r="7444" spans="12:16">
      <c r="L7444"/>
      <c r="M7444"/>
      <c r="O7444"/>
      <c r="P7444"/>
    </row>
    <row r="7445" spans="12:16">
      <c r="L7445"/>
      <c r="M7445"/>
      <c r="O7445"/>
      <c r="P7445"/>
    </row>
    <row r="7446" spans="12:16">
      <c r="L7446"/>
      <c r="M7446"/>
      <c r="O7446"/>
      <c r="P7446"/>
    </row>
    <row r="7447" spans="12:16">
      <c r="L7447"/>
      <c r="M7447"/>
      <c r="O7447"/>
      <c r="P7447"/>
    </row>
    <row r="7448" spans="12:16">
      <c r="L7448"/>
      <c r="M7448"/>
      <c r="O7448"/>
      <c r="P7448"/>
    </row>
    <row r="7449" spans="12:16">
      <c r="L7449"/>
      <c r="M7449"/>
      <c r="O7449"/>
      <c r="P7449"/>
    </row>
    <row r="7450" spans="12:16">
      <c r="L7450"/>
      <c r="M7450"/>
      <c r="O7450"/>
      <c r="P7450"/>
    </row>
    <row r="7451" spans="12:16">
      <c r="L7451"/>
      <c r="M7451"/>
      <c r="O7451"/>
      <c r="P7451"/>
    </row>
    <row r="7452" spans="12:16">
      <c r="L7452"/>
      <c r="M7452"/>
      <c r="O7452"/>
      <c r="P7452"/>
    </row>
    <row r="7453" spans="12:16">
      <c r="L7453"/>
      <c r="M7453"/>
      <c r="O7453"/>
      <c r="P7453"/>
    </row>
    <row r="7454" spans="12:16">
      <c r="L7454"/>
      <c r="M7454"/>
      <c r="O7454"/>
      <c r="P7454"/>
    </row>
    <row r="7455" spans="12:16">
      <c r="L7455"/>
      <c r="M7455"/>
      <c r="O7455"/>
      <c r="P7455"/>
    </row>
    <row r="7456" spans="12:16">
      <c r="L7456"/>
      <c r="M7456"/>
      <c r="O7456"/>
      <c r="P7456"/>
    </row>
    <row r="7457" spans="12:16">
      <c r="L7457"/>
      <c r="M7457"/>
      <c r="O7457"/>
      <c r="P7457"/>
    </row>
    <row r="7458" spans="12:16">
      <c r="L7458"/>
      <c r="M7458"/>
      <c r="O7458"/>
      <c r="P7458"/>
    </row>
    <row r="7459" spans="12:16">
      <c r="L7459"/>
      <c r="M7459"/>
      <c r="O7459"/>
      <c r="P7459"/>
    </row>
    <row r="7460" spans="12:16">
      <c r="L7460"/>
      <c r="M7460"/>
      <c r="O7460"/>
      <c r="P7460"/>
    </row>
    <row r="7461" spans="12:16">
      <c r="L7461"/>
      <c r="M7461"/>
      <c r="O7461"/>
      <c r="P7461"/>
    </row>
    <row r="7462" spans="12:16">
      <c r="L7462"/>
      <c r="M7462"/>
      <c r="O7462"/>
      <c r="P7462"/>
    </row>
    <row r="7463" spans="12:16">
      <c r="L7463"/>
      <c r="M7463"/>
      <c r="O7463"/>
      <c r="P7463"/>
    </row>
    <row r="7464" spans="12:16">
      <c r="L7464"/>
      <c r="M7464"/>
      <c r="O7464"/>
      <c r="P7464"/>
    </row>
    <row r="7465" spans="12:16">
      <c r="L7465"/>
      <c r="M7465"/>
      <c r="O7465"/>
      <c r="P7465"/>
    </row>
    <row r="7466" spans="12:16">
      <c r="L7466"/>
      <c r="M7466"/>
      <c r="O7466"/>
      <c r="P7466"/>
    </row>
    <row r="7467" spans="12:16">
      <c r="L7467"/>
      <c r="M7467"/>
      <c r="O7467"/>
      <c r="P7467"/>
    </row>
    <row r="7468" spans="12:16">
      <c r="L7468"/>
      <c r="M7468"/>
      <c r="O7468"/>
      <c r="P7468"/>
    </row>
    <row r="7469" spans="12:16">
      <c r="L7469"/>
      <c r="M7469"/>
      <c r="O7469"/>
      <c r="P7469"/>
    </row>
    <row r="7470" spans="12:16">
      <c r="L7470"/>
      <c r="M7470"/>
      <c r="O7470"/>
      <c r="P7470"/>
    </row>
    <row r="7471" spans="12:16">
      <c r="L7471"/>
      <c r="M7471"/>
      <c r="O7471"/>
      <c r="P7471"/>
    </row>
    <row r="7472" spans="12:16">
      <c r="L7472"/>
      <c r="M7472"/>
      <c r="O7472"/>
      <c r="P7472"/>
    </row>
    <row r="7473" spans="12:16">
      <c r="L7473"/>
      <c r="M7473"/>
      <c r="O7473"/>
      <c r="P7473"/>
    </row>
    <row r="7474" spans="12:16">
      <c r="L7474"/>
      <c r="M7474"/>
      <c r="O7474"/>
      <c r="P7474"/>
    </row>
    <row r="7475" spans="12:16">
      <c r="L7475"/>
      <c r="M7475"/>
      <c r="O7475"/>
      <c r="P7475"/>
    </row>
    <row r="7476" spans="12:16">
      <c r="L7476"/>
      <c r="M7476"/>
      <c r="O7476"/>
      <c r="P7476"/>
    </row>
    <row r="7477" spans="12:16">
      <c r="L7477"/>
      <c r="M7477"/>
      <c r="O7477"/>
      <c r="P7477"/>
    </row>
    <row r="7478" spans="12:16">
      <c r="L7478"/>
      <c r="M7478"/>
      <c r="O7478"/>
      <c r="P7478"/>
    </row>
    <row r="7479" spans="12:16">
      <c r="L7479"/>
      <c r="M7479"/>
      <c r="O7479"/>
      <c r="P7479"/>
    </row>
    <row r="7480" spans="12:16">
      <c r="L7480"/>
      <c r="M7480"/>
      <c r="O7480"/>
      <c r="P7480"/>
    </row>
    <row r="7481" spans="12:16">
      <c r="L7481"/>
      <c r="M7481"/>
      <c r="O7481"/>
      <c r="P7481"/>
    </row>
    <row r="7482" spans="12:16">
      <c r="L7482"/>
      <c r="M7482"/>
      <c r="O7482"/>
      <c r="P7482"/>
    </row>
    <row r="7483" spans="12:16">
      <c r="L7483"/>
      <c r="M7483"/>
      <c r="O7483"/>
      <c r="P7483"/>
    </row>
    <row r="7484" spans="12:16">
      <c r="L7484"/>
      <c r="M7484"/>
      <c r="O7484"/>
      <c r="P7484"/>
    </row>
    <row r="7485" spans="12:16">
      <c r="L7485"/>
      <c r="M7485"/>
      <c r="O7485"/>
      <c r="P7485"/>
    </row>
    <row r="7486" spans="12:16">
      <c r="L7486"/>
      <c r="M7486"/>
      <c r="O7486"/>
      <c r="P7486"/>
    </row>
    <row r="7487" spans="12:16">
      <c r="L7487"/>
      <c r="M7487"/>
      <c r="O7487"/>
      <c r="P7487"/>
    </row>
    <row r="7488" spans="12:16">
      <c r="L7488"/>
      <c r="M7488"/>
      <c r="O7488"/>
      <c r="P7488"/>
    </row>
    <row r="7489" spans="12:16">
      <c r="L7489"/>
      <c r="M7489"/>
      <c r="O7489"/>
      <c r="P7489"/>
    </row>
    <row r="7490" spans="12:16">
      <c r="L7490"/>
      <c r="M7490"/>
      <c r="O7490"/>
      <c r="P7490"/>
    </row>
    <row r="7491" spans="12:16">
      <c r="L7491"/>
      <c r="M7491"/>
      <c r="O7491"/>
      <c r="P7491"/>
    </row>
    <row r="7492" spans="12:16">
      <c r="L7492"/>
      <c r="M7492"/>
      <c r="O7492"/>
      <c r="P7492"/>
    </row>
    <row r="7493" spans="12:16">
      <c r="L7493"/>
      <c r="M7493"/>
      <c r="O7493"/>
      <c r="P7493"/>
    </row>
    <row r="7494" spans="12:16">
      <c r="L7494"/>
      <c r="M7494"/>
      <c r="O7494"/>
      <c r="P7494"/>
    </row>
    <row r="7495" spans="12:16">
      <c r="L7495"/>
      <c r="M7495"/>
      <c r="O7495"/>
      <c r="P7495"/>
    </row>
    <row r="7496" spans="12:16">
      <c r="L7496"/>
      <c r="M7496"/>
      <c r="O7496"/>
      <c r="P7496"/>
    </row>
    <row r="7497" spans="12:16">
      <c r="L7497"/>
      <c r="M7497"/>
      <c r="O7497"/>
      <c r="P7497"/>
    </row>
    <row r="7498" spans="12:16">
      <c r="L7498"/>
      <c r="M7498"/>
      <c r="O7498"/>
      <c r="P7498"/>
    </row>
    <row r="7499" spans="12:16">
      <c r="L7499"/>
      <c r="M7499"/>
      <c r="O7499"/>
      <c r="P7499"/>
    </row>
    <row r="7500" spans="12:16">
      <c r="L7500"/>
      <c r="M7500"/>
      <c r="O7500"/>
      <c r="P7500"/>
    </row>
    <row r="7501" spans="12:16">
      <c r="L7501"/>
      <c r="M7501"/>
      <c r="O7501"/>
      <c r="P7501"/>
    </row>
    <row r="7502" spans="12:16">
      <c r="L7502"/>
      <c r="M7502"/>
      <c r="O7502"/>
      <c r="P7502"/>
    </row>
    <row r="7503" spans="12:16">
      <c r="L7503"/>
      <c r="M7503"/>
      <c r="O7503"/>
      <c r="P7503"/>
    </row>
    <row r="7504" spans="12:16">
      <c r="L7504"/>
      <c r="M7504"/>
      <c r="O7504"/>
      <c r="P7504"/>
    </row>
    <row r="7505" spans="12:16">
      <c r="L7505"/>
      <c r="M7505"/>
      <c r="O7505"/>
      <c r="P7505"/>
    </row>
    <row r="7506" spans="12:16">
      <c r="L7506"/>
      <c r="M7506"/>
      <c r="O7506"/>
      <c r="P7506"/>
    </row>
    <row r="7507" spans="12:16">
      <c r="L7507"/>
      <c r="M7507"/>
      <c r="O7507"/>
      <c r="P7507"/>
    </row>
    <row r="7508" spans="12:16">
      <c r="L7508"/>
      <c r="M7508"/>
      <c r="O7508"/>
      <c r="P7508"/>
    </row>
    <row r="7509" spans="12:16">
      <c r="L7509"/>
      <c r="M7509"/>
      <c r="O7509"/>
      <c r="P7509"/>
    </row>
    <row r="7510" spans="12:16">
      <c r="L7510"/>
      <c r="M7510"/>
      <c r="O7510"/>
      <c r="P7510"/>
    </row>
    <row r="7511" spans="12:16">
      <c r="L7511"/>
      <c r="M7511"/>
      <c r="O7511"/>
      <c r="P7511"/>
    </row>
    <row r="7512" spans="12:16">
      <c r="L7512"/>
      <c r="M7512"/>
      <c r="O7512"/>
      <c r="P7512"/>
    </row>
    <row r="7513" spans="12:16">
      <c r="L7513"/>
      <c r="M7513"/>
      <c r="O7513"/>
      <c r="P7513"/>
    </row>
    <row r="7514" spans="12:16">
      <c r="L7514"/>
      <c r="M7514"/>
      <c r="O7514"/>
      <c r="P7514"/>
    </row>
    <row r="7515" spans="12:16">
      <c r="L7515"/>
      <c r="M7515"/>
      <c r="O7515"/>
      <c r="P7515"/>
    </row>
    <row r="7516" spans="12:16">
      <c r="L7516"/>
      <c r="M7516"/>
      <c r="O7516"/>
      <c r="P7516"/>
    </row>
    <row r="7517" spans="12:16">
      <c r="L7517"/>
      <c r="M7517"/>
      <c r="O7517"/>
      <c r="P7517"/>
    </row>
    <row r="7518" spans="12:16">
      <c r="L7518"/>
      <c r="M7518"/>
      <c r="O7518"/>
      <c r="P7518"/>
    </row>
    <row r="7519" spans="12:16">
      <c r="L7519"/>
      <c r="M7519"/>
      <c r="O7519"/>
      <c r="P7519"/>
    </row>
    <row r="7520" spans="12:16">
      <c r="L7520"/>
      <c r="M7520"/>
      <c r="O7520"/>
      <c r="P7520"/>
    </row>
    <row r="7521" spans="12:16">
      <c r="L7521"/>
      <c r="M7521"/>
      <c r="O7521"/>
      <c r="P7521"/>
    </row>
    <row r="7522" spans="12:16">
      <c r="L7522"/>
      <c r="M7522"/>
      <c r="O7522"/>
      <c r="P7522"/>
    </row>
    <row r="7523" spans="12:16">
      <c r="L7523"/>
      <c r="M7523"/>
      <c r="O7523"/>
      <c r="P7523"/>
    </row>
    <row r="7524" spans="12:16">
      <c r="L7524"/>
      <c r="M7524"/>
      <c r="O7524"/>
      <c r="P7524"/>
    </row>
    <row r="7525" spans="12:16">
      <c r="L7525"/>
      <c r="M7525"/>
      <c r="O7525"/>
      <c r="P7525"/>
    </row>
    <row r="7526" spans="12:16">
      <c r="L7526"/>
      <c r="M7526"/>
      <c r="O7526"/>
      <c r="P7526"/>
    </row>
    <row r="7527" spans="12:16">
      <c r="L7527"/>
      <c r="M7527"/>
      <c r="O7527"/>
      <c r="P7527"/>
    </row>
    <row r="7528" spans="12:16">
      <c r="L7528"/>
      <c r="M7528"/>
      <c r="O7528"/>
      <c r="P7528"/>
    </row>
    <row r="7529" spans="12:16">
      <c r="L7529"/>
      <c r="M7529"/>
      <c r="O7529"/>
      <c r="P7529"/>
    </row>
    <row r="7530" spans="12:16">
      <c r="L7530"/>
      <c r="M7530"/>
      <c r="O7530"/>
      <c r="P7530"/>
    </row>
    <row r="7531" spans="12:16">
      <c r="L7531"/>
      <c r="M7531"/>
      <c r="O7531"/>
      <c r="P7531"/>
    </row>
    <row r="7532" spans="12:16">
      <c r="L7532"/>
      <c r="M7532"/>
      <c r="O7532"/>
      <c r="P7532"/>
    </row>
    <row r="7533" spans="12:16">
      <c r="L7533"/>
      <c r="M7533"/>
      <c r="O7533"/>
      <c r="P7533"/>
    </row>
    <row r="7534" spans="12:16">
      <c r="L7534"/>
      <c r="M7534"/>
      <c r="O7534"/>
      <c r="P7534"/>
    </row>
    <row r="7535" spans="12:16">
      <c r="L7535"/>
      <c r="M7535"/>
      <c r="O7535"/>
      <c r="P7535"/>
    </row>
    <row r="7536" spans="12:16">
      <c r="L7536"/>
      <c r="M7536"/>
      <c r="O7536"/>
      <c r="P7536"/>
    </row>
    <row r="7537" spans="12:16">
      <c r="L7537"/>
      <c r="M7537"/>
      <c r="O7537"/>
      <c r="P7537"/>
    </row>
    <row r="7538" spans="12:16">
      <c r="L7538"/>
      <c r="M7538"/>
      <c r="O7538"/>
      <c r="P7538"/>
    </row>
    <row r="7539" spans="12:16">
      <c r="L7539"/>
      <c r="M7539"/>
      <c r="O7539"/>
      <c r="P7539"/>
    </row>
    <row r="7540" spans="12:16">
      <c r="L7540"/>
      <c r="M7540"/>
      <c r="O7540"/>
      <c r="P7540"/>
    </row>
    <row r="7541" spans="12:16">
      <c r="L7541"/>
      <c r="M7541"/>
      <c r="O7541"/>
      <c r="P7541"/>
    </row>
    <row r="7542" spans="12:16">
      <c r="L7542"/>
      <c r="M7542"/>
      <c r="O7542"/>
      <c r="P7542"/>
    </row>
    <row r="7543" spans="12:16">
      <c r="L7543"/>
      <c r="M7543"/>
      <c r="O7543"/>
      <c r="P7543"/>
    </row>
    <row r="7544" spans="12:16">
      <c r="L7544"/>
      <c r="M7544"/>
      <c r="O7544"/>
      <c r="P7544"/>
    </row>
    <row r="7545" spans="12:16">
      <c r="L7545"/>
      <c r="M7545"/>
      <c r="O7545"/>
      <c r="P7545"/>
    </row>
    <row r="7546" spans="12:16">
      <c r="L7546"/>
      <c r="M7546"/>
      <c r="O7546"/>
      <c r="P7546"/>
    </row>
    <row r="7547" spans="12:16">
      <c r="L7547"/>
      <c r="M7547"/>
      <c r="O7547"/>
      <c r="P7547"/>
    </row>
    <row r="7548" spans="12:16">
      <c r="L7548"/>
      <c r="M7548"/>
      <c r="O7548"/>
      <c r="P7548"/>
    </row>
    <row r="7549" spans="12:16">
      <c r="L7549"/>
      <c r="M7549"/>
      <c r="O7549"/>
      <c r="P7549"/>
    </row>
    <row r="7550" spans="12:16">
      <c r="L7550"/>
      <c r="M7550"/>
      <c r="O7550"/>
      <c r="P7550"/>
    </row>
    <row r="7551" spans="12:16">
      <c r="L7551"/>
      <c r="M7551"/>
      <c r="O7551"/>
      <c r="P7551"/>
    </row>
    <row r="7552" spans="12:16">
      <c r="L7552"/>
      <c r="M7552"/>
      <c r="O7552"/>
      <c r="P7552"/>
    </row>
    <row r="7553" spans="12:16">
      <c r="L7553"/>
      <c r="M7553"/>
      <c r="O7553"/>
      <c r="P7553"/>
    </row>
    <row r="7554" spans="12:16">
      <c r="L7554"/>
      <c r="M7554"/>
      <c r="O7554"/>
      <c r="P7554"/>
    </row>
    <row r="7555" spans="12:16">
      <c r="L7555"/>
      <c r="M7555"/>
      <c r="O7555"/>
      <c r="P7555"/>
    </row>
    <row r="7556" spans="12:16">
      <c r="L7556"/>
      <c r="M7556"/>
      <c r="O7556"/>
      <c r="P7556"/>
    </row>
    <row r="7557" spans="12:16">
      <c r="L7557"/>
      <c r="M7557"/>
      <c r="O7557"/>
      <c r="P7557"/>
    </row>
    <row r="7558" spans="12:16">
      <c r="L7558"/>
      <c r="M7558"/>
      <c r="O7558"/>
      <c r="P7558"/>
    </row>
    <row r="7559" spans="12:16">
      <c r="L7559"/>
      <c r="M7559"/>
      <c r="O7559"/>
      <c r="P7559"/>
    </row>
    <row r="7560" spans="12:16">
      <c r="L7560"/>
      <c r="M7560"/>
      <c r="O7560"/>
      <c r="P7560"/>
    </row>
    <row r="7561" spans="12:16">
      <c r="L7561"/>
      <c r="M7561"/>
      <c r="O7561"/>
      <c r="P7561"/>
    </row>
    <row r="7562" spans="12:16">
      <c r="L7562"/>
      <c r="M7562"/>
      <c r="O7562"/>
      <c r="P7562"/>
    </row>
    <row r="7563" spans="12:16">
      <c r="L7563"/>
      <c r="M7563"/>
      <c r="O7563"/>
      <c r="P7563"/>
    </row>
    <row r="7564" spans="12:16">
      <c r="L7564"/>
      <c r="M7564"/>
      <c r="O7564"/>
      <c r="P7564"/>
    </row>
    <row r="7565" spans="12:16">
      <c r="L7565"/>
      <c r="M7565"/>
      <c r="O7565"/>
      <c r="P7565"/>
    </row>
    <row r="7566" spans="12:16">
      <c r="L7566"/>
      <c r="M7566"/>
      <c r="O7566"/>
      <c r="P7566"/>
    </row>
    <row r="7567" spans="12:16">
      <c r="L7567"/>
      <c r="M7567"/>
      <c r="O7567"/>
      <c r="P7567"/>
    </row>
    <row r="7568" spans="12:16">
      <c r="L7568"/>
      <c r="M7568"/>
      <c r="O7568"/>
      <c r="P7568"/>
    </row>
    <row r="7569" spans="12:16">
      <c r="L7569"/>
      <c r="M7569"/>
      <c r="O7569"/>
      <c r="P7569"/>
    </row>
    <row r="7570" spans="12:16">
      <c r="L7570"/>
      <c r="M7570"/>
      <c r="O7570"/>
      <c r="P7570"/>
    </row>
    <row r="7571" spans="12:16">
      <c r="L7571"/>
      <c r="M7571"/>
      <c r="O7571"/>
      <c r="P7571"/>
    </row>
    <row r="7572" spans="12:16">
      <c r="L7572"/>
      <c r="M7572"/>
      <c r="O7572"/>
      <c r="P7572"/>
    </row>
    <row r="7573" spans="12:16">
      <c r="L7573"/>
      <c r="M7573"/>
      <c r="O7573"/>
      <c r="P7573"/>
    </row>
    <row r="7574" spans="12:16">
      <c r="L7574"/>
      <c r="M7574"/>
      <c r="O7574"/>
      <c r="P7574"/>
    </row>
    <row r="7575" spans="12:16">
      <c r="L7575"/>
      <c r="M7575"/>
      <c r="O7575"/>
      <c r="P7575"/>
    </row>
    <row r="7576" spans="12:16">
      <c r="L7576"/>
      <c r="M7576"/>
      <c r="O7576"/>
      <c r="P7576"/>
    </row>
    <row r="7577" spans="12:16">
      <c r="L7577"/>
      <c r="M7577"/>
      <c r="O7577"/>
      <c r="P7577"/>
    </row>
    <row r="7578" spans="12:16">
      <c r="L7578"/>
      <c r="M7578"/>
      <c r="O7578"/>
      <c r="P7578"/>
    </row>
    <row r="7579" spans="12:16">
      <c r="L7579"/>
      <c r="M7579"/>
      <c r="O7579"/>
      <c r="P7579"/>
    </row>
    <row r="7580" spans="12:16">
      <c r="L7580"/>
      <c r="M7580"/>
      <c r="O7580"/>
      <c r="P7580"/>
    </row>
    <row r="7581" spans="12:16">
      <c r="L7581"/>
      <c r="M7581"/>
      <c r="O7581"/>
      <c r="P7581"/>
    </row>
    <row r="7582" spans="12:16">
      <c r="L7582"/>
      <c r="M7582"/>
      <c r="O7582"/>
      <c r="P7582"/>
    </row>
    <row r="7583" spans="12:16">
      <c r="L7583"/>
      <c r="M7583"/>
      <c r="O7583"/>
      <c r="P7583"/>
    </row>
    <row r="7584" spans="12:16">
      <c r="L7584"/>
      <c r="M7584"/>
      <c r="O7584"/>
      <c r="P7584"/>
    </row>
    <row r="7585" spans="12:16">
      <c r="L7585"/>
      <c r="M7585"/>
      <c r="O7585"/>
      <c r="P7585"/>
    </row>
    <row r="7586" spans="12:16">
      <c r="L7586"/>
      <c r="M7586"/>
      <c r="O7586"/>
      <c r="P7586"/>
    </row>
    <row r="7587" spans="12:16">
      <c r="L7587"/>
      <c r="M7587"/>
      <c r="O7587"/>
      <c r="P7587"/>
    </row>
    <row r="7588" spans="12:16">
      <c r="L7588"/>
      <c r="M7588"/>
      <c r="O7588"/>
      <c r="P7588"/>
    </row>
    <row r="7589" spans="12:16">
      <c r="L7589"/>
      <c r="M7589"/>
      <c r="O7589"/>
      <c r="P7589"/>
    </row>
    <row r="7590" spans="12:16">
      <c r="L7590"/>
      <c r="M7590"/>
      <c r="O7590"/>
      <c r="P7590"/>
    </row>
    <row r="7591" spans="12:16">
      <c r="L7591"/>
      <c r="M7591"/>
      <c r="O7591"/>
      <c r="P7591"/>
    </row>
    <row r="7592" spans="12:16">
      <c r="L7592"/>
      <c r="M7592"/>
      <c r="O7592"/>
      <c r="P7592"/>
    </row>
    <row r="7593" spans="12:16">
      <c r="L7593"/>
      <c r="M7593"/>
      <c r="O7593"/>
      <c r="P7593"/>
    </row>
    <row r="7594" spans="12:16">
      <c r="L7594"/>
      <c r="M7594"/>
      <c r="O7594"/>
      <c r="P7594"/>
    </row>
    <row r="7595" spans="12:16">
      <c r="L7595"/>
      <c r="M7595"/>
      <c r="O7595"/>
      <c r="P7595"/>
    </row>
    <row r="7596" spans="12:16">
      <c r="L7596"/>
      <c r="M7596"/>
      <c r="O7596"/>
      <c r="P7596"/>
    </row>
    <row r="7597" spans="12:16">
      <c r="L7597"/>
      <c r="M7597"/>
      <c r="O7597"/>
      <c r="P7597"/>
    </row>
    <row r="7598" spans="12:16">
      <c r="L7598"/>
      <c r="M7598"/>
      <c r="O7598"/>
      <c r="P7598"/>
    </row>
    <row r="7599" spans="12:16">
      <c r="L7599"/>
      <c r="M7599"/>
      <c r="O7599"/>
      <c r="P7599"/>
    </row>
    <row r="7600" spans="12:16">
      <c r="L7600"/>
      <c r="M7600"/>
      <c r="O7600"/>
      <c r="P7600"/>
    </row>
    <row r="7601" spans="12:16">
      <c r="L7601"/>
      <c r="M7601"/>
      <c r="O7601"/>
      <c r="P7601"/>
    </row>
    <row r="7602" spans="12:16">
      <c r="L7602"/>
      <c r="M7602"/>
      <c r="O7602"/>
      <c r="P7602"/>
    </row>
    <row r="7603" spans="12:16">
      <c r="L7603"/>
      <c r="M7603"/>
      <c r="O7603"/>
      <c r="P7603"/>
    </row>
    <row r="7604" spans="12:16">
      <c r="L7604"/>
      <c r="M7604"/>
      <c r="O7604"/>
      <c r="P7604"/>
    </row>
    <row r="7605" spans="12:16">
      <c r="L7605"/>
      <c r="M7605"/>
      <c r="O7605"/>
      <c r="P7605"/>
    </row>
    <row r="7606" spans="12:16">
      <c r="L7606"/>
      <c r="M7606"/>
      <c r="O7606"/>
      <c r="P7606"/>
    </row>
    <row r="7607" spans="12:16">
      <c r="L7607"/>
      <c r="M7607"/>
      <c r="O7607"/>
      <c r="P7607"/>
    </row>
    <row r="7608" spans="12:16">
      <c r="L7608"/>
      <c r="M7608"/>
      <c r="O7608"/>
      <c r="P7608"/>
    </row>
    <row r="7609" spans="12:16">
      <c r="L7609"/>
      <c r="M7609"/>
      <c r="O7609"/>
      <c r="P7609"/>
    </row>
    <row r="7610" spans="12:16">
      <c r="L7610"/>
      <c r="M7610"/>
      <c r="O7610"/>
      <c r="P7610"/>
    </row>
    <row r="7611" spans="12:16">
      <c r="L7611"/>
      <c r="M7611"/>
      <c r="O7611"/>
      <c r="P7611"/>
    </row>
    <row r="7612" spans="12:16">
      <c r="L7612"/>
      <c r="M7612"/>
      <c r="O7612"/>
      <c r="P7612"/>
    </row>
    <row r="7613" spans="12:16">
      <c r="L7613"/>
      <c r="M7613"/>
      <c r="O7613"/>
      <c r="P7613"/>
    </row>
    <row r="7614" spans="12:16">
      <c r="L7614"/>
      <c r="M7614"/>
      <c r="O7614"/>
      <c r="P7614"/>
    </row>
    <row r="7615" spans="12:16">
      <c r="L7615"/>
      <c r="M7615"/>
      <c r="O7615"/>
      <c r="P7615"/>
    </row>
    <row r="7616" spans="12:16">
      <c r="L7616"/>
      <c r="M7616"/>
      <c r="O7616"/>
      <c r="P7616"/>
    </row>
    <row r="7617" spans="12:16">
      <c r="L7617"/>
      <c r="M7617"/>
      <c r="O7617"/>
      <c r="P7617"/>
    </row>
    <row r="7618" spans="12:16">
      <c r="L7618"/>
      <c r="M7618"/>
      <c r="O7618"/>
      <c r="P7618"/>
    </row>
    <row r="7619" spans="12:16">
      <c r="L7619"/>
      <c r="M7619"/>
      <c r="O7619"/>
      <c r="P7619"/>
    </row>
    <row r="7620" spans="12:16">
      <c r="L7620"/>
      <c r="M7620"/>
      <c r="O7620"/>
      <c r="P7620"/>
    </row>
    <row r="7621" spans="12:16">
      <c r="L7621"/>
      <c r="M7621"/>
      <c r="O7621"/>
      <c r="P7621"/>
    </row>
    <row r="7622" spans="12:16">
      <c r="L7622"/>
      <c r="M7622"/>
      <c r="O7622"/>
      <c r="P7622"/>
    </row>
    <row r="7623" spans="12:16">
      <c r="L7623"/>
      <c r="M7623"/>
      <c r="O7623"/>
      <c r="P7623"/>
    </row>
    <row r="7624" spans="12:16">
      <c r="L7624"/>
      <c r="M7624"/>
      <c r="O7624"/>
      <c r="P7624"/>
    </row>
    <row r="7625" spans="12:16">
      <c r="L7625"/>
      <c r="M7625"/>
      <c r="O7625"/>
      <c r="P7625"/>
    </row>
    <row r="7626" spans="12:16">
      <c r="L7626"/>
      <c r="M7626"/>
      <c r="O7626"/>
      <c r="P7626"/>
    </row>
    <row r="7627" spans="12:16">
      <c r="L7627"/>
      <c r="M7627"/>
      <c r="O7627"/>
      <c r="P7627"/>
    </row>
    <row r="7628" spans="12:16">
      <c r="L7628"/>
      <c r="M7628"/>
      <c r="O7628"/>
      <c r="P7628"/>
    </row>
    <row r="7629" spans="12:16">
      <c r="L7629"/>
      <c r="M7629"/>
      <c r="O7629"/>
      <c r="P7629"/>
    </row>
    <row r="7630" spans="12:16">
      <c r="L7630"/>
      <c r="M7630"/>
      <c r="O7630"/>
      <c r="P7630"/>
    </row>
    <row r="7631" spans="12:16">
      <c r="L7631"/>
      <c r="M7631"/>
      <c r="O7631"/>
      <c r="P7631"/>
    </row>
    <row r="7632" spans="12:16">
      <c r="L7632"/>
      <c r="M7632"/>
      <c r="O7632"/>
      <c r="P7632"/>
    </row>
    <row r="7633" spans="12:16">
      <c r="L7633"/>
      <c r="M7633"/>
      <c r="O7633"/>
      <c r="P7633"/>
    </row>
    <row r="7634" spans="12:16">
      <c r="L7634"/>
      <c r="M7634"/>
      <c r="O7634"/>
      <c r="P7634"/>
    </row>
    <row r="7635" spans="12:16">
      <c r="L7635"/>
      <c r="M7635"/>
      <c r="O7635"/>
      <c r="P7635"/>
    </row>
    <row r="7636" spans="12:16">
      <c r="L7636"/>
      <c r="M7636"/>
      <c r="O7636"/>
      <c r="P7636"/>
    </row>
    <row r="7637" spans="12:16">
      <c r="L7637"/>
      <c r="M7637"/>
      <c r="O7637"/>
      <c r="P7637"/>
    </row>
    <row r="7638" spans="12:16">
      <c r="L7638"/>
      <c r="M7638"/>
      <c r="O7638"/>
      <c r="P7638"/>
    </row>
    <row r="7639" spans="12:16">
      <c r="L7639"/>
      <c r="M7639"/>
      <c r="O7639"/>
      <c r="P7639"/>
    </row>
    <row r="7640" spans="12:16">
      <c r="L7640"/>
      <c r="M7640"/>
      <c r="O7640"/>
      <c r="P7640"/>
    </row>
    <row r="7641" spans="12:16">
      <c r="L7641"/>
      <c r="M7641"/>
      <c r="O7641"/>
      <c r="P7641"/>
    </row>
    <row r="7642" spans="12:16">
      <c r="L7642"/>
      <c r="M7642"/>
      <c r="O7642"/>
      <c r="P7642"/>
    </row>
    <row r="7643" spans="12:16">
      <c r="L7643"/>
      <c r="M7643"/>
      <c r="O7643"/>
      <c r="P7643"/>
    </row>
    <row r="7644" spans="12:16">
      <c r="L7644"/>
      <c r="M7644"/>
      <c r="O7644"/>
      <c r="P7644"/>
    </row>
    <row r="7645" spans="12:16">
      <c r="L7645"/>
      <c r="M7645"/>
      <c r="O7645"/>
      <c r="P7645"/>
    </row>
    <row r="7646" spans="12:16">
      <c r="L7646"/>
      <c r="M7646"/>
      <c r="O7646"/>
      <c r="P7646"/>
    </row>
    <row r="7647" spans="12:16">
      <c r="L7647"/>
      <c r="M7647"/>
      <c r="O7647"/>
      <c r="P7647"/>
    </row>
    <row r="7648" spans="12:16">
      <c r="L7648"/>
      <c r="M7648"/>
      <c r="O7648"/>
      <c r="P7648"/>
    </row>
    <row r="7649" spans="12:16">
      <c r="L7649"/>
      <c r="M7649"/>
      <c r="O7649"/>
      <c r="P7649"/>
    </row>
    <row r="7650" spans="12:16">
      <c r="L7650"/>
      <c r="M7650"/>
      <c r="O7650"/>
      <c r="P7650"/>
    </row>
    <row r="7651" spans="12:16">
      <c r="L7651"/>
      <c r="M7651"/>
      <c r="O7651"/>
      <c r="P7651"/>
    </row>
    <row r="7652" spans="12:16">
      <c r="L7652"/>
      <c r="M7652"/>
      <c r="O7652"/>
      <c r="P7652"/>
    </row>
    <row r="7653" spans="12:16">
      <c r="L7653"/>
      <c r="M7653"/>
      <c r="O7653"/>
      <c r="P7653"/>
    </row>
    <row r="7654" spans="12:16">
      <c r="L7654"/>
      <c r="M7654"/>
      <c r="O7654"/>
      <c r="P7654"/>
    </row>
    <row r="7655" spans="12:16">
      <c r="L7655"/>
      <c r="M7655"/>
      <c r="O7655"/>
      <c r="P7655"/>
    </row>
    <row r="7656" spans="12:16">
      <c r="L7656"/>
      <c r="M7656"/>
      <c r="O7656"/>
      <c r="P7656"/>
    </row>
    <row r="7657" spans="12:16">
      <c r="L7657"/>
      <c r="M7657"/>
      <c r="O7657"/>
      <c r="P7657"/>
    </row>
    <row r="7658" spans="12:16">
      <c r="L7658"/>
      <c r="M7658"/>
      <c r="O7658"/>
      <c r="P7658"/>
    </row>
    <row r="7659" spans="12:16">
      <c r="L7659"/>
      <c r="M7659"/>
      <c r="O7659"/>
      <c r="P7659"/>
    </row>
    <row r="7660" spans="12:16">
      <c r="L7660"/>
      <c r="M7660"/>
      <c r="O7660"/>
      <c r="P7660"/>
    </row>
    <row r="7661" spans="12:16">
      <c r="L7661"/>
      <c r="M7661"/>
      <c r="O7661"/>
      <c r="P7661"/>
    </row>
    <row r="7662" spans="12:16">
      <c r="L7662"/>
      <c r="M7662"/>
      <c r="O7662"/>
      <c r="P7662"/>
    </row>
    <row r="7663" spans="12:16">
      <c r="L7663"/>
      <c r="M7663"/>
      <c r="O7663"/>
      <c r="P7663"/>
    </row>
    <row r="7664" spans="12:16">
      <c r="L7664"/>
      <c r="M7664"/>
      <c r="O7664"/>
      <c r="P7664"/>
    </row>
    <row r="7665" spans="12:16">
      <c r="L7665"/>
      <c r="M7665"/>
      <c r="O7665"/>
      <c r="P7665"/>
    </row>
    <row r="7666" spans="12:16">
      <c r="L7666"/>
      <c r="M7666"/>
      <c r="O7666"/>
      <c r="P7666"/>
    </row>
    <row r="7667" spans="12:16">
      <c r="L7667"/>
      <c r="M7667"/>
      <c r="O7667"/>
      <c r="P7667"/>
    </row>
    <row r="7668" spans="12:16">
      <c r="L7668"/>
      <c r="M7668"/>
      <c r="O7668"/>
      <c r="P7668"/>
    </row>
    <row r="7669" spans="12:16">
      <c r="L7669"/>
      <c r="M7669"/>
      <c r="O7669"/>
      <c r="P7669"/>
    </row>
    <row r="7670" spans="12:16">
      <c r="L7670"/>
      <c r="M7670"/>
      <c r="O7670"/>
      <c r="P7670"/>
    </row>
    <row r="7671" spans="12:16">
      <c r="L7671"/>
      <c r="M7671"/>
      <c r="O7671"/>
      <c r="P7671"/>
    </row>
    <row r="7672" spans="12:16">
      <c r="L7672"/>
      <c r="M7672"/>
      <c r="O7672"/>
      <c r="P7672"/>
    </row>
    <row r="7673" spans="12:16">
      <c r="L7673"/>
      <c r="M7673"/>
      <c r="O7673"/>
      <c r="P7673"/>
    </row>
    <row r="7674" spans="12:16">
      <c r="L7674"/>
      <c r="M7674"/>
      <c r="O7674"/>
      <c r="P7674"/>
    </row>
    <row r="7675" spans="12:16">
      <c r="L7675"/>
      <c r="M7675"/>
      <c r="O7675"/>
      <c r="P7675"/>
    </row>
    <row r="7676" spans="12:16">
      <c r="L7676"/>
      <c r="M7676"/>
      <c r="O7676"/>
      <c r="P7676"/>
    </row>
    <row r="7677" spans="12:16">
      <c r="L7677"/>
      <c r="M7677"/>
      <c r="O7677"/>
      <c r="P7677"/>
    </row>
    <row r="7678" spans="12:16">
      <c r="L7678"/>
      <c r="M7678"/>
      <c r="O7678"/>
      <c r="P7678"/>
    </row>
    <row r="7679" spans="12:16">
      <c r="L7679"/>
      <c r="M7679"/>
      <c r="O7679"/>
      <c r="P7679"/>
    </row>
    <row r="7680" spans="12:16">
      <c r="L7680"/>
      <c r="M7680"/>
      <c r="O7680"/>
      <c r="P7680"/>
    </row>
    <row r="7681" spans="12:16">
      <c r="L7681"/>
      <c r="M7681"/>
      <c r="O7681"/>
      <c r="P7681"/>
    </row>
    <row r="7682" spans="12:16">
      <c r="L7682"/>
      <c r="M7682"/>
      <c r="O7682"/>
      <c r="P7682"/>
    </row>
    <row r="7683" spans="12:16">
      <c r="L7683"/>
      <c r="M7683"/>
      <c r="O7683"/>
      <c r="P7683"/>
    </row>
    <row r="7684" spans="12:16">
      <c r="L7684"/>
      <c r="M7684"/>
      <c r="O7684"/>
      <c r="P7684"/>
    </row>
    <row r="7685" spans="12:16">
      <c r="L7685"/>
      <c r="M7685"/>
      <c r="O7685"/>
      <c r="P7685"/>
    </row>
    <row r="7686" spans="12:16">
      <c r="L7686"/>
      <c r="M7686"/>
      <c r="O7686"/>
      <c r="P7686"/>
    </row>
    <row r="7687" spans="12:16">
      <c r="L7687"/>
      <c r="M7687"/>
      <c r="O7687"/>
      <c r="P7687"/>
    </row>
    <row r="7688" spans="12:16">
      <c r="L7688"/>
      <c r="M7688"/>
      <c r="O7688"/>
      <c r="P7688"/>
    </row>
    <row r="7689" spans="12:16">
      <c r="L7689"/>
      <c r="M7689"/>
      <c r="O7689"/>
      <c r="P7689"/>
    </row>
    <row r="7690" spans="12:16">
      <c r="L7690"/>
      <c r="M7690"/>
      <c r="O7690"/>
      <c r="P7690"/>
    </row>
    <row r="7691" spans="12:16">
      <c r="L7691"/>
      <c r="M7691"/>
      <c r="O7691"/>
      <c r="P7691"/>
    </row>
    <row r="7692" spans="12:16">
      <c r="L7692"/>
      <c r="M7692"/>
      <c r="O7692"/>
      <c r="P7692"/>
    </row>
    <row r="7693" spans="12:16">
      <c r="L7693"/>
      <c r="M7693"/>
      <c r="O7693"/>
      <c r="P7693"/>
    </row>
    <row r="7694" spans="12:16">
      <c r="L7694"/>
      <c r="M7694"/>
      <c r="O7694"/>
      <c r="P7694"/>
    </row>
    <row r="7695" spans="12:16">
      <c r="L7695"/>
      <c r="M7695"/>
      <c r="O7695"/>
      <c r="P7695"/>
    </row>
    <row r="7696" spans="12:16">
      <c r="L7696"/>
      <c r="M7696"/>
      <c r="O7696"/>
      <c r="P7696"/>
    </row>
    <row r="7697" spans="12:16">
      <c r="L7697"/>
      <c r="M7697"/>
      <c r="O7697"/>
      <c r="P7697"/>
    </row>
    <row r="7698" spans="12:16">
      <c r="L7698"/>
      <c r="M7698"/>
      <c r="O7698"/>
      <c r="P7698"/>
    </row>
    <row r="7699" spans="12:16">
      <c r="L7699"/>
      <c r="M7699"/>
      <c r="O7699"/>
      <c r="P7699"/>
    </row>
    <row r="7700" spans="12:16">
      <c r="L7700"/>
      <c r="M7700"/>
      <c r="O7700"/>
      <c r="P7700"/>
    </row>
    <row r="7701" spans="12:16">
      <c r="L7701"/>
      <c r="M7701"/>
      <c r="O7701"/>
      <c r="P7701"/>
    </row>
    <row r="7702" spans="12:16">
      <c r="L7702"/>
      <c r="M7702"/>
      <c r="O7702"/>
      <c r="P7702"/>
    </row>
    <row r="7703" spans="12:16">
      <c r="L7703"/>
      <c r="M7703"/>
      <c r="O7703"/>
      <c r="P7703"/>
    </row>
    <row r="7704" spans="12:16">
      <c r="L7704"/>
      <c r="M7704"/>
      <c r="O7704"/>
      <c r="P7704"/>
    </row>
    <row r="7705" spans="12:16">
      <c r="L7705"/>
      <c r="M7705"/>
      <c r="O7705"/>
      <c r="P7705"/>
    </row>
    <row r="7706" spans="12:16">
      <c r="L7706"/>
      <c r="M7706"/>
      <c r="O7706"/>
      <c r="P7706"/>
    </row>
    <row r="7707" spans="12:16">
      <c r="L7707"/>
      <c r="M7707"/>
      <c r="O7707"/>
      <c r="P7707"/>
    </row>
    <row r="7708" spans="12:16">
      <c r="L7708"/>
      <c r="M7708"/>
      <c r="O7708"/>
      <c r="P7708"/>
    </row>
    <row r="7709" spans="12:16">
      <c r="L7709"/>
      <c r="M7709"/>
      <c r="O7709"/>
      <c r="P7709"/>
    </row>
    <row r="7710" spans="12:16">
      <c r="L7710"/>
      <c r="M7710"/>
      <c r="O7710"/>
      <c r="P7710"/>
    </row>
    <row r="7711" spans="12:16">
      <c r="L7711"/>
      <c r="M7711"/>
      <c r="O7711"/>
      <c r="P7711"/>
    </row>
    <row r="7712" spans="12:16">
      <c r="L7712"/>
      <c r="M7712"/>
      <c r="O7712"/>
      <c r="P7712"/>
    </row>
    <row r="7713" spans="12:16">
      <c r="L7713"/>
      <c r="M7713"/>
      <c r="O7713"/>
      <c r="P7713"/>
    </row>
    <row r="7714" spans="12:16">
      <c r="L7714"/>
      <c r="M7714"/>
      <c r="O7714"/>
      <c r="P7714"/>
    </row>
    <row r="7715" spans="12:16">
      <c r="L7715"/>
      <c r="M7715"/>
      <c r="O7715"/>
      <c r="P7715"/>
    </row>
    <row r="7716" spans="12:16">
      <c r="L7716"/>
      <c r="M7716"/>
      <c r="O7716"/>
      <c r="P7716"/>
    </row>
    <row r="7717" spans="12:16">
      <c r="L7717"/>
      <c r="M7717"/>
      <c r="O7717"/>
      <c r="P7717"/>
    </row>
    <row r="7718" spans="12:16">
      <c r="L7718"/>
      <c r="M7718"/>
      <c r="O7718"/>
      <c r="P7718"/>
    </row>
    <row r="7719" spans="12:16">
      <c r="L7719"/>
      <c r="M7719"/>
      <c r="O7719"/>
      <c r="P7719"/>
    </row>
    <row r="7720" spans="12:16">
      <c r="L7720"/>
      <c r="M7720"/>
      <c r="O7720"/>
      <c r="P7720"/>
    </row>
    <row r="7721" spans="12:16">
      <c r="L7721"/>
      <c r="M7721"/>
      <c r="O7721"/>
      <c r="P7721"/>
    </row>
    <row r="7722" spans="12:16">
      <c r="L7722"/>
      <c r="M7722"/>
      <c r="O7722"/>
      <c r="P7722"/>
    </row>
    <row r="7723" spans="12:16">
      <c r="L7723"/>
      <c r="M7723"/>
      <c r="O7723"/>
      <c r="P7723"/>
    </row>
    <row r="7724" spans="12:16">
      <c r="L7724"/>
      <c r="M7724"/>
      <c r="O7724"/>
      <c r="P7724"/>
    </row>
    <row r="7725" spans="12:16">
      <c r="L7725"/>
      <c r="M7725"/>
      <c r="O7725"/>
      <c r="P7725"/>
    </row>
    <row r="7726" spans="12:16">
      <c r="L7726"/>
      <c r="M7726"/>
      <c r="O7726"/>
      <c r="P7726"/>
    </row>
    <row r="7727" spans="12:16">
      <c r="L7727"/>
      <c r="M7727"/>
      <c r="O7727"/>
      <c r="P7727"/>
    </row>
    <row r="7728" spans="12:16">
      <c r="L7728"/>
      <c r="M7728"/>
      <c r="O7728"/>
      <c r="P7728"/>
    </row>
    <row r="7729" spans="12:16">
      <c r="L7729"/>
      <c r="M7729"/>
      <c r="O7729"/>
      <c r="P7729"/>
    </row>
    <row r="7730" spans="12:16">
      <c r="L7730"/>
      <c r="M7730"/>
      <c r="O7730"/>
      <c r="P7730"/>
    </row>
    <row r="7731" spans="12:16">
      <c r="L7731"/>
      <c r="M7731"/>
      <c r="O7731"/>
      <c r="P7731"/>
    </row>
    <row r="7732" spans="12:16">
      <c r="L7732"/>
      <c r="M7732"/>
      <c r="O7732"/>
      <c r="P7732"/>
    </row>
    <row r="7733" spans="12:16">
      <c r="L7733"/>
      <c r="M7733"/>
      <c r="O7733"/>
      <c r="P7733"/>
    </row>
    <row r="7734" spans="12:16">
      <c r="L7734"/>
      <c r="M7734"/>
      <c r="O7734"/>
      <c r="P7734"/>
    </row>
    <row r="7735" spans="12:16">
      <c r="L7735"/>
      <c r="M7735"/>
      <c r="O7735"/>
      <c r="P7735"/>
    </row>
    <row r="7736" spans="12:16">
      <c r="L7736"/>
      <c r="M7736"/>
      <c r="O7736"/>
      <c r="P7736"/>
    </row>
    <row r="7737" spans="12:16">
      <c r="L7737"/>
      <c r="M7737"/>
      <c r="O7737"/>
      <c r="P7737"/>
    </row>
    <row r="7738" spans="12:16">
      <c r="L7738"/>
      <c r="M7738"/>
      <c r="O7738"/>
      <c r="P7738"/>
    </row>
    <row r="7739" spans="12:16">
      <c r="L7739"/>
      <c r="M7739"/>
      <c r="O7739"/>
      <c r="P7739"/>
    </row>
    <row r="7740" spans="12:16">
      <c r="L7740"/>
      <c r="M7740"/>
      <c r="O7740"/>
      <c r="P7740"/>
    </row>
    <row r="7741" spans="12:16">
      <c r="L7741"/>
      <c r="M7741"/>
      <c r="O7741"/>
      <c r="P7741"/>
    </row>
    <row r="7742" spans="12:16">
      <c r="L7742"/>
      <c r="M7742"/>
      <c r="O7742"/>
      <c r="P7742"/>
    </row>
    <row r="7743" spans="12:16">
      <c r="L7743"/>
      <c r="M7743"/>
      <c r="O7743"/>
      <c r="P7743"/>
    </row>
    <row r="7744" spans="12:16">
      <c r="L7744"/>
      <c r="M7744"/>
      <c r="O7744"/>
      <c r="P7744"/>
    </row>
    <row r="7745" spans="12:16">
      <c r="L7745"/>
      <c r="M7745"/>
      <c r="O7745"/>
      <c r="P7745"/>
    </row>
    <row r="7746" spans="12:16">
      <c r="L7746"/>
      <c r="M7746"/>
      <c r="O7746"/>
      <c r="P7746"/>
    </row>
    <row r="7747" spans="12:16">
      <c r="L7747"/>
      <c r="M7747"/>
      <c r="O7747"/>
      <c r="P7747"/>
    </row>
    <row r="7748" spans="12:16">
      <c r="L7748"/>
      <c r="M7748"/>
      <c r="O7748"/>
      <c r="P7748"/>
    </row>
    <row r="7749" spans="12:16">
      <c r="L7749"/>
      <c r="M7749"/>
      <c r="O7749"/>
      <c r="P7749"/>
    </row>
    <row r="7750" spans="12:16">
      <c r="L7750"/>
      <c r="M7750"/>
      <c r="O7750"/>
      <c r="P7750"/>
    </row>
    <row r="7751" spans="12:16">
      <c r="L7751"/>
      <c r="M7751"/>
      <c r="O7751"/>
      <c r="P7751"/>
    </row>
    <row r="7752" spans="12:16">
      <c r="L7752"/>
      <c r="M7752"/>
      <c r="O7752"/>
      <c r="P7752"/>
    </row>
    <row r="7753" spans="12:16">
      <c r="L7753"/>
      <c r="M7753"/>
      <c r="O7753"/>
      <c r="P7753"/>
    </row>
    <row r="7754" spans="12:16">
      <c r="L7754"/>
      <c r="M7754"/>
      <c r="O7754"/>
      <c r="P7754"/>
    </row>
    <row r="7755" spans="12:16">
      <c r="L7755"/>
      <c r="M7755"/>
      <c r="O7755"/>
      <c r="P7755"/>
    </row>
    <row r="7756" spans="12:16">
      <c r="L7756"/>
      <c r="M7756"/>
      <c r="O7756"/>
      <c r="P7756"/>
    </row>
    <row r="7757" spans="12:16">
      <c r="L7757"/>
      <c r="M7757"/>
      <c r="O7757"/>
      <c r="P7757"/>
    </row>
    <row r="7758" spans="12:16">
      <c r="L7758"/>
      <c r="M7758"/>
      <c r="O7758"/>
      <c r="P7758"/>
    </row>
    <row r="7759" spans="12:16">
      <c r="L7759"/>
      <c r="M7759"/>
      <c r="O7759"/>
      <c r="P7759"/>
    </row>
    <row r="7760" spans="12:16">
      <c r="L7760"/>
      <c r="M7760"/>
      <c r="O7760"/>
      <c r="P7760"/>
    </row>
    <row r="7761" spans="12:16">
      <c r="L7761"/>
      <c r="M7761"/>
      <c r="O7761"/>
      <c r="P7761"/>
    </row>
    <row r="7762" spans="12:16">
      <c r="L7762"/>
      <c r="M7762"/>
      <c r="O7762"/>
      <c r="P7762"/>
    </row>
    <row r="7763" spans="12:16">
      <c r="L7763"/>
      <c r="M7763"/>
      <c r="O7763"/>
      <c r="P7763"/>
    </row>
    <row r="7764" spans="12:16">
      <c r="L7764"/>
      <c r="M7764"/>
      <c r="O7764"/>
      <c r="P7764"/>
    </row>
    <row r="7765" spans="12:16">
      <c r="L7765"/>
      <c r="M7765"/>
      <c r="O7765"/>
      <c r="P7765"/>
    </row>
    <row r="7766" spans="12:16">
      <c r="L7766"/>
      <c r="M7766"/>
      <c r="O7766"/>
      <c r="P7766"/>
    </row>
    <row r="7767" spans="12:16">
      <c r="L7767"/>
      <c r="M7767"/>
      <c r="O7767"/>
      <c r="P7767"/>
    </row>
    <row r="7768" spans="12:16">
      <c r="L7768"/>
      <c r="M7768"/>
      <c r="O7768"/>
      <c r="P7768"/>
    </row>
    <row r="7769" spans="12:16">
      <c r="L7769"/>
      <c r="M7769"/>
      <c r="O7769"/>
      <c r="P7769"/>
    </row>
    <row r="7770" spans="12:16">
      <c r="L7770"/>
      <c r="M7770"/>
      <c r="O7770"/>
      <c r="P7770"/>
    </row>
    <row r="7771" spans="12:16">
      <c r="L7771"/>
      <c r="M7771"/>
      <c r="O7771"/>
      <c r="P7771"/>
    </row>
    <row r="7772" spans="12:16">
      <c r="L7772"/>
      <c r="M7772"/>
      <c r="O7772"/>
      <c r="P7772"/>
    </row>
    <row r="7773" spans="12:16">
      <c r="L7773"/>
      <c r="M7773"/>
      <c r="O7773"/>
      <c r="P7773"/>
    </row>
    <row r="7774" spans="12:16">
      <c r="L7774"/>
      <c r="M7774"/>
      <c r="O7774"/>
      <c r="P7774"/>
    </row>
    <row r="7775" spans="12:16">
      <c r="L7775"/>
      <c r="M7775"/>
      <c r="O7775"/>
      <c r="P7775"/>
    </row>
    <row r="7776" spans="12:16">
      <c r="L7776"/>
      <c r="M7776"/>
      <c r="O7776"/>
      <c r="P7776"/>
    </row>
    <row r="7777" spans="12:16">
      <c r="L7777"/>
      <c r="M7777"/>
      <c r="O7777"/>
      <c r="P7777"/>
    </row>
    <row r="7778" spans="12:16">
      <c r="L7778"/>
      <c r="M7778"/>
      <c r="O7778"/>
      <c r="P7778"/>
    </row>
    <row r="7779" spans="12:16">
      <c r="L7779"/>
      <c r="M7779"/>
      <c r="O7779"/>
      <c r="P7779"/>
    </row>
    <row r="7780" spans="12:16">
      <c r="L7780"/>
      <c r="M7780"/>
      <c r="O7780"/>
      <c r="P7780"/>
    </row>
    <row r="7781" spans="12:16">
      <c r="L7781"/>
      <c r="M7781"/>
      <c r="O7781"/>
      <c r="P7781"/>
    </row>
    <row r="7782" spans="12:16">
      <c r="L7782"/>
      <c r="M7782"/>
      <c r="O7782"/>
      <c r="P7782"/>
    </row>
    <row r="7783" spans="12:16">
      <c r="L7783"/>
      <c r="M7783"/>
      <c r="O7783"/>
      <c r="P7783"/>
    </row>
    <row r="7784" spans="12:16">
      <c r="L7784"/>
      <c r="M7784"/>
      <c r="O7784"/>
      <c r="P7784"/>
    </row>
    <row r="7785" spans="12:16">
      <c r="L7785"/>
      <c r="M7785"/>
      <c r="O7785"/>
      <c r="P7785"/>
    </row>
    <row r="7786" spans="12:16">
      <c r="L7786"/>
      <c r="M7786"/>
      <c r="O7786"/>
      <c r="P7786"/>
    </row>
    <row r="7787" spans="12:16">
      <c r="L7787"/>
      <c r="M7787"/>
      <c r="O7787"/>
      <c r="P7787"/>
    </row>
    <row r="7788" spans="12:16">
      <c r="L7788"/>
      <c r="M7788"/>
      <c r="O7788"/>
      <c r="P7788"/>
    </row>
    <row r="7789" spans="12:16">
      <c r="L7789"/>
      <c r="M7789"/>
      <c r="O7789"/>
      <c r="P7789"/>
    </row>
    <row r="7790" spans="12:16">
      <c r="L7790"/>
      <c r="M7790"/>
      <c r="O7790"/>
      <c r="P7790"/>
    </row>
    <row r="7791" spans="12:16">
      <c r="L7791"/>
      <c r="M7791"/>
      <c r="O7791"/>
      <c r="P7791"/>
    </row>
    <row r="7792" spans="12:16">
      <c r="L7792"/>
      <c r="M7792"/>
      <c r="O7792"/>
      <c r="P7792"/>
    </row>
    <row r="7793" spans="12:16">
      <c r="L7793"/>
      <c r="M7793"/>
      <c r="O7793"/>
      <c r="P7793"/>
    </row>
    <row r="7794" spans="12:16">
      <c r="L7794"/>
      <c r="M7794"/>
      <c r="O7794"/>
      <c r="P7794"/>
    </row>
    <row r="7795" spans="12:16">
      <c r="L7795"/>
      <c r="M7795"/>
      <c r="O7795"/>
      <c r="P7795"/>
    </row>
    <row r="7796" spans="12:16">
      <c r="L7796"/>
      <c r="M7796"/>
      <c r="O7796"/>
      <c r="P7796"/>
    </row>
    <row r="7797" spans="12:16">
      <c r="L7797"/>
      <c r="M7797"/>
      <c r="O7797"/>
      <c r="P7797"/>
    </row>
    <row r="7798" spans="12:16">
      <c r="L7798"/>
      <c r="M7798"/>
      <c r="O7798"/>
      <c r="P7798"/>
    </row>
    <row r="7799" spans="12:16">
      <c r="L7799"/>
      <c r="M7799"/>
      <c r="O7799"/>
      <c r="P7799"/>
    </row>
    <row r="7800" spans="12:16">
      <c r="L7800"/>
      <c r="M7800"/>
      <c r="O7800"/>
      <c r="P7800"/>
    </row>
    <row r="7801" spans="12:16">
      <c r="L7801"/>
      <c r="M7801"/>
      <c r="O7801"/>
      <c r="P7801"/>
    </row>
    <row r="7802" spans="12:16">
      <c r="L7802"/>
      <c r="M7802"/>
      <c r="O7802"/>
      <c r="P7802"/>
    </row>
    <row r="7803" spans="12:16">
      <c r="L7803"/>
      <c r="M7803"/>
      <c r="O7803"/>
      <c r="P7803"/>
    </row>
    <row r="7804" spans="12:16">
      <c r="L7804"/>
      <c r="M7804"/>
      <c r="O7804"/>
      <c r="P7804"/>
    </row>
    <row r="7805" spans="12:16">
      <c r="L7805"/>
      <c r="M7805"/>
      <c r="O7805"/>
      <c r="P7805"/>
    </row>
    <row r="7806" spans="12:16">
      <c r="L7806"/>
      <c r="M7806"/>
      <c r="O7806"/>
      <c r="P7806"/>
    </row>
    <row r="7807" spans="12:16">
      <c r="L7807"/>
      <c r="M7807"/>
      <c r="O7807"/>
      <c r="P7807"/>
    </row>
    <row r="7808" spans="12:16">
      <c r="L7808"/>
      <c r="M7808"/>
      <c r="O7808"/>
      <c r="P7808"/>
    </row>
    <row r="7809" spans="12:16">
      <c r="L7809"/>
      <c r="M7809"/>
      <c r="O7809"/>
      <c r="P7809"/>
    </row>
    <row r="7810" spans="12:16">
      <c r="L7810"/>
      <c r="M7810"/>
      <c r="O7810"/>
      <c r="P7810"/>
    </row>
    <row r="7811" spans="12:16">
      <c r="L7811"/>
      <c r="M7811"/>
      <c r="O7811"/>
      <c r="P7811"/>
    </row>
    <row r="7812" spans="12:16">
      <c r="L7812"/>
      <c r="M7812"/>
      <c r="O7812"/>
      <c r="P7812"/>
    </row>
    <row r="7813" spans="12:16">
      <c r="L7813"/>
      <c r="M7813"/>
      <c r="O7813"/>
      <c r="P7813"/>
    </row>
    <row r="7814" spans="12:16">
      <c r="L7814"/>
      <c r="M7814"/>
      <c r="O7814"/>
      <c r="P7814"/>
    </row>
    <row r="7815" spans="12:16">
      <c r="L7815"/>
      <c r="M7815"/>
      <c r="O7815"/>
      <c r="P7815"/>
    </row>
    <row r="7816" spans="12:16">
      <c r="L7816"/>
      <c r="M7816"/>
      <c r="O7816"/>
      <c r="P7816"/>
    </row>
    <row r="7817" spans="12:16">
      <c r="L7817"/>
      <c r="M7817"/>
      <c r="O7817"/>
      <c r="P7817"/>
    </row>
    <row r="7818" spans="12:16">
      <c r="L7818"/>
      <c r="M7818"/>
      <c r="O7818"/>
      <c r="P7818"/>
    </row>
    <row r="7819" spans="12:16">
      <c r="L7819"/>
      <c r="M7819"/>
      <c r="O7819"/>
      <c r="P7819"/>
    </row>
    <row r="7820" spans="12:16">
      <c r="L7820"/>
      <c r="M7820"/>
      <c r="O7820"/>
      <c r="P7820"/>
    </row>
    <row r="7821" spans="12:16">
      <c r="L7821"/>
      <c r="M7821"/>
      <c r="O7821"/>
      <c r="P7821"/>
    </row>
    <row r="7822" spans="12:16">
      <c r="L7822"/>
      <c r="M7822"/>
      <c r="O7822"/>
      <c r="P7822"/>
    </row>
    <row r="7823" spans="12:16">
      <c r="L7823"/>
      <c r="M7823"/>
      <c r="O7823"/>
      <c r="P7823"/>
    </row>
    <row r="7824" spans="12:16">
      <c r="L7824"/>
      <c r="M7824"/>
      <c r="O7824"/>
      <c r="P7824"/>
    </row>
    <row r="7825" spans="12:16">
      <c r="L7825"/>
      <c r="M7825"/>
      <c r="O7825"/>
      <c r="P7825"/>
    </row>
    <row r="7826" spans="12:16">
      <c r="L7826"/>
      <c r="M7826"/>
      <c r="O7826"/>
      <c r="P7826"/>
    </row>
    <row r="7827" spans="12:16">
      <c r="L7827"/>
      <c r="M7827"/>
      <c r="O7827"/>
      <c r="P7827"/>
    </row>
    <row r="7828" spans="12:16">
      <c r="L7828"/>
      <c r="M7828"/>
      <c r="O7828"/>
      <c r="P7828"/>
    </row>
    <row r="7829" spans="12:16">
      <c r="L7829"/>
      <c r="M7829"/>
      <c r="O7829"/>
      <c r="P7829"/>
    </row>
    <row r="7830" spans="12:16">
      <c r="L7830"/>
      <c r="M7830"/>
      <c r="O7830"/>
      <c r="P7830"/>
    </row>
    <row r="7831" spans="12:16">
      <c r="L7831"/>
      <c r="M7831"/>
      <c r="O7831"/>
      <c r="P7831"/>
    </row>
    <row r="7832" spans="12:16">
      <c r="L7832"/>
      <c r="M7832"/>
      <c r="O7832"/>
      <c r="P7832"/>
    </row>
    <row r="7833" spans="12:16">
      <c r="L7833"/>
      <c r="M7833"/>
      <c r="O7833"/>
      <c r="P7833"/>
    </row>
    <row r="7834" spans="12:16">
      <c r="L7834"/>
      <c r="M7834"/>
      <c r="O7834"/>
      <c r="P7834"/>
    </row>
    <row r="7835" spans="12:16">
      <c r="L7835"/>
      <c r="M7835"/>
      <c r="O7835"/>
      <c r="P7835"/>
    </row>
    <row r="7836" spans="12:16">
      <c r="L7836"/>
      <c r="M7836"/>
      <c r="O7836"/>
      <c r="P7836"/>
    </row>
    <row r="7837" spans="12:16">
      <c r="L7837"/>
      <c r="M7837"/>
      <c r="O7837"/>
      <c r="P7837"/>
    </row>
    <row r="7838" spans="12:16">
      <c r="L7838"/>
      <c r="M7838"/>
      <c r="O7838"/>
      <c r="P7838"/>
    </row>
    <row r="7839" spans="12:16">
      <c r="L7839"/>
      <c r="M7839"/>
      <c r="O7839"/>
      <c r="P7839"/>
    </row>
    <row r="7840" spans="12:16">
      <c r="L7840"/>
      <c r="M7840"/>
      <c r="O7840"/>
      <c r="P7840"/>
    </row>
    <row r="7841" spans="12:16">
      <c r="L7841"/>
      <c r="M7841"/>
      <c r="O7841"/>
      <c r="P7841"/>
    </row>
    <row r="7842" spans="12:16">
      <c r="L7842"/>
      <c r="M7842"/>
      <c r="O7842"/>
      <c r="P7842"/>
    </row>
    <row r="7843" spans="12:16">
      <c r="L7843"/>
      <c r="M7843"/>
      <c r="O7843"/>
      <c r="P7843"/>
    </row>
    <row r="7844" spans="12:16">
      <c r="L7844"/>
      <c r="M7844"/>
      <c r="O7844"/>
      <c r="P7844"/>
    </row>
    <row r="7845" spans="12:16">
      <c r="L7845"/>
      <c r="M7845"/>
      <c r="O7845"/>
      <c r="P7845"/>
    </row>
    <row r="7846" spans="12:16">
      <c r="L7846"/>
      <c r="M7846"/>
      <c r="O7846"/>
      <c r="P7846"/>
    </row>
    <row r="7847" spans="12:16">
      <c r="L7847"/>
      <c r="M7847"/>
      <c r="O7847"/>
      <c r="P7847"/>
    </row>
    <row r="7848" spans="12:16">
      <c r="L7848"/>
      <c r="M7848"/>
      <c r="O7848"/>
      <c r="P7848"/>
    </row>
    <row r="7849" spans="12:16">
      <c r="L7849"/>
      <c r="M7849"/>
      <c r="O7849"/>
      <c r="P7849"/>
    </row>
    <row r="7850" spans="12:16">
      <c r="L7850"/>
      <c r="M7850"/>
      <c r="O7850"/>
      <c r="P7850"/>
    </row>
    <row r="7851" spans="12:16">
      <c r="L7851"/>
      <c r="M7851"/>
      <c r="O7851"/>
      <c r="P7851"/>
    </row>
    <row r="7852" spans="12:16">
      <c r="L7852"/>
      <c r="M7852"/>
      <c r="O7852"/>
      <c r="P7852"/>
    </row>
    <row r="7853" spans="12:16">
      <c r="L7853"/>
      <c r="M7853"/>
      <c r="O7853"/>
      <c r="P7853"/>
    </row>
    <row r="7854" spans="12:16">
      <c r="L7854"/>
      <c r="M7854"/>
      <c r="O7854"/>
      <c r="P7854"/>
    </row>
    <row r="7855" spans="12:16">
      <c r="L7855"/>
      <c r="M7855"/>
      <c r="O7855"/>
      <c r="P7855"/>
    </row>
    <row r="7856" spans="12:16">
      <c r="L7856"/>
      <c r="M7856"/>
      <c r="O7856"/>
      <c r="P7856"/>
    </row>
    <row r="7857" spans="12:16">
      <c r="L7857"/>
      <c r="M7857"/>
      <c r="O7857"/>
      <c r="P7857"/>
    </row>
    <row r="7858" spans="12:16">
      <c r="L7858"/>
      <c r="M7858"/>
      <c r="O7858"/>
      <c r="P7858"/>
    </row>
    <row r="7859" spans="12:16">
      <c r="L7859"/>
      <c r="M7859"/>
      <c r="O7859"/>
      <c r="P7859"/>
    </row>
    <row r="7860" spans="12:16">
      <c r="L7860"/>
      <c r="M7860"/>
      <c r="O7860"/>
      <c r="P7860"/>
    </row>
    <row r="7861" spans="12:16">
      <c r="L7861"/>
      <c r="M7861"/>
      <c r="O7861"/>
      <c r="P7861"/>
    </row>
    <row r="7862" spans="12:16">
      <c r="L7862"/>
      <c r="M7862"/>
      <c r="O7862"/>
      <c r="P7862"/>
    </row>
    <row r="7863" spans="12:16">
      <c r="L7863"/>
      <c r="M7863"/>
      <c r="O7863"/>
      <c r="P7863"/>
    </row>
    <row r="7864" spans="12:16">
      <c r="L7864"/>
      <c r="M7864"/>
      <c r="O7864"/>
      <c r="P7864"/>
    </row>
    <row r="7865" spans="12:16">
      <c r="L7865"/>
      <c r="M7865"/>
      <c r="O7865"/>
      <c r="P7865"/>
    </row>
    <row r="7866" spans="12:16">
      <c r="L7866"/>
      <c r="M7866"/>
      <c r="O7866"/>
      <c r="P7866"/>
    </row>
    <row r="7867" spans="12:16">
      <c r="L7867"/>
      <c r="M7867"/>
      <c r="O7867"/>
      <c r="P7867"/>
    </row>
    <row r="7868" spans="12:16">
      <c r="L7868"/>
      <c r="M7868"/>
      <c r="O7868"/>
      <c r="P7868"/>
    </row>
    <row r="7869" spans="12:16">
      <c r="L7869"/>
      <c r="M7869"/>
      <c r="O7869"/>
      <c r="P7869"/>
    </row>
    <row r="7870" spans="12:16">
      <c r="L7870"/>
      <c r="M7870"/>
      <c r="O7870"/>
      <c r="P7870"/>
    </row>
    <row r="7871" spans="12:16">
      <c r="L7871"/>
      <c r="M7871"/>
      <c r="O7871"/>
      <c r="P7871"/>
    </row>
    <row r="7872" spans="12:16">
      <c r="L7872"/>
      <c r="M7872"/>
      <c r="O7872"/>
      <c r="P7872"/>
    </row>
    <row r="7873" spans="12:16">
      <c r="L7873"/>
      <c r="M7873"/>
      <c r="O7873"/>
      <c r="P7873"/>
    </row>
    <row r="7874" spans="12:16">
      <c r="L7874"/>
      <c r="M7874"/>
      <c r="O7874"/>
      <c r="P7874"/>
    </row>
    <row r="7875" spans="12:16">
      <c r="L7875"/>
      <c r="M7875"/>
      <c r="O7875"/>
      <c r="P7875"/>
    </row>
    <row r="7876" spans="12:16">
      <c r="L7876"/>
      <c r="M7876"/>
      <c r="O7876"/>
      <c r="P7876"/>
    </row>
    <row r="7877" spans="12:16">
      <c r="L7877"/>
      <c r="M7877"/>
      <c r="O7877"/>
      <c r="P7877"/>
    </row>
    <row r="7878" spans="12:16">
      <c r="L7878"/>
      <c r="M7878"/>
      <c r="O7878"/>
      <c r="P7878"/>
    </row>
    <row r="7879" spans="12:16">
      <c r="L7879"/>
      <c r="M7879"/>
      <c r="O7879"/>
      <c r="P7879"/>
    </row>
    <row r="7880" spans="12:16">
      <c r="L7880"/>
      <c r="M7880"/>
      <c r="O7880"/>
      <c r="P7880"/>
    </row>
    <row r="7881" spans="12:16">
      <c r="L7881"/>
      <c r="M7881"/>
      <c r="O7881"/>
      <c r="P7881"/>
    </row>
    <row r="7882" spans="12:16">
      <c r="L7882"/>
      <c r="M7882"/>
      <c r="O7882"/>
      <c r="P7882"/>
    </row>
    <row r="7883" spans="12:16">
      <c r="L7883"/>
      <c r="M7883"/>
      <c r="O7883"/>
      <c r="P7883"/>
    </row>
    <row r="7884" spans="12:16">
      <c r="L7884"/>
      <c r="M7884"/>
      <c r="O7884"/>
      <c r="P7884"/>
    </row>
    <row r="7885" spans="12:16">
      <c r="L7885"/>
      <c r="M7885"/>
      <c r="O7885"/>
      <c r="P7885"/>
    </row>
    <row r="7886" spans="12:16">
      <c r="L7886"/>
      <c r="M7886"/>
      <c r="O7886"/>
      <c r="P7886"/>
    </row>
    <row r="7887" spans="12:16">
      <c r="L7887"/>
      <c r="M7887"/>
      <c r="O7887"/>
      <c r="P7887"/>
    </row>
    <row r="7888" spans="12:16">
      <c r="L7888"/>
      <c r="M7888"/>
      <c r="O7888"/>
      <c r="P7888"/>
    </row>
    <row r="7889" spans="12:16">
      <c r="L7889"/>
      <c r="M7889"/>
      <c r="O7889"/>
      <c r="P7889"/>
    </row>
    <row r="7890" spans="12:16">
      <c r="L7890"/>
      <c r="M7890"/>
      <c r="O7890"/>
      <c r="P7890"/>
    </row>
    <row r="7891" spans="12:16">
      <c r="L7891"/>
      <c r="M7891"/>
      <c r="O7891"/>
      <c r="P7891"/>
    </row>
    <row r="7892" spans="12:16">
      <c r="L7892"/>
      <c r="M7892"/>
      <c r="O7892"/>
      <c r="P7892"/>
    </row>
    <row r="7893" spans="12:16">
      <c r="L7893"/>
      <c r="M7893"/>
      <c r="O7893"/>
      <c r="P7893"/>
    </row>
    <row r="7894" spans="12:16">
      <c r="L7894"/>
      <c r="M7894"/>
      <c r="O7894"/>
      <c r="P7894"/>
    </row>
    <row r="7895" spans="12:16">
      <c r="L7895"/>
      <c r="M7895"/>
      <c r="O7895"/>
      <c r="P7895"/>
    </row>
    <row r="7896" spans="12:16">
      <c r="L7896"/>
      <c r="M7896"/>
      <c r="O7896"/>
      <c r="P7896"/>
    </row>
    <row r="7897" spans="12:16">
      <c r="L7897"/>
      <c r="M7897"/>
      <c r="O7897"/>
      <c r="P7897"/>
    </row>
    <row r="7898" spans="12:16">
      <c r="L7898"/>
      <c r="M7898"/>
      <c r="O7898"/>
      <c r="P7898"/>
    </row>
    <row r="7899" spans="12:16">
      <c r="L7899"/>
      <c r="M7899"/>
      <c r="O7899"/>
      <c r="P7899"/>
    </row>
    <row r="7900" spans="12:16">
      <c r="L7900"/>
      <c r="M7900"/>
      <c r="O7900"/>
      <c r="P7900"/>
    </row>
    <row r="7901" spans="12:16">
      <c r="L7901"/>
      <c r="M7901"/>
      <c r="O7901"/>
      <c r="P7901"/>
    </row>
    <row r="7902" spans="12:16">
      <c r="L7902"/>
      <c r="M7902"/>
      <c r="O7902"/>
      <c r="P7902"/>
    </row>
    <row r="7903" spans="12:16">
      <c r="L7903"/>
      <c r="M7903"/>
      <c r="O7903"/>
      <c r="P7903"/>
    </row>
    <row r="7904" spans="12:16">
      <c r="L7904"/>
      <c r="M7904"/>
      <c r="O7904"/>
      <c r="P7904"/>
    </row>
    <row r="7905" spans="12:16">
      <c r="L7905"/>
      <c r="M7905"/>
      <c r="O7905"/>
      <c r="P7905"/>
    </row>
    <row r="7906" spans="12:16">
      <c r="L7906"/>
      <c r="M7906"/>
      <c r="O7906"/>
      <c r="P7906"/>
    </row>
    <row r="7907" spans="12:16">
      <c r="L7907"/>
      <c r="M7907"/>
      <c r="O7907"/>
      <c r="P7907"/>
    </row>
    <row r="7908" spans="12:16">
      <c r="L7908"/>
      <c r="M7908"/>
      <c r="O7908"/>
      <c r="P7908"/>
    </row>
    <row r="7909" spans="12:16">
      <c r="L7909"/>
      <c r="M7909"/>
      <c r="O7909"/>
      <c r="P7909"/>
    </row>
    <row r="7910" spans="12:16">
      <c r="L7910"/>
      <c r="M7910"/>
      <c r="O7910"/>
      <c r="P7910"/>
    </row>
    <row r="7911" spans="12:16">
      <c r="L7911"/>
      <c r="M7911"/>
      <c r="O7911"/>
      <c r="P7911"/>
    </row>
    <row r="7912" spans="12:16">
      <c r="L7912"/>
      <c r="M7912"/>
      <c r="O7912"/>
      <c r="P7912"/>
    </row>
    <row r="7913" spans="12:16">
      <c r="L7913"/>
      <c r="M7913"/>
      <c r="O7913"/>
      <c r="P7913"/>
    </row>
    <row r="7914" spans="12:16">
      <c r="L7914"/>
      <c r="M7914"/>
      <c r="O7914"/>
      <c r="P7914"/>
    </row>
    <row r="7915" spans="12:16">
      <c r="L7915"/>
      <c r="M7915"/>
      <c r="O7915"/>
      <c r="P7915"/>
    </row>
    <row r="7916" spans="12:16">
      <c r="L7916"/>
      <c r="M7916"/>
      <c r="O7916"/>
      <c r="P7916"/>
    </row>
    <row r="7917" spans="12:16">
      <c r="L7917"/>
      <c r="M7917"/>
      <c r="O7917"/>
      <c r="P7917"/>
    </row>
    <row r="7918" spans="12:16">
      <c r="L7918"/>
      <c r="M7918"/>
      <c r="O7918"/>
      <c r="P7918"/>
    </row>
    <row r="7919" spans="12:16">
      <c r="L7919"/>
      <c r="M7919"/>
      <c r="O7919"/>
      <c r="P7919"/>
    </row>
    <row r="7920" spans="12:16">
      <c r="L7920"/>
      <c r="M7920"/>
      <c r="O7920"/>
      <c r="P7920"/>
    </row>
    <row r="7921" spans="12:16">
      <c r="L7921"/>
      <c r="M7921"/>
      <c r="O7921"/>
      <c r="P7921"/>
    </row>
    <row r="7922" spans="12:16">
      <c r="L7922"/>
      <c r="M7922"/>
      <c r="O7922"/>
      <c r="P7922"/>
    </row>
    <row r="7923" spans="12:16">
      <c r="L7923"/>
      <c r="M7923"/>
      <c r="O7923"/>
      <c r="P7923"/>
    </row>
    <row r="7924" spans="12:16">
      <c r="L7924"/>
      <c r="M7924"/>
      <c r="O7924"/>
      <c r="P7924"/>
    </row>
    <row r="7925" spans="12:16">
      <c r="L7925"/>
      <c r="M7925"/>
      <c r="O7925"/>
      <c r="P7925"/>
    </row>
    <row r="7926" spans="12:16">
      <c r="L7926"/>
      <c r="M7926"/>
      <c r="O7926"/>
      <c r="P7926"/>
    </row>
    <row r="7927" spans="12:16">
      <c r="L7927"/>
      <c r="M7927"/>
      <c r="O7927"/>
      <c r="P7927"/>
    </row>
    <row r="7928" spans="12:16">
      <c r="L7928"/>
      <c r="M7928"/>
      <c r="O7928"/>
      <c r="P7928"/>
    </row>
    <row r="7929" spans="12:16">
      <c r="L7929"/>
      <c r="M7929"/>
      <c r="O7929"/>
      <c r="P7929"/>
    </row>
    <row r="7930" spans="12:16">
      <c r="L7930"/>
      <c r="M7930"/>
      <c r="O7930"/>
      <c r="P7930"/>
    </row>
    <row r="7931" spans="12:16">
      <c r="L7931"/>
      <c r="M7931"/>
      <c r="O7931"/>
      <c r="P7931"/>
    </row>
    <row r="7932" spans="12:16">
      <c r="L7932"/>
      <c r="M7932"/>
      <c r="O7932"/>
      <c r="P7932"/>
    </row>
    <row r="7933" spans="12:16">
      <c r="L7933"/>
      <c r="M7933"/>
      <c r="O7933"/>
      <c r="P7933"/>
    </row>
    <row r="7934" spans="12:16">
      <c r="L7934"/>
      <c r="M7934"/>
      <c r="O7934"/>
      <c r="P7934"/>
    </row>
    <row r="7935" spans="12:16">
      <c r="L7935"/>
      <c r="M7935"/>
      <c r="O7935"/>
      <c r="P7935"/>
    </row>
    <row r="7936" spans="12:16">
      <c r="L7936"/>
      <c r="M7936"/>
      <c r="O7936"/>
      <c r="P7936"/>
    </row>
    <row r="7937" spans="12:16">
      <c r="L7937"/>
      <c r="M7937"/>
      <c r="O7937"/>
      <c r="P7937"/>
    </row>
    <row r="7938" spans="12:16">
      <c r="L7938"/>
      <c r="M7938"/>
      <c r="O7938"/>
      <c r="P7938"/>
    </row>
    <row r="7939" spans="12:16">
      <c r="L7939"/>
      <c r="M7939"/>
      <c r="O7939"/>
      <c r="P7939"/>
    </row>
    <row r="7940" spans="12:16">
      <c r="L7940"/>
      <c r="M7940"/>
      <c r="O7940"/>
      <c r="P7940"/>
    </row>
    <row r="7941" spans="12:16">
      <c r="L7941"/>
      <c r="M7941"/>
      <c r="O7941"/>
      <c r="P7941"/>
    </row>
    <row r="7942" spans="12:16">
      <c r="L7942"/>
      <c r="M7942"/>
      <c r="O7942"/>
      <c r="P7942"/>
    </row>
    <row r="7943" spans="12:16">
      <c r="L7943"/>
      <c r="M7943"/>
      <c r="O7943"/>
      <c r="P7943"/>
    </row>
    <row r="7944" spans="12:16">
      <c r="L7944"/>
      <c r="M7944"/>
      <c r="O7944"/>
      <c r="P7944"/>
    </row>
    <row r="7945" spans="12:16">
      <c r="L7945"/>
      <c r="M7945"/>
      <c r="O7945"/>
      <c r="P7945"/>
    </row>
    <row r="7946" spans="12:16">
      <c r="L7946"/>
      <c r="M7946"/>
      <c r="O7946"/>
      <c r="P7946"/>
    </row>
    <row r="7947" spans="12:16">
      <c r="L7947"/>
      <c r="M7947"/>
      <c r="O7947"/>
      <c r="P7947"/>
    </row>
    <row r="7948" spans="12:16">
      <c r="L7948"/>
      <c r="M7948"/>
      <c r="O7948"/>
      <c r="P7948"/>
    </row>
    <row r="7949" spans="12:16">
      <c r="L7949"/>
      <c r="M7949"/>
      <c r="O7949"/>
      <c r="P7949"/>
    </row>
    <row r="7950" spans="12:16">
      <c r="L7950"/>
      <c r="M7950"/>
      <c r="O7950"/>
      <c r="P7950"/>
    </row>
    <row r="7951" spans="12:16">
      <c r="L7951"/>
      <c r="M7951"/>
      <c r="O7951"/>
      <c r="P7951"/>
    </row>
    <row r="7952" spans="12:16">
      <c r="L7952"/>
      <c r="M7952"/>
      <c r="O7952"/>
      <c r="P7952"/>
    </row>
    <row r="7953" spans="12:16">
      <c r="L7953"/>
      <c r="M7953"/>
      <c r="O7953"/>
      <c r="P7953"/>
    </row>
    <row r="7954" spans="12:16">
      <c r="L7954"/>
      <c r="M7954"/>
      <c r="O7954"/>
      <c r="P7954"/>
    </row>
    <row r="7955" spans="12:16">
      <c r="L7955"/>
      <c r="M7955"/>
      <c r="O7955"/>
      <c r="P7955"/>
    </row>
    <row r="7956" spans="12:16">
      <c r="L7956"/>
      <c r="M7956"/>
      <c r="O7956"/>
      <c r="P7956"/>
    </row>
    <row r="7957" spans="12:16">
      <c r="L7957"/>
      <c r="M7957"/>
      <c r="O7957"/>
      <c r="P7957"/>
    </row>
    <row r="7958" spans="12:16">
      <c r="L7958"/>
      <c r="M7958"/>
      <c r="O7958"/>
      <c r="P7958"/>
    </row>
    <row r="7959" spans="12:16">
      <c r="L7959"/>
      <c r="M7959"/>
      <c r="O7959"/>
      <c r="P7959"/>
    </row>
    <row r="7960" spans="12:16">
      <c r="L7960"/>
      <c r="M7960"/>
      <c r="O7960"/>
      <c r="P7960"/>
    </row>
    <row r="7961" spans="12:16">
      <c r="L7961"/>
      <c r="M7961"/>
      <c r="O7961"/>
      <c r="P7961"/>
    </row>
    <row r="7962" spans="12:16">
      <c r="L7962"/>
      <c r="M7962"/>
      <c r="O7962"/>
      <c r="P7962"/>
    </row>
    <row r="7963" spans="12:16">
      <c r="L7963"/>
      <c r="M7963"/>
      <c r="O7963"/>
      <c r="P7963"/>
    </row>
    <row r="7964" spans="12:16">
      <c r="L7964"/>
      <c r="M7964"/>
      <c r="O7964"/>
      <c r="P7964"/>
    </row>
    <row r="7965" spans="12:16">
      <c r="L7965"/>
      <c r="M7965"/>
      <c r="O7965"/>
      <c r="P7965"/>
    </row>
    <row r="7966" spans="12:16">
      <c r="L7966"/>
      <c r="M7966"/>
      <c r="O7966"/>
      <c r="P7966"/>
    </row>
    <row r="7967" spans="12:16">
      <c r="L7967"/>
      <c r="M7967"/>
      <c r="O7967"/>
      <c r="P7967"/>
    </row>
    <row r="7968" spans="12:16">
      <c r="L7968"/>
      <c r="M7968"/>
      <c r="O7968"/>
      <c r="P7968"/>
    </row>
    <row r="7969" spans="12:16">
      <c r="L7969"/>
      <c r="M7969"/>
      <c r="O7969"/>
      <c r="P7969"/>
    </row>
    <row r="7970" spans="12:16">
      <c r="L7970"/>
      <c r="M7970"/>
      <c r="O7970"/>
      <c r="P7970"/>
    </row>
    <row r="7971" spans="12:16">
      <c r="L7971"/>
      <c r="M7971"/>
      <c r="O7971"/>
      <c r="P7971"/>
    </row>
    <row r="7972" spans="12:16">
      <c r="L7972"/>
      <c r="M7972"/>
      <c r="O7972"/>
      <c r="P7972"/>
    </row>
    <row r="7973" spans="12:16">
      <c r="L7973"/>
      <c r="M7973"/>
      <c r="O7973"/>
      <c r="P7973"/>
    </row>
    <row r="7974" spans="12:16">
      <c r="L7974"/>
      <c r="M7974"/>
      <c r="O7974"/>
      <c r="P7974"/>
    </row>
    <row r="7975" spans="12:16">
      <c r="L7975"/>
      <c r="M7975"/>
      <c r="O7975"/>
      <c r="P7975"/>
    </row>
    <row r="7976" spans="12:16">
      <c r="L7976"/>
      <c r="M7976"/>
      <c r="O7976"/>
      <c r="P7976"/>
    </row>
    <row r="7977" spans="12:16">
      <c r="L7977"/>
      <c r="M7977"/>
      <c r="O7977"/>
      <c r="P7977"/>
    </row>
    <row r="7978" spans="12:16">
      <c r="L7978"/>
      <c r="M7978"/>
      <c r="O7978"/>
      <c r="P7978"/>
    </row>
    <row r="7979" spans="12:16">
      <c r="L7979"/>
      <c r="M7979"/>
      <c r="O7979"/>
      <c r="P7979"/>
    </row>
    <row r="7980" spans="12:16">
      <c r="L7980"/>
      <c r="M7980"/>
      <c r="O7980"/>
      <c r="P7980"/>
    </row>
    <row r="7981" spans="12:16">
      <c r="L7981"/>
      <c r="M7981"/>
      <c r="O7981"/>
      <c r="P7981"/>
    </row>
    <row r="7982" spans="12:16">
      <c r="L7982"/>
      <c r="M7982"/>
      <c r="O7982"/>
      <c r="P7982"/>
    </row>
    <row r="7983" spans="12:16">
      <c r="L7983"/>
      <c r="M7983"/>
      <c r="O7983"/>
      <c r="P7983"/>
    </row>
    <row r="7984" spans="12:16">
      <c r="L7984"/>
      <c r="M7984"/>
      <c r="O7984"/>
      <c r="P7984"/>
    </row>
    <row r="7985" spans="12:16">
      <c r="L7985"/>
      <c r="M7985"/>
      <c r="O7985"/>
      <c r="P7985"/>
    </row>
    <row r="7986" spans="12:16">
      <c r="L7986"/>
      <c r="M7986"/>
      <c r="O7986"/>
      <c r="P7986"/>
    </row>
    <row r="7987" spans="12:16">
      <c r="L7987"/>
      <c r="M7987"/>
      <c r="O7987"/>
      <c r="P7987"/>
    </row>
    <row r="7988" spans="12:16">
      <c r="L7988"/>
      <c r="M7988"/>
      <c r="O7988"/>
      <c r="P7988"/>
    </row>
    <row r="7989" spans="12:16">
      <c r="L7989"/>
      <c r="M7989"/>
      <c r="O7989"/>
      <c r="P7989"/>
    </row>
    <row r="7990" spans="12:16">
      <c r="L7990"/>
      <c r="M7990"/>
      <c r="O7990"/>
      <c r="P7990"/>
    </row>
    <row r="7991" spans="12:16">
      <c r="L7991"/>
      <c r="M7991"/>
      <c r="O7991"/>
      <c r="P7991"/>
    </row>
    <row r="7992" spans="12:16">
      <c r="L7992"/>
      <c r="M7992"/>
      <c r="O7992"/>
      <c r="P7992"/>
    </row>
    <row r="7993" spans="12:16">
      <c r="L7993"/>
      <c r="M7993"/>
      <c r="O7993"/>
      <c r="P7993"/>
    </row>
    <row r="7994" spans="12:16">
      <c r="L7994"/>
      <c r="M7994"/>
      <c r="O7994"/>
      <c r="P7994"/>
    </row>
    <row r="7995" spans="12:16">
      <c r="L7995"/>
      <c r="M7995"/>
      <c r="O7995"/>
      <c r="P7995"/>
    </row>
    <row r="7996" spans="12:16">
      <c r="L7996"/>
      <c r="M7996"/>
      <c r="O7996"/>
      <c r="P7996"/>
    </row>
    <row r="7997" spans="12:16">
      <c r="L7997"/>
      <c r="M7997"/>
      <c r="O7997"/>
      <c r="P7997"/>
    </row>
    <row r="7998" spans="12:16">
      <c r="L7998"/>
      <c r="M7998"/>
      <c r="O7998"/>
      <c r="P7998"/>
    </row>
    <row r="7999" spans="12:16">
      <c r="L7999"/>
      <c r="M7999"/>
      <c r="O7999"/>
      <c r="P7999"/>
    </row>
    <row r="8000" spans="12:16">
      <c r="L8000"/>
      <c r="M8000"/>
      <c r="O8000"/>
      <c r="P8000"/>
    </row>
    <row r="8001" spans="12:16">
      <c r="L8001"/>
      <c r="M8001"/>
      <c r="O8001"/>
      <c r="P8001"/>
    </row>
    <row r="8002" spans="12:16">
      <c r="L8002"/>
      <c r="M8002"/>
      <c r="O8002"/>
      <c r="P8002"/>
    </row>
    <row r="8003" spans="12:16">
      <c r="L8003"/>
      <c r="M8003"/>
      <c r="O8003"/>
      <c r="P8003"/>
    </row>
    <row r="8004" spans="12:16">
      <c r="L8004"/>
      <c r="M8004"/>
      <c r="O8004"/>
      <c r="P8004"/>
    </row>
    <row r="8005" spans="12:16">
      <c r="L8005"/>
      <c r="M8005"/>
      <c r="O8005"/>
      <c r="P8005"/>
    </row>
    <row r="8006" spans="12:16">
      <c r="L8006"/>
      <c r="M8006"/>
      <c r="O8006"/>
      <c r="P8006"/>
    </row>
    <row r="8007" spans="12:16">
      <c r="L8007"/>
      <c r="M8007"/>
      <c r="O8007"/>
      <c r="P8007"/>
    </row>
    <row r="8008" spans="12:16">
      <c r="L8008"/>
      <c r="M8008"/>
      <c r="O8008"/>
      <c r="P8008"/>
    </row>
    <row r="8009" spans="12:16">
      <c r="L8009"/>
      <c r="M8009"/>
      <c r="O8009"/>
      <c r="P8009"/>
    </row>
    <row r="8010" spans="12:16">
      <c r="L8010"/>
      <c r="M8010"/>
      <c r="O8010"/>
      <c r="P8010"/>
    </row>
    <row r="8011" spans="12:16">
      <c r="L8011"/>
      <c r="M8011"/>
      <c r="O8011"/>
      <c r="P8011"/>
    </row>
    <row r="8012" spans="12:16">
      <c r="L8012"/>
      <c r="M8012"/>
      <c r="O8012"/>
      <c r="P8012"/>
    </row>
    <row r="8013" spans="12:16">
      <c r="L8013"/>
      <c r="M8013"/>
      <c r="O8013"/>
      <c r="P8013"/>
    </row>
    <row r="8014" spans="12:16">
      <c r="L8014"/>
      <c r="M8014"/>
      <c r="O8014"/>
      <c r="P8014"/>
    </row>
    <row r="8015" spans="12:16">
      <c r="L8015"/>
      <c r="M8015"/>
      <c r="O8015"/>
      <c r="P8015"/>
    </row>
    <row r="8016" spans="12:16">
      <c r="L8016"/>
      <c r="M8016"/>
      <c r="O8016"/>
      <c r="P8016"/>
    </row>
    <row r="8017" spans="12:16">
      <c r="L8017"/>
      <c r="M8017"/>
      <c r="O8017"/>
      <c r="P8017"/>
    </row>
    <row r="8018" spans="12:16">
      <c r="L8018"/>
      <c r="M8018"/>
      <c r="O8018"/>
      <c r="P8018"/>
    </row>
    <row r="8019" spans="12:16">
      <c r="L8019"/>
      <c r="M8019"/>
      <c r="O8019"/>
      <c r="P8019"/>
    </row>
    <row r="8020" spans="12:16">
      <c r="L8020"/>
      <c r="M8020"/>
      <c r="O8020"/>
      <c r="P8020"/>
    </row>
    <row r="8021" spans="12:16">
      <c r="L8021"/>
      <c r="M8021"/>
      <c r="O8021"/>
      <c r="P8021"/>
    </row>
    <row r="8022" spans="12:16">
      <c r="L8022"/>
      <c r="M8022"/>
      <c r="O8022"/>
      <c r="P8022"/>
    </row>
    <row r="8023" spans="12:16">
      <c r="L8023"/>
      <c r="M8023"/>
      <c r="O8023"/>
      <c r="P8023"/>
    </row>
    <row r="8024" spans="12:16">
      <c r="L8024"/>
      <c r="M8024"/>
      <c r="O8024"/>
      <c r="P8024"/>
    </row>
    <row r="8025" spans="12:16">
      <c r="L8025"/>
      <c r="M8025"/>
      <c r="O8025"/>
      <c r="P8025"/>
    </row>
    <row r="8026" spans="12:16">
      <c r="L8026"/>
      <c r="M8026"/>
      <c r="O8026"/>
      <c r="P8026"/>
    </row>
    <row r="8027" spans="12:16">
      <c r="L8027"/>
      <c r="M8027"/>
      <c r="O8027"/>
      <c r="P8027"/>
    </row>
    <row r="8028" spans="12:16">
      <c r="L8028"/>
      <c r="M8028"/>
      <c r="O8028"/>
      <c r="P8028"/>
    </row>
    <row r="8029" spans="12:16">
      <c r="L8029"/>
      <c r="M8029"/>
      <c r="O8029"/>
      <c r="P8029"/>
    </row>
    <row r="8030" spans="12:16">
      <c r="L8030"/>
      <c r="M8030"/>
      <c r="O8030"/>
      <c r="P8030"/>
    </row>
    <row r="8031" spans="12:16">
      <c r="L8031"/>
      <c r="M8031"/>
      <c r="O8031"/>
      <c r="P8031"/>
    </row>
    <row r="8032" spans="12:16">
      <c r="L8032"/>
      <c r="M8032"/>
      <c r="O8032"/>
      <c r="P8032"/>
    </row>
    <row r="8033" spans="12:16">
      <c r="L8033"/>
      <c r="M8033"/>
      <c r="O8033"/>
      <c r="P8033"/>
    </row>
    <row r="8034" spans="12:16">
      <c r="L8034"/>
      <c r="M8034"/>
      <c r="O8034"/>
      <c r="P8034"/>
    </row>
    <row r="8035" spans="12:16">
      <c r="L8035"/>
      <c r="M8035"/>
      <c r="O8035"/>
      <c r="P8035"/>
    </row>
    <row r="8036" spans="12:16">
      <c r="L8036"/>
      <c r="M8036"/>
      <c r="O8036"/>
      <c r="P8036"/>
    </row>
    <row r="8037" spans="12:16">
      <c r="L8037"/>
      <c r="M8037"/>
      <c r="O8037"/>
      <c r="P8037"/>
    </row>
    <row r="8038" spans="12:16">
      <c r="L8038"/>
      <c r="M8038"/>
      <c r="O8038"/>
      <c r="P8038"/>
    </row>
    <row r="8039" spans="12:16">
      <c r="L8039"/>
      <c r="M8039"/>
      <c r="O8039"/>
      <c r="P8039"/>
    </row>
    <row r="8040" spans="12:16">
      <c r="L8040"/>
      <c r="M8040"/>
      <c r="O8040"/>
      <c r="P8040"/>
    </row>
    <row r="8041" spans="12:16">
      <c r="L8041"/>
      <c r="M8041"/>
      <c r="O8041"/>
      <c r="P8041"/>
    </row>
    <row r="8042" spans="12:16">
      <c r="L8042"/>
      <c r="M8042"/>
      <c r="O8042"/>
      <c r="P8042"/>
    </row>
    <row r="8043" spans="12:16">
      <c r="L8043"/>
      <c r="M8043"/>
      <c r="O8043"/>
      <c r="P8043"/>
    </row>
    <row r="8044" spans="12:16">
      <c r="L8044"/>
      <c r="M8044"/>
      <c r="O8044"/>
      <c r="P8044"/>
    </row>
    <row r="8045" spans="12:16">
      <c r="L8045"/>
      <c r="M8045"/>
      <c r="O8045"/>
      <c r="P8045"/>
    </row>
    <row r="8046" spans="12:16">
      <c r="L8046"/>
      <c r="M8046"/>
      <c r="O8046"/>
      <c r="P8046"/>
    </row>
    <row r="8047" spans="12:16">
      <c r="L8047"/>
      <c r="M8047"/>
      <c r="O8047"/>
      <c r="P8047"/>
    </row>
    <row r="8048" spans="12:16">
      <c r="L8048"/>
      <c r="M8048"/>
      <c r="O8048"/>
      <c r="P8048"/>
    </row>
    <row r="8049" spans="12:16">
      <c r="L8049"/>
      <c r="M8049"/>
      <c r="O8049"/>
      <c r="P8049"/>
    </row>
    <row r="8050" spans="12:16">
      <c r="L8050"/>
      <c r="M8050"/>
      <c r="O8050"/>
      <c r="P8050"/>
    </row>
    <row r="8051" spans="12:16">
      <c r="L8051"/>
      <c r="M8051"/>
      <c r="O8051"/>
      <c r="P8051"/>
    </row>
    <row r="8052" spans="12:16">
      <c r="L8052"/>
      <c r="M8052"/>
      <c r="O8052"/>
      <c r="P8052"/>
    </row>
    <row r="8053" spans="12:16">
      <c r="L8053"/>
      <c r="M8053"/>
      <c r="O8053"/>
      <c r="P8053"/>
    </row>
    <row r="8054" spans="12:16">
      <c r="L8054"/>
      <c r="M8054"/>
      <c r="O8054"/>
      <c r="P8054"/>
    </row>
    <row r="8055" spans="12:16">
      <c r="L8055"/>
      <c r="M8055"/>
      <c r="O8055"/>
      <c r="P8055"/>
    </row>
    <row r="8056" spans="12:16">
      <c r="L8056"/>
      <c r="M8056"/>
      <c r="O8056"/>
      <c r="P8056"/>
    </row>
    <row r="8057" spans="12:16">
      <c r="L8057"/>
      <c r="M8057"/>
      <c r="O8057"/>
      <c r="P8057"/>
    </row>
    <row r="8058" spans="12:16">
      <c r="L8058"/>
      <c r="M8058"/>
      <c r="O8058"/>
      <c r="P8058"/>
    </row>
    <row r="8059" spans="12:16">
      <c r="L8059"/>
      <c r="M8059"/>
      <c r="O8059"/>
      <c r="P8059"/>
    </row>
    <row r="8060" spans="12:16">
      <c r="L8060"/>
      <c r="M8060"/>
      <c r="O8060"/>
      <c r="P8060"/>
    </row>
    <row r="8061" spans="12:16">
      <c r="L8061"/>
      <c r="M8061"/>
      <c r="O8061"/>
      <c r="P8061"/>
    </row>
    <row r="8062" spans="12:16">
      <c r="L8062"/>
      <c r="M8062"/>
      <c r="O8062"/>
      <c r="P8062"/>
    </row>
    <row r="8063" spans="12:16">
      <c r="L8063"/>
      <c r="M8063"/>
      <c r="O8063"/>
      <c r="P8063"/>
    </row>
    <row r="8064" spans="12:16">
      <c r="L8064"/>
      <c r="M8064"/>
      <c r="O8064"/>
      <c r="P8064"/>
    </row>
    <row r="8065" spans="12:16">
      <c r="L8065"/>
      <c r="M8065"/>
      <c r="O8065"/>
      <c r="P8065"/>
    </row>
    <row r="8066" spans="12:16">
      <c r="L8066"/>
      <c r="M8066"/>
      <c r="O8066"/>
      <c r="P8066"/>
    </row>
    <row r="8067" spans="12:16">
      <c r="L8067"/>
      <c r="M8067"/>
      <c r="O8067"/>
      <c r="P8067"/>
    </row>
    <row r="8068" spans="12:16">
      <c r="L8068"/>
      <c r="M8068"/>
      <c r="O8068"/>
      <c r="P8068"/>
    </row>
    <row r="8069" spans="12:16">
      <c r="L8069"/>
      <c r="M8069"/>
      <c r="O8069"/>
      <c r="P8069"/>
    </row>
    <row r="8070" spans="12:16">
      <c r="L8070"/>
      <c r="M8070"/>
      <c r="O8070"/>
      <c r="P8070"/>
    </row>
    <row r="8071" spans="12:16">
      <c r="L8071"/>
      <c r="M8071"/>
      <c r="O8071"/>
      <c r="P8071"/>
    </row>
    <row r="8072" spans="12:16">
      <c r="L8072"/>
      <c r="M8072"/>
      <c r="O8072"/>
      <c r="P8072"/>
    </row>
    <row r="8073" spans="12:16">
      <c r="L8073"/>
      <c r="M8073"/>
      <c r="O8073"/>
      <c r="P8073"/>
    </row>
    <row r="8074" spans="12:16">
      <c r="L8074"/>
      <c r="M8074"/>
      <c r="O8074"/>
      <c r="P8074"/>
    </row>
    <row r="8075" spans="12:16">
      <c r="L8075"/>
      <c r="M8075"/>
      <c r="O8075"/>
      <c r="P8075"/>
    </row>
    <row r="8076" spans="12:16">
      <c r="L8076"/>
      <c r="M8076"/>
      <c r="O8076"/>
      <c r="P8076"/>
    </row>
    <row r="8077" spans="12:16">
      <c r="L8077"/>
      <c r="M8077"/>
      <c r="O8077"/>
      <c r="P8077"/>
    </row>
    <row r="8078" spans="12:16">
      <c r="L8078"/>
      <c r="M8078"/>
      <c r="O8078"/>
      <c r="P8078"/>
    </row>
    <row r="8079" spans="12:16">
      <c r="L8079"/>
      <c r="M8079"/>
      <c r="O8079"/>
      <c r="P8079"/>
    </row>
    <row r="8080" spans="12:16">
      <c r="L8080"/>
      <c r="M8080"/>
      <c r="O8080"/>
      <c r="P8080"/>
    </row>
    <row r="8081" spans="12:16">
      <c r="L8081"/>
      <c r="M8081"/>
      <c r="O8081"/>
      <c r="P8081"/>
    </row>
    <row r="8082" spans="12:16">
      <c r="L8082"/>
      <c r="M8082"/>
      <c r="O8082"/>
      <c r="P8082"/>
    </row>
    <row r="8083" spans="12:16">
      <c r="L8083"/>
      <c r="M8083"/>
      <c r="O8083"/>
      <c r="P8083"/>
    </row>
    <row r="8084" spans="12:16">
      <c r="L8084"/>
      <c r="M8084"/>
      <c r="O8084"/>
      <c r="P8084"/>
    </row>
    <row r="8085" spans="12:16">
      <c r="L8085"/>
      <c r="M8085"/>
      <c r="O8085"/>
      <c r="P8085"/>
    </row>
    <row r="8086" spans="12:16">
      <c r="L8086"/>
      <c r="M8086"/>
      <c r="O8086"/>
      <c r="P8086"/>
    </row>
    <row r="8087" spans="12:16">
      <c r="L8087"/>
      <c r="M8087"/>
      <c r="O8087"/>
      <c r="P8087"/>
    </row>
    <row r="8088" spans="12:16">
      <c r="L8088"/>
      <c r="M8088"/>
      <c r="O8088"/>
      <c r="P8088"/>
    </row>
    <row r="8089" spans="12:16">
      <c r="L8089"/>
      <c r="M8089"/>
      <c r="O8089"/>
      <c r="P8089"/>
    </row>
    <row r="8090" spans="12:16">
      <c r="L8090"/>
      <c r="M8090"/>
      <c r="O8090"/>
      <c r="P8090"/>
    </row>
    <row r="8091" spans="12:16">
      <c r="L8091"/>
      <c r="M8091"/>
      <c r="O8091"/>
      <c r="P8091"/>
    </row>
    <row r="8092" spans="12:16">
      <c r="L8092"/>
      <c r="M8092"/>
      <c r="O8092"/>
      <c r="P8092"/>
    </row>
    <row r="8093" spans="12:16">
      <c r="L8093"/>
      <c r="M8093"/>
      <c r="O8093"/>
      <c r="P8093"/>
    </row>
    <row r="8094" spans="12:16">
      <c r="L8094"/>
      <c r="M8094"/>
      <c r="O8094"/>
      <c r="P8094"/>
    </row>
    <row r="8095" spans="12:16">
      <c r="L8095"/>
      <c r="M8095"/>
      <c r="O8095"/>
      <c r="P8095"/>
    </row>
    <row r="8096" spans="12:16">
      <c r="L8096"/>
      <c r="M8096"/>
      <c r="O8096"/>
      <c r="P8096"/>
    </row>
    <row r="8097" spans="12:16">
      <c r="L8097"/>
      <c r="M8097"/>
      <c r="O8097"/>
      <c r="P8097"/>
    </row>
    <row r="8098" spans="12:16">
      <c r="L8098"/>
      <c r="M8098"/>
      <c r="O8098"/>
      <c r="P8098"/>
    </row>
    <row r="8099" spans="12:16">
      <c r="L8099"/>
      <c r="M8099"/>
      <c r="O8099"/>
      <c r="P8099"/>
    </row>
    <row r="8100" spans="12:16">
      <c r="L8100"/>
      <c r="M8100"/>
      <c r="O8100"/>
      <c r="P8100"/>
    </row>
    <row r="8101" spans="12:16">
      <c r="L8101"/>
      <c r="M8101"/>
      <c r="O8101"/>
      <c r="P8101"/>
    </row>
    <row r="8102" spans="12:16">
      <c r="L8102"/>
      <c r="M8102"/>
      <c r="O8102"/>
      <c r="P8102"/>
    </row>
    <row r="8103" spans="12:16">
      <c r="L8103"/>
      <c r="M8103"/>
      <c r="O8103"/>
      <c r="P8103"/>
    </row>
    <row r="8104" spans="12:16">
      <c r="L8104"/>
      <c r="M8104"/>
      <c r="O8104"/>
      <c r="P8104"/>
    </row>
    <row r="8105" spans="12:16">
      <c r="L8105"/>
      <c r="M8105"/>
      <c r="O8105"/>
      <c r="P8105"/>
    </row>
    <row r="8106" spans="12:16">
      <c r="L8106"/>
      <c r="M8106"/>
      <c r="O8106"/>
      <c r="P8106"/>
    </row>
    <row r="8107" spans="12:16">
      <c r="L8107"/>
      <c r="M8107"/>
      <c r="O8107"/>
      <c r="P8107"/>
    </row>
    <row r="8108" spans="12:16">
      <c r="L8108"/>
      <c r="M8108"/>
      <c r="O8108"/>
      <c r="P8108"/>
    </row>
    <row r="8109" spans="12:16">
      <c r="L8109"/>
      <c r="M8109"/>
      <c r="O8109"/>
      <c r="P8109"/>
    </row>
    <row r="8110" spans="12:16">
      <c r="L8110"/>
      <c r="M8110"/>
      <c r="O8110"/>
      <c r="P8110"/>
    </row>
    <row r="8111" spans="12:16">
      <c r="L8111"/>
      <c r="M8111"/>
      <c r="O8111"/>
      <c r="P8111"/>
    </row>
    <row r="8112" spans="12:16">
      <c r="L8112"/>
      <c r="M8112"/>
      <c r="O8112"/>
      <c r="P8112"/>
    </row>
    <row r="8113" spans="12:16">
      <c r="L8113"/>
      <c r="M8113"/>
      <c r="O8113"/>
      <c r="P8113"/>
    </row>
    <row r="8114" spans="12:16">
      <c r="L8114"/>
      <c r="M8114"/>
      <c r="O8114"/>
      <c r="P8114"/>
    </row>
    <row r="8115" spans="12:16">
      <c r="L8115"/>
      <c r="M8115"/>
      <c r="O8115"/>
      <c r="P8115"/>
    </row>
    <row r="8116" spans="12:16">
      <c r="L8116"/>
      <c r="M8116"/>
      <c r="O8116"/>
      <c r="P8116"/>
    </row>
    <row r="8117" spans="12:16">
      <c r="L8117"/>
      <c r="M8117"/>
      <c r="O8117"/>
      <c r="P8117"/>
    </row>
    <row r="8118" spans="12:16">
      <c r="L8118"/>
      <c r="M8118"/>
      <c r="O8118"/>
      <c r="P8118"/>
    </row>
    <row r="8119" spans="12:16">
      <c r="L8119"/>
      <c r="M8119"/>
      <c r="O8119"/>
      <c r="P8119"/>
    </row>
    <row r="8120" spans="12:16">
      <c r="L8120"/>
      <c r="M8120"/>
      <c r="O8120"/>
      <c r="P8120"/>
    </row>
    <row r="8121" spans="12:16">
      <c r="L8121"/>
      <c r="M8121"/>
      <c r="O8121"/>
      <c r="P8121"/>
    </row>
    <row r="8122" spans="12:16">
      <c r="L8122"/>
      <c r="M8122"/>
      <c r="O8122"/>
      <c r="P8122"/>
    </row>
    <row r="8123" spans="12:16">
      <c r="L8123"/>
      <c r="M8123"/>
      <c r="O8123"/>
      <c r="P8123"/>
    </row>
    <row r="8124" spans="12:16">
      <c r="L8124"/>
      <c r="M8124"/>
      <c r="O8124"/>
      <c r="P8124"/>
    </row>
    <row r="8125" spans="12:16">
      <c r="L8125"/>
      <c r="M8125"/>
      <c r="O8125"/>
      <c r="P8125"/>
    </row>
    <row r="8126" spans="12:16">
      <c r="L8126"/>
      <c r="M8126"/>
      <c r="O8126"/>
      <c r="P8126"/>
    </row>
    <row r="8127" spans="12:16">
      <c r="L8127"/>
      <c r="M8127"/>
      <c r="O8127"/>
      <c r="P8127"/>
    </row>
    <row r="8128" spans="12:16">
      <c r="L8128"/>
      <c r="M8128"/>
      <c r="O8128"/>
      <c r="P8128"/>
    </row>
    <row r="8129" spans="12:16">
      <c r="L8129"/>
      <c r="M8129"/>
      <c r="O8129"/>
      <c r="P8129"/>
    </row>
    <row r="8130" spans="12:16">
      <c r="L8130"/>
      <c r="M8130"/>
      <c r="O8130"/>
      <c r="P8130"/>
    </row>
    <row r="8131" spans="12:16">
      <c r="L8131"/>
      <c r="M8131"/>
      <c r="O8131"/>
      <c r="P8131"/>
    </row>
    <row r="8132" spans="12:16">
      <c r="L8132"/>
      <c r="M8132"/>
      <c r="O8132"/>
      <c r="P8132"/>
    </row>
    <row r="8133" spans="12:16">
      <c r="L8133"/>
      <c r="M8133"/>
      <c r="O8133"/>
      <c r="P8133"/>
    </row>
    <row r="8134" spans="12:16">
      <c r="L8134"/>
      <c r="M8134"/>
      <c r="O8134"/>
      <c r="P8134"/>
    </row>
    <row r="8135" spans="12:16">
      <c r="L8135"/>
      <c r="M8135"/>
      <c r="O8135"/>
      <c r="P8135"/>
    </row>
    <row r="8136" spans="12:16">
      <c r="L8136"/>
      <c r="M8136"/>
      <c r="O8136"/>
      <c r="P8136"/>
    </row>
    <row r="8137" spans="12:16">
      <c r="L8137"/>
      <c r="M8137"/>
      <c r="O8137"/>
      <c r="P8137"/>
    </row>
    <row r="8138" spans="12:16">
      <c r="L8138"/>
      <c r="M8138"/>
      <c r="O8138"/>
      <c r="P8138"/>
    </row>
    <row r="8139" spans="12:16">
      <c r="L8139"/>
      <c r="M8139"/>
      <c r="O8139"/>
      <c r="P8139"/>
    </row>
    <row r="8140" spans="12:16">
      <c r="L8140"/>
      <c r="M8140"/>
      <c r="O8140"/>
      <c r="P8140"/>
    </row>
    <row r="8141" spans="12:16">
      <c r="L8141"/>
      <c r="M8141"/>
      <c r="O8141"/>
      <c r="P8141"/>
    </row>
    <row r="8142" spans="12:16">
      <c r="L8142"/>
      <c r="M8142"/>
      <c r="O8142"/>
      <c r="P8142"/>
    </row>
    <row r="8143" spans="12:16">
      <c r="L8143"/>
      <c r="M8143"/>
      <c r="O8143"/>
      <c r="P8143"/>
    </row>
    <row r="8144" spans="12:16">
      <c r="L8144"/>
      <c r="M8144"/>
      <c r="O8144"/>
      <c r="P8144"/>
    </row>
    <row r="8145" spans="12:16">
      <c r="L8145"/>
      <c r="M8145"/>
      <c r="O8145"/>
      <c r="P8145"/>
    </row>
    <row r="8146" spans="12:16">
      <c r="L8146"/>
      <c r="M8146"/>
      <c r="O8146"/>
      <c r="P8146"/>
    </row>
    <row r="8147" spans="12:16">
      <c r="L8147"/>
      <c r="M8147"/>
      <c r="O8147"/>
      <c r="P8147"/>
    </row>
    <row r="8148" spans="12:16">
      <c r="L8148"/>
      <c r="M8148"/>
      <c r="O8148"/>
      <c r="P8148"/>
    </row>
    <row r="8149" spans="12:16">
      <c r="L8149"/>
      <c r="M8149"/>
      <c r="O8149"/>
      <c r="P8149"/>
    </row>
    <row r="8150" spans="12:16">
      <c r="L8150"/>
      <c r="M8150"/>
      <c r="O8150"/>
      <c r="P8150"/>
    </row>
    <row r="8151" spans="12:16">
      <c r="L8151"/>
      <c r="M8151"/>
      <c r="O8151"/>
      <c r="P8151"/>
    </row>
    <row r="8152" spans="12:16">
      <c r="L8152"/>
      <c r="M8152"/>
      <c r="O8152"/>
      <c r="P8152"/>
    </row>
    <row r="8153" spans="12:16">
      <c r="L8153"/>
      <c r="M8153"/>
      <c r="O8153"/>
      <c r="P8153"/>
    </row>
    <row r="8154" spans="12:16">
      <c r="L8154"/>
      <c r="M8154"/>
      <c r="O8154"/>
      <c r="P8154"/>
    </row>
    <row r="8155" spans="12:16">
      <c r="L8155"/>
      <c r="M8155"/>
      <c r="O8155"/>
      <c r="P8155"/>
    </row>
    <row r="8156" spans="12:16">
      <c r="L8156"/>
      <c r="M8156"/>
      <c r="O8156"/>
      <c r="P8156"/>
    </row>
    <row r="8157" spans="12:16">
      <c r="L8157"/>
      <c r="M8157"/>
      <c r="O8157"/>
      <c r="P8157"/>
    </row>
    <row r="8158" spans="12:16">
      <c r="L8158"/>
      <c r="M8158"/>
      <c r="O8158"/>
      <c r="P8158"/>
    </row>
    <row r="8159" spans="12:16">
      <c r="L8159"/>
      <c r="M8159"/>
      <c r="O8159"/>
      <c r="P8159"/>
    </row>
    <row r="8160" spans="12:16">
      <c r="L8160"/>
      <c r="M8160"/>
      <c r="O8160"/>
      <c r="P8160"/>
    </row>
    <row r="8161" spans="12:16">
      <c r="L8161"/>
      <c r="M8161"/>
      <c r="O8161"/>
      <c r="P8161"/>
    </row>
    <row r="8162" spans="12:16">
      <c r="L8162"/>
      <c r="M8162"/>
      <c r="O8162"/>
      <c r="P8162"/>
    </row>
    <row r="8163" spans="12:16">
      <c r="L8163"/>
      <c r="M8163"/>
      <c r="O8163"/>
      <c r="P8163"/>
    </row>
    <row r="8164" spans="12:16">
      <c r="L8164"/>
      <c r="M8164"/>
      <c r="O8164"/>
      <c r="P8164"/>
    </row>
    <row r="8165" spans="12:16">
      <c r="L8165"/>
      <c r="M8165"/>
      <c r="O8165"/>
      <c r="P8165"/>
    </row>
    <row r="8166" spans="12:16">
      <c r="L8166"/>
      <c r="M8166"/>
      <c r="O8166"/>
      <c r="P8166"/>
    </row>
    <row r="8167" spans="12:16">
      <c r="L8167"/>
      <c r="M8167"/>
      <c r="O8167"/>
      <c r="P8167"/>
    </row>
    <row r="8168" spans="12:16">
      <c r="L8168"/>
      <c r="M8168"/>
      <c r="O8168"/>
      <c r="P8168"/>
    </row>
    <row r="8169" spans="12:16">
      <c r="L8169"/>
      <c r="M8169"/>
      <c r="O8169"/>
      <c r="P8169"/>
    </row>
    <row r="8170" spans="12:16">
      <c r="L8170"/>
      <c r="M8170"/>
      <c r="O8170"/>
      <c r="P8170"/>
    </row>
    <row r="8171" spans="12:16">
      <c r="L8171"/>
      <c r="M8171"/>
      <c r="O8171"/>
      <c r="P8171"/>
    </row>
    <row r="8172" spans="12:16">
      <c r="L8172"/>
      <c r="M8172"/>
      <c r="O8172"/>
      <c r="P8172"/>
    </row>
    <row r="8173" spans="12:16">
      <c r="L8173"/>
      <c r="M8173"/>
      <c r="O8173"/>
      <c r="P8173"/>
    </row>
    <row r="8174" spans="12:16">
      <c r="L8174"/>
      <c r="M8174"/>
      <c r="O8174"/>
      <c r="P8174"/>
    </row>
    <row r="8175" spans="12:16">
      <c r="L8175"/>
      <c r="M8175"/>
      <c r="O8175"/>
      <c r="P8175"/>
    </row>
    <row r="8176" spans="12:16">
      <c r="L8176"/>
      <c r="M8176"/>
      <c r="O8176"/>
      <c r="P8176"/>
    </row>
    <row r="8177" spans="12:16">
      <c r="L8177"/>
      <c r="M8177"/>
      <c r="O8177"/>
      <c r="P8177"/>
    </row>
    <row r="8178" spans="12:16">
      <c r="L8178"/>
      <c r="M8178"/>
      <c r="O8178"/>
      <c r="P8178"/>
    </row>
    <row r="8179" spans="12:16">
      <c r="L8179"/>
      <c r="M8179"/>
      <c r="O8179"/>
      <c r="P8179"/>
    </row>
    <row r="8180" spans="12:16">
      <c r="L8180"/>
      <c r="M8180"/>
      <c r="O8180"/>
      <c r="P8180"/>
    </row>
    <row r="8181" spans="12:16">
      <c r="L8181"/>
      <c r="M8181"/>
      <c r="O8181"/>
      <c r="P8181"/>
    </row>
    <row r="8182" spans="12:16">
      <c r="L8182"/>
      <c r="M8182"/>
      <c r="O8182"/>
      <c r="P8182"/>
    </row>
    <row r="8183" spans="12:16">
      <c r="L8183"/>
      <c r="M8183"/>
      <c r="O8183"/>
      <c r="P8183"/>
    </row>
    <row r="8184" spans="12:16">
      <c r="L8184"/>
      <c r="M8184"/>
      <c r="O8184"/>
      <c r="P8184"/>
    </row>
    <row r="8185" spans="12:16">
      <c r="L8185"/>
      <c r="M8185"/>
      <c r="O8185"/>
      <c r="P8185"/>
    </row>
    <row r="8186" spans="12:16">
      <c r="L8186"/>
      <c r="M8186"/>
      <c r="O8186"/>
      <c r="P8186"/>
    </row>
    <row r="8187" spans="12:16">
      <c r="L8187"/>
      <c r="M8187"/>
      <c r="O8187"/>
      <c r="P8187"/>
    </row>
    <row r="8188" spans="12:16">
      <c r="L8188"/>
      <c r="M8188"/>
      <c r="O8188"/>
      <c r="P8188"/>
    </row>
    <row r="8189" spans="12:16">
      <c r="L8189"/>
      <c r="M8189"/>
      <c r="O8189"/>
      <c r="P8189"/>
    </row>
    <row r="8190" spans="12:16">
      <c r="L8190"/>
      <c r="M8190"/>
      <c r="O8190"/>
      <c r="P8190"/>
    </row>
    <row r="8191" spans="12:16">
      <c r="L8191"/>
      <c r="M8191"/>
      <c r="O8191"/>
      <c r="P8191"/>
    </row>
    <row r="8192" spans="12:16">
      <c r="L8192"/>
      <c r="M8192"/>
      <c r="O8192"/>
      <c r="P8192"/>
    </row>
    <row r="8193" spans="12:16">
      <c r="L8193"/>
      <c r="M8193"/>
      <c r="O8193"/>
      <c r="P8193"/>
    </row>
    <row r="8194" spans="12:16">
      <c r="L8194"/>
      <c r="M8194"/>
      <c r="O8194"/>
      <c r="P8194"/>
    </row>
    <row r="8195" spans="12:16">
      <c r="L8195"/>
      <c r="M8195"/>
      <c r="O8195"/>
      <c r="P8195"/>
    </row>
    <row r="8196" spans="12:16">
      <c r="L8196"/>
      <c r="M8196"/>
      <c r="O8196"/>
      <c r="P8196"/>
    </row>
    <row r="8197" spans="12:16">
      <c r="L8197"/>
      <c r="M8197"/>
      <c r="O8197"/>
      <c r="P8197"/>
    </row>
    <row r="8198" spans="12:16">
      <c r="L8198"/>
      <c r="M8198"/>
      <c r="O8198"/>
      <c r="P8198"/>
    </row>
    <row r="8199" spans="12:16">
      <c r="L8199"/>
      <c r="M8199"/>
      <c r="O8199"/>
      <c r="P8199"/>
    </row>
    <row r="8200" spans="12:16">
      <c r="L8200"/>
      <c r="M8200"/>
      <c r="O8200"/>
      <c r="P8200"/>
    </row>
    <row r="8201" spans="12:16">
      <c r="L8201"/>
      <c r="M8201"/>
      <c r="O8201"/>
      <c r="P8201"/>
    </row>
    <row r="8202" spans="12:16">
      <c r="L8202"/>
      <c r="M8202"/>
      <c r="O8202"/>
      <c r="P8202"/>
    </row>
    <row r="8203" spans="12:16">
      <c r="L8203"/>
      <c r="M8203"/>
      <c r="O8203"/>
      <c r="P8203"/>
    </row>
    <row r="8204" spans="12:16">
      <c r="L8204"/>
      <c r="M8204"/>
      <c r="O8204"/>
      <c r="P8204"/>
    </row>
    <row r="8205" spans="12:16">
      <c r="L8205"/>
      <c r="M8205"/>
      <c r="O8205"/>
      <c r="P8205"/>
    </row>
    <row r="8206" spans="12:16">
      <c r="L8206"/>
      <c r="M8206"/>
      <c r="O8206"/>
      <c r="P8206"/>
    </row>
    <row r="8207" spans="12:16">
      <c r="L8207"/>
      <c r="M8207"/>
      <c r="O8207"/>
      <c r="P8207"/>
    </row>
    <row r="8208" spans="12:16">
      <c r="L8208"/>
      <c r="M8208"/>
      <c r="O8208"/>
      <c r="P8208"/>
    </row>
    <row r="8209" spans="12:16">
      <c r="L8209"/>
      <c r="M8209"/>
      <c r="O8209"/>
      <c r="P8209"/>
    </row>
    <row r="8210" spans="12:16">
      <c r="L8210"/>
      <c r="M8210"/>
      <c r="O8210"/>
      <c r="P8210"/>
    </row>
    <row r="8211" spans="12:16">
      <c r="L8211"/>
      <c r="M8211"/>
      <c r="O8211"/>
      <c r="P8211"/>
    </row>
    <row r="8212" spans="12:16">
      <c r="L8212"/>
      <c r="M8212"/>
      <c r="O8212"/>
      <c r="P8212"/>
    </row>
    <row r="8213" spans="12:16">
      <c r="L8213"/>
      <c r="M8213"/>
      <c r="O8213"/>
      <c r="P8213"/>
    </row>
    <row r="8214" spans="12:16">
      <c r="L8214"/>
      <c r="M8214"/>
      <c r="O8214"/>
      <c r="P8214"/>
    </row>
    <row r="8215" spans="12:16">
      <c r="L8215"/>
      <c r="M8215"/>
      <c r="O8215"/>
      <c r="P8215"/>
    </row>
    <row r="8216" spans="12:16">
      <c r="L8216"/>
      <c r="M8216"/>
      <c r="O8216"/>
      <c r="P8216"/>
    </row>
    <row r="8217" spans="12:16">
      <c r="L8217"/>
      <c r="M8217"/>
      <c r="O8217"/>
      <c r="P8217"/>
    </row>
    <row r="8218" spans="12:16">
      <c r="L8218"/>
      <c r="M8218"/>
      <c r="O8218"/>
      <c r="P8218"/>
    </row>
    <row r="8219" spans="12:16">
      <c r="L8219"/>
      <c r="M8219"/>
      <c r="O8219"/>
      <c r="P8219"/>
    </row>
    <row r="8220" spans="12:16">
      <c r="L8220"/>
      <c r="M8220"/>
      <c r="O8220"/>
      <c r="P8220"/>
    </row>
    <row r="8221" spans="12:16">
      <c r="L8221"/>
      <c r="M8221"/>
      <c r="O8221"/>
      <c r="P8221"/>
    </row>
    <row r="8222" spans="12:16">
      <c r="L8222"/>
      <c r="M8222"/>
      <c r="O8222"/>
      <c r="P8222"/>
    </row>
    <row r="8223" spans="12:16">
      <c r="L8223"/>
      <c r="M8223"/>
      <c r="O8223"/>
      <c r="P8223"/>
    </row>
    <row r="8224" spans="12:16">
      <c r="L8224"/>
      <c r="M8224"/>
      <c r="O8224"/>
      <c r="P8224"/>
    </row>
    <row r="8225" spans="12:16">
      <c r="L8225"/>
      <c r="M8225"/>
      <c r="O8225"/>
      <c r="P8225"/>
    </row>
    <row r="8226" spans="12:16">
      <c r="L8226"/>
      <c r="M8226"/>
      <c r="O8226"/>
      <c r="P8226"/>
    </row>
    <row r="8227" spans="12:16">
      <c r="L8227"/>
      <c r="M8227"/>
      <c r="O8227"/>
      <c r="P8227"/>
    </row>
    <row r="8228" spans="12:16">
      <c r="L8228"/>
      <c r="M8228"/>
      <c r="O8228"/>
      <c r="P8228"/>
    </row>
    <row r="8229" spans="12:16">
      <c r="L8229"/>
      <c r="M8229"/>
      <c r="O8229"/>
      <c r="P8229"/>
    </row>
    <row r="8230" spans="12:16">
      <c r="L8230"/>
      <c r="M8230"/>
      <c r="O8230"/>
      <c r="P8230"/>
    </row>
    <row r="8231" spans="12:16">
      <c r="L8231"/>
      <c r="M8231"/>
      <c r="O8231"/>
      <c r="P8231"/>
    </row>
    <row r="8232" spans="12:16">
      <c r="L8232"/>
      <c r="M8232"/>
      <c r="O8232"/>
      <c r="P8232"/>
    </row>
    <row r="8233" spans="12:16">
      <c r="L8233"/>
      <c r="M8233"/>
      <c r="O8233"/>
      <c r="P8233"/>
    </row>
    <row r="8234" spans="12:16">
      <c r="L8234"/>
      <c r="M8234"/>
      <c r="O8234"/>
      <c r="P8234"/>
    </row>
    <row r="8235" spans="12:16">
      <c r="L8235"/>
      <c r="M8235"/>
      <c r="O8235"/>
      <c r="P8235"/>
    </row>
    <row r="8236" spans="12:16">
      <c r="L8236"/>
      <c r="M8236"/>
      <c r="O8236"/>
      <c r="P8236"/>
    </row>
    <row r="8237" spans="12:16">
      <c r="L8237"/>
      <c r="M8237"/>
      <c r="O8237"/>
      <c r="P8237"/>
    </row>
    <row r="8238" spans="12:16">
      <c r="L8238"/>
      <c r="M8238"/>
      <c r="O8238"/>
      <c r="P8238"/>
    </row>
    <row r="8239" spans="12:16">
      <c r="L8239"/>
      <c r="M8239"/>
      <c r="O8239"/>
      <c r="P8239"/>
    </row>
    <row r="8240" spans="12:16">
      <c r="L8240"/>
      <c r="M8240"/>
      <c r="O8240"/>
      <c r="P8240"/>
    </row>
    <row r="8241" spans="12:16">
      <c r="L8241"/>
      <c r="M8241"/>
      <c r="O8241"/>
      <c r="P8241"/>
    </row>
    <row r="8242" spans="12:16">
      <c r="L8242"/>
      <c r="M8242"/>
      <c r="O8242"/>
      <c r="P8242"/>
    </row>
    <row r="8243" spans="12:16">
      <c r="L8243"/>
      <c r="M8243"/>
      <c r="O8243"/>
      <c r="P8243"/>
    </row>
    <row r="8244" spans="12:16">
      <c r="L8244"/>
      <c r="M8244"/>
      <c r="O8244"/>
      <c r="P8244"/>
    </row>
    <row r="8245" spans="12:16">
      <c r="L8245"/>
      <c r="M8245"/>
      <c r="O8245"/>
      <c r="P8245"/>
    </row>
    <row r="8246" spans="12:16">
      <c r="L8246"/>
      <c r="M8246"/>
      <c r="O8246"/>
      <c r="P8246"/>
    </row>
    <row r="8247" spans="12:16">
      <c r="L8247"/>
      <c r="M8247"/>
      <c r="O8247"/>
      <c r="P8247"/>
    </row>
    <row r="8248" spans="12:16">
      <c r="L8248"/>
      <c r="M8248"/>
      <c r="O8248"/>
      <c r="P8248"/>
    </row>
    <row r="8249" spans="12:16">
      <c r="L8249"/>
      <c r="M8249"/>
      <c r="O8249"/>
      <c r="P8249"/>
    </row>
    <row r="8250" spans="12:16">
      <c r="L8250"/>
      <c r="M8250"/>
      <c r="O8250"/>
      <c r="P8250"/>
    </row>
    <row r="8251" spans="12:16">
      <c r="L8251"/>
      <c r="M8251"/>
      <c r="O8251"/>
      <c r="P8251"/>
    </row>
    <row r="8252" spans="12:16">
      <c r="L8252"/>
      <c r="M8252"/>
      <c r="O8252"/>
      <c r="P8252"/>
    </row>
    <row r="8253" spans="12:16">
      <c r="L8253"/>
      <c r="M8253"/>
      <c r="O8253"/>
      <c r="P8253"/>
    </row>
    <row r="8254" spans="12:16">
      <c r="L8254"/>
      <c r="M8254"/>
      <c r="O8254"/>
      <c r="P8254"/>
    </row>
    <row r="8255" spans="12:16">
      <c r="L8255"/>
      <c r="M8255"/>
      <c r="O8255"/>
      <c r="P8255"/>
    </row>
    <row r="8256" spans="12:16">
      <c r="L8256"/>
      <c r="M8256"/>
      <c r="O8256"/>
      <c r="P8256"/>
    </row>
    <row r="8257" spans="12:16">
      <c r="L8257"/>
      <c r="M8257"/>
      <c r="O8257"/>
      <c r="P8257"/>
    </row>
    <row r="8258" spans="12:16">
      <c r="L8258"/>
      <c r="M8258"/>
      <c r="O8258"/>
      <c r="P8258"/>
    </row>
    <row r="8259" spans="12:16">
      <c r="L8259"/>
      <c r="M8259"/>
      <c r="O8259"/>
      <c r="P8259"/>
    </row>
    <row r="8260" spans="12:16">
      <c r="L8260"/>
      <c r="M8260"/>
      <c r="O8260"/>
      <c r="P8260"/>
    </row>
    <row r="8261" spans="12:16">
      <c r="L8261"/>
      <c r="M8261"/>
      <c r="O8261"/>
      <c r="P8261"/>
    </row>
    <row r="8262" spans="12:16">
      <c r="L8262"/>
      <c r="M8262"/>
      <c r="O8262"/>
      <c r="P8262"/>
    </row>
    <row r="8263" spans="12:16">
      <c r="L8263"/>
      <c r="M8263"/>
      <c r="O8263"/>
      <c r="P8263"/>
    </row>
    <row r="8264" spans="12:16">
      <c r="L8264"/>
      <c r="M8264"/>
      <c r="O8264"/>
      <c r="P8264"/>
    </row>
    <row r="8265" spans="12:16">
      <c r="L8265"/>
      <c r="M8265"/>
      <c r="O8265"/>
      <c r="P8265"/>
    </row>
    <row r="8266" spans="12:16">
      <c r="L8266"/>
      <c r="M8266"/>
      <c r="O8266"/>
      <c r="P8266"/>
    </row>
    <row r="8267" spans="12:16">
      <c r="L8267"/>
      <c r="M8267"/>
      <c r="O8267"/>
      <c r="P8267"/>
    </row>
    <row r="8268" spans="12:16">
      <c r="L8268"/>
      <c r="M8268"/>
      <c r="O8268"/>
      <c r="P8268"/>
    </row>
    <row r="8269" spans="12:16">
      <c r="L8269"/>
      <c r="M8269"/>
      <c r="O8269"/>
      <c r="P8269"/>
    </row>
    <row r="8270" spans="12:16">
      <c r="L8270"/>
      <c r="M8270"/>
      <c r="O8270"/>
      <c r="P8270"/>
    </row>
    <row r="8271" spans="12:16">
      <c r="L8271"/>
      <c r="M8271"/>
      <c r="O8271"/>
      <c r="P8271"/>
    </row>
    <row r="8272" spans="12:16">
      <c r="L8272"/>
      <c r="M8272"/>
      <c r="O8272"/>
      <c r="P8272"/>
    </row>
    <row r="8273" spans="12:16">
      <c r="L8273"/>
      <c r="M8273"/>
      <c r="O8273"/>
      <c r="P8273"/>
    </row>
    <row r="8274" spans="12:16">
      <c r="L8274"/>
      <c r="M8274"/>
      <c r="O8274"/>
      <c r="P8274"/>
    </row>
    <row r="8275" spans="12:16">
      <c r="L8275"/>
      <c r="M8275"/>
      <c r="O8275"/>
      <c r="P8275"/>
    </row>
    <row r="8276" spans="12:16">
      <c r="L8276"/>
      <c r="M8276"/>
      <c r="O8276"/>
      <c r="P8276"/>
    </row>
    <row r="8277" spans="12:16">
      <c r="L8277"/>
      <c r="M8277"/>
      <c r="O8277"/>
      <c r="P8277"/>
    </row>
    <row r="8278" spans="12:16">
      <c r="L8278"/>
      <c r="M8278"/>
      <c r="O8278"/>
      <c r="P8278"/>
    </row>
    <row r="8279" spans="12:16">
      <c r="L8279"/>
      <c r="M8279"/>
      <c r="O8279"/>
      <c r="P8279"/>
    </row>
    <row r="8280" spans="12:16">
      <c r="L8280"/>
      <c r="M8280"/>
      <c r="O8280"/>
      <c r="P8280"/>
    </row>
    <row r="8281" spans="12:16">
      <c r="L8281"/>
      <c r="M8281"/>
      <c r="O8281"/>
      <c r="P8281"/>
    </row>
    <row r="8282" spans="12:16">
      <c r="L8282"/>
      <c r="M8282"/>
      <c r="O8282"/>
      <c r="P8282"/>
    </row>
    <row r="8283" spans="12:16">
      <c r="L8283"/>
      <c r="M8283"/>
      <c r="O8283"/>
      <c r="P8283"/>
    </row>
    <row r="8284" spans="12:16">
      <c r="L8284"/>
      <c r="M8284"/>
      <c r="O8284"/>
      <c r="P8284"/>
    </row>
    <row r="8285" spans="12:16">
      <c r="L8285"/>
      <c r="M8285"/>
      <c r="O8285"/>
      <c r="P8285"/>
    </row>
    <row r="8286" spans="12:16">
      <c r="L8286"/>
      <c r="M8286"/>
      <c r="O8286"/>
      <c r="P8286"/>
    </row>
    <row r="8287" spans="12:16">
      <c r="L8287"/>
      <c r="M8287"/>
      <c r="O8287"/>
      <c r="P8287"/>
    </row>
    <row r="8288" spans="12:16">
      <c r="L8288"/>
      <c r="M8288"/>
      <c r="O8288"/>
      <c r="P8288"/>
    </row>
    <row r="8289" spans="12:16">
      <c r="L8289"/>
      <c r="M8289"/>
      <c r="O8289"/>
      <c r="P8289"/>
    </row>
    <row r="8290" spans="12:16">
      <c r="L8290"/>
      <c r="M8290"/>
      <c r="O8290"/>
      <c r="P8290"/>
    </row>
    <row r="8291" spans="12:16">
      <c r="L8291"/>
      <c r="M8291"/>
      <c r="O8291"/>
      <c r="P8291"/>
    </row>
    <row r="8292" spans="12:16">
      <c r="L8292"/>
      <c r="M8292"/>
      <c r="O8292"/>
      <c r="P8292"/>
    </row>
    <row r="8293" spans="12:16">
      <c r="L8293"/>
      <c r="M8293"/>
      <c r="O8293"/>
      <c r="P8293"/>
    </row>
    <row r="8294" spans="12:16">
      <c r="L8294"/>
      <c r="M8294"/>
      <c r="O8294"/>
      <c r="P8294"/>
    </row>
    <row r="8295" spans="12:16">
      <c r="L8295"/>
      <c r="M8295"/>
      <c r="O8295"/>
      <c r="P8295"/>
    </row>
    <row r="8296" spans="12:16">
      <c r="L8296"/>
      <c r="M8296"/>
      <c r="O8296"/>
      <c r="P8296"/>
    </row>
    <row r="8297" spans="12:16">
      <c r="L8297"/>
      <c r="M8297"/>
      <c r="O8297"/>
      <c r="P8297"/>
    </row>
    <row r="8298" spans="12:16">
      <c r="L8298"/>
      <c r="M8298"/>
      <c r="O8298"/>
      <c r="P8298"/>
    </row>
    <row r="8299" spans="12:16">
      <c r="L8299"/>
      <c r="M8299"/>
      <c r="O8299"/>
      <c r="P8299"/>
    </row>
    <row r="8300" spans="12:16">
      <c r="L8300"/>
      <c r="M8300"/>
      <c r="O8300"/>
      <c r="P8300"/>
    </row>
    <row r="8301" spans="12:16">
      <c r="L8301"/>
      <c r="M8301"/>
      <c r="O8301"/>
      <c r="P8301"/>
    </row>
    <row r="8302" spans="12:16">
      <c r="L8302"/>
      <c r="M8302"/>
      <c r="O8302"/>
      <c r="P8302"/>
    </row>
    <row r="8303" spans="12:16">
      <c r="L8303"/>
      <c r="M8303"/>
      <c r="O8303"/>
      <c r="P8303"/>
    </row>
    <row r="8304" spans="12:16">
      <c r="L8304"/>
      <c r="M8304"/>
      <c r="O8304"/>
      <c r="P8304"/>
    </row>
    <row r="8305" spans="12:16">
      <c r="L8305"/>
      <c r="M8305"/>
      <c r="O8305"/>
      <c r="P8305"/>
    </row>
    <row r="8306" spans="12:16">
      <c r="L8306"/>
      <c r="M8306"/>
      <c r="O8306"/>
      <c r="P8306"/>
    </row>
    <row r="8307" spans="12:16">
      <c r="L8307"/>
      <c r="M8307"/>
      <c r="O8307"/>
      <c r="P8307"/>
    </row>
    <row r="8308" spans="12:16">
      <c r="L8308"/>
      <c r="M8308"/>
      <c r="O8308"/>
      <c r="P8308"/>
    </row>
    <row r="8309" spans="12:16">
      <c r="L8309"/>
      <c r="M8309"/>
      <c r="O8309"/>
      <c r="P8309"/>
    </row>
    <row r="8310" spans="12:16">
      <c r="L8310"/>
      <c r="M8310"/>
      <c r="O8310"/>
      <c r="P8310"/>
    </row>
    <row r="8311" spans="12:16">
      <c r="L8311"/>
      <c r="M8311"/>
      <c r="O8311"/>
      <c r="P8311"/>
    </row>
    <row r="8312" spans="12:16">
      <c r="L8312"/>
      <c r="M8312"/>
      <c r="O8312"/>
      <c r="P8312"/>
    </row>
    <row r="8313" spans="12:16">
      <c r="L8313"/>
      <c r="M8313"/>
      <c r="O8313"/>
      <c r="P8313"/>
    </row>
    <row r="8314" spans="12:16">
      <c r="L8314"/>
      <c r="M8314"/>
      <c r="O8314"/>
      <c r="P8314"/>
    </row>
    <row r="8315" spans="12:16">
      <c r="L8315"/>
      <c r="M8315"/>
      <c r="O8315"/>
      <c r="P8315"/>
    </row>
    <row r="8316" spans="12:16">
      <c r="L8316"/>
      <c r="M8316"/>
      <c r="O8316"/>
      <c r="P8316"/>
    </row>
    <row r="8317" spans="12:16">
      <c r="L8317"/>
      <c r="M8317"/>
      <c r="O8317"/>
      <c r="P8317"/>
    </row>
    <row r="8318" spans="12:16">
      <c r="L8318"/>
      <c r="M8318"/>
      <c r="O8318"/>
      <c r="P8318"/>
    </row>
    <row r="8319" spans="12:16">
      <c r="L8319"/>
      <c r="M8319"/>
      <c r="O8319"/>
      <c r="P8319"/>
    </row>
    <row r="8320" spans="12:16">
      <c r="L8320"/>
      <c r="M8320"/>
      <c r="O8320"/>
      <c r="P8320"/>
    </row>
    <row r="8321" spans="12:16">
      <c r="L8321"/>
      <c r="M8321"/>
      <c r="O8321"/>
      <c r="P8321"/>
    </row>
    <row r="8322" spans="12:16">
      <c r="L8322"/>
      <c r="M8322"/>
      <c r="O8322"/>
      <c r="P8322"/>
    </row>
    <row r="8323" spans="12:16">
      <c r="L8323"/>
      <c r="M8323"/>
      <c r="O8323"/>
      <c r="P8323"/>
    </row>
    <row r="8324" spans="12:16">
      <c r="L8324"/>
      <c r="M8324"/>
      <c r="O8324"/>
      <c r="P8324"/>
    </row>
    <row r="8325" spans="12:16">
      <c r="L8325"/>
      <c r="M8325"/>
      <c r="O8325"/>
      <c r="P8325"/>
    </row>
    <row r="8326" spans="12:16">
      <c r="L8326"/>
      <c r="M8326"/>
      <c r="O8326"/>
      <c r="P8326"/>
    </row>
    <row r="8327" spans="12:16">
      <c r="L8327"/>
      <c r="M8327"/>
      <c r="O8327"/>
      <c r="P8327"/>
    </row>
    <row r="8328" spans="12:16">
      <c r="L8328"/>
      <c r="M8328"/>
      <c r="O8328"/>
      <c r="P8328"/>
    </row>
    <row r="8329" spans="12:16">
      <c r="L8329"/>
      <c r="M8329"/>
      <c r="O8329"/>
      <c r="P8329"/>
    </row>
    <row r="8330" spans="12:16">
      <c r="L8330"/>
      <c r="M8330"/>
      <c r="O8330"/>
      <c r="P8330"/>
    </row>
    <row r="8331" spans="12:16">
      <c r="L8331"/>
      <c r="M8331"/>
      <c r="O8331"/>
      <c r="P8331"/>
    </row>
    <row r="8332" spans="12:16">
      <c r="L8332"/>
      <c r="M8332"/>
      <c r="O8332"/>
      <c r="P8332"/>
    </row>
    <row r="8333" spans="12:16">
      <c r="L8333"/>
      <c r="M8333"/>
      <c r="O8333"/>
      <c r="P8333"/>
    </row>
    <row r="8334" spans="12:16">
      <c r="L8334"/>
      <c r="M8334"/>
      <c r="O8334"/>
      <c r="P8334"/>
    </row>
    <row r="8335" spans="12:16">
      <c r="L8335"/>
      <c r="M8335"/>
      <c r="O8335"/>
      <c r="P8335"/>
    </row>
    <row r="8336" spans="12:16">
      <c r="L8336"/>
      <c r="M8336"/>
      <c r="O8336"/>
      <c r="P8336"/>
    </row>
    <row r="8337" spans="12:16">
      <c r="L8337"/>
      <c r="M8337"/>
      <c r="O8337"/>
      <c r="P8337"/>
    </row>
    <row r="8338" spans="12:16">
      <c r="L8338"/>
      <c r="M8338"/>
      <c r="O8338"/>
      <c r="P8338"/>
    </row>
    <row r="8339" spans="12:16">
      <c r="L8339"/>
      <c r="M8339"/>
      <c r="O8339"/>
      <c r="P8339"/>
    </row>
    <row r="8340" spans="12:16">
      <c r="L8340"/>
      <c r="M8340"/>
      <c r="O8340"/>
      <c r="P8340"/>
    </row>
    <row r="8341" spans="12:16">
      <c r="L8341"/>
      <c r="M8341"/>
      <c r="O8341"/>
      <c r="P8341"/>
    </row>
    <row r="8342" spans="12:16">
      <c r="L8342"/>
      <c r="M8342"/>
      <c r="O8342"/>
      <c r="P8342"/>
    </row>
    <row r="8343" spans="12:16">
      <c r="L8343"/>
      <c r="M8343"/>
      <c r="O8343"/>
      <c r="P8343"/>
    </row>
    <row r="8344" spans="12:16">
      <c r="L8344"/>
      <c r="M8344"/>
      <c r="O8344"/>
      <c r="P8344"/>
    </row>
    <row r="8345" spans="12:16">
      <c r="L8345"/>
      <c r="M8345"/>
      <c r="O8345"/>
      <c r="P8345"/>
    </row>
    <row r="8346" spans="12:16">
      <c r="L8346"/>
      <c r="M8346"/>
      <c r="O8346"/>
      <c r="P8346"/>
    </row>
    <row r="8347" spans="12:16">
      <c r="L8347"/>
      <c r="M8347"/>
      <c r="O8347"/>
      <c r="P8347"/>
    </row>
    <row r="8348" spans="12:16">
      <c r="L8348"/>
      <c r="M8348"/>
      <c r="O8348"/>
      <c r="P8348"/>
    </row>
    <row r="8349" spans="12:16">
      <c r="L8349"/>
      <c r="M8349"/>
      <c r="O8349"/>
      <c r="P8349"/>
    </row>
    <row r="8350" spans="12:16">
      <c r="L8350"/>
      <c r="M8350"/>
      <c r="O8350"/>
      <c r="P8350"/>
    </row>
    <row r="8351" spans="12:16">
      <c r="L8351"/>
      <c r="M8351"/>
      <c r="O8351"/>
      <c r="P8351"/>
    </row>
    <row r="8352" spans="12:16">
      <c r="L8352"/>
      <c r="M8352"/>
      <c r="O8352"/>
      <c r="P8352"/>
    </row>
    <row r="8353" spans="12:16">
      <c r="L8353"/>
      <c r="M8353"/>
      <c r="O8353"/>
      <c r="P8353"/>
    </row>
    <row r="8354" spans="12:16">
      <c r="L8354"/>
      <c r="M8354"/>
      <c r="O8354"/>
      <c r="P8354"/>
    </row>
    <row r="8355" spans="12:16">
      <c r="L8355"/>
      <c r="M8355"/>
      <c r="O8355"/>
      <c r="P8355"/>
    </row>
    <row r="8356" spans="12:16">
      <c r="L8356"/>
      <c r="M8356"/>
      <c r="O8356"/>
      <c r="P8356"/>
    </row>
    <row r="8357" spans="12:16">
      <c r="L8357"/>
      <c r="M8357"/>
      <c r="O8357"/>
      <c r="P8357"/>
    </row>
    <row r="8358" spans="12:16">
      <c r="L8358"/>
      <c r="M8358"/>
      <c r="O8358"/>
      <c r="P8358"/>
    </row>
    <row r="8359" spans="12:16">
      <c r="L8359"/>
      <c r="M8359"/>
      <c r="O8359"/>
      <c r="P8359"/>
    </row>
    <row r="8360" spans="12:16">
      <c r="L8360"/>
      <c r="M8360"/>
      <c r="O8360"/>
      <c r="P8360"/>
    </row>
    <row r="8361" spans="12:16">
      <c r="L8361"/>
      <c r="M8361"/>
      <c r="O8361"/>
      <c r="P8361"/>
    </row>
    <row r="8362" spans="12:16">
      <c r="L8362"/>
      <c r="M8362"/>
      <c r="O8362"/>
      <c r="P8362"/>
    </row>
    <row r="8363" spans="12:16">
      <c r="L8363"/>
      <c r="M8363"/>
      <c r="O8363"/>
      <c r="P8363"/>
    </row>
    <row r="8364" spans="12:16">
      <c r="L8364"/>
      <c r="M8364"/>
      <c r="O8364"/>
      <c r="P8364"/>
    </row>
    <row r="8365" spans="12:16">
      <c r="L8365"/>
      <c r="M8365"/>
      <c r="O8365"/>
      <c r="P8365"/>
    </row>
    <row r="8366" spans="12:16">
      <c r="L8366"/>
      <c r="M8366"/>
      <c r="O8366"/>
      <c r="P8366"/>
    </row>
    <row r="8367" spans="12:16">
      <c r="L8367"/>
      <c r="M8367"/>
      <c r="O8367"/>
      <c r="P8367"/>
    </row>
    <row r="8368" spans="12:16">
      <c r="L8368"/>
      <c r="M8368"/>
      <c r="O8368"/>
      <c r="P8368"/>
    </row>
    <row r="8369" spans="12:16">
      <c r="L8369"/>
      <c r="M8369"/>
      <c r="O8369"/>
      <c r="P8369"/>
    </row>
    <row r="8370" spans="12:16">
      <c r="L8370"/>
      <c r="M8370"/>
      <c r="O8370"/>
      <c r="P8370"/>
    </row>
    <row r="8371" spans="12:16">
      <c r="L8371"/>
      <c r="M8371"/>
      <c r="O8371"/>
      <c r="P8371"/>
    </row>
    <row r="8372" spans="12:16">
      <c r="L8372"/>
      <c r="M8372"/>
      <c r="O8372"/>
      <c r="P8372"/>
    </row>
    <row r="8373" spans="12:16">
      <c r="L8373"/>
      <c r="M8373"/>
      <c r="O8373"/>
      <c r="P8373"/>
    </row>
    <row r="8374" spans="12:16">
      <c r="L8374"/>
      <c r="M8374"/>
      <c r="O8374"/>
      <c r="P8374"/>
    </row>
    <row r="8375" spans="12:16">
      <c r="L8375"/>
      <c r="M8375"/>
      <c r="O8375"/>
      <c r="P8375"/>
    </row>
    <row r="8376" spans="12:16">
      <c r="L8376"/>
      <c r="M8376"/>
      <c r="O8376"/>
      <c r="P8376"/>
    </row>
    <row r="8377" spans="12:16">
      <c r="L8377"/>
      <c r="M8377"/>
      <c r="O8377"/>
      <c r="P8377"/>
    </row>
    <row r="8378" spans="12:16">
      <c r="L8378"/>
      <c r="M8378"/>
      <c r="O8378"/>
      <c r="P8378"/>
    </row>
    <row r="8379" spans="12:16">
      <c r="L8379"/>
      <c r="M8379"/>
      <c r="O8379"/>
      <c r="P8379"/>
    </row>
    <row r="8380" spans="12:16">
      <c r="L8380"/>
      <c r="M8380"/>
      <c r="O8380"/>
      <c r="P8380"/>
    </row>
    <row r="8381" spans="12:16">
      <c r="L8381"/>
      <c r="M8381"/>
      <c r="O8381"/>
      <c r="P8381"/>
    </row>
    <row r="8382" spans="12:16">
      <c r="L8382"/>
      <c r="M8382"/>
      <c r="O8382"/>
      <c r="P8382"/>
    </row>
    <row r="8383" spans="12:16">
      <c r="L8383"/>
      <c r="M8383"/>
      <c r="O8383"/>
      <c r="P8383"/>
    </row>
    <row r="8384" spans="12:16">
      <c r="L8384"/>
      <c r="M8384"/>
      <c r="O8384"/>
      <c r="P8384"/>
    </row>
    <row r="8385" spans="12:16">
      <c r="L8385"/>
      <c r="M8385"/>
      <c r="O8385"/>
      <c r="P8385"/>
    </row>
    <row r="8386" spans="12:16">
      <c r="L8386"/>
      <c r="M8386"/>
      <c r="O8386"/>
      <c r="P8386"/>
    </row>
    <row r="8387" spans="12:16">
      <c r="L8387"/>
      <c r="M8387"/>
      <c r="O8387"/>
      <c r="P8387"/>
    </row>
    <row r="8388" spans="12:16">
      <c r="L8388"/>
      <c r="M8388"/>
      <c r="O8388"/>
      <c r="P8388"/>
    </row>
    <row r="8389" spans="12:16">
      <c r="L8389"/>
      <c r="M8389"/>
      <c r="O8389"/>
      <c r="P8389"/>
    </row>
    <row r="8390" spans="12:16">
      <c r="L8390"/>
      <c r="M8390"/>
      <c r="O8390"/>
      <c r="P8390"/>
    </row>
    <row r="8391" spans="12:16">
      <c r="L8391"/>
      <c r="M8391"/>
      <c r="O8391"/>
      <c r="P8391"/>
    </row>
    <row r="8392" spans="12:16">
      <c r="L8392"/>
      <c r="M8392"/>
      <c r="O8392"/>
      <c r="P8392"/>
    </row>
    <row r="8393" spans="12:16">
      <c r="L8393"/>
      <c r="M8393"/>
      <c r="O8393"/>
      <c r="P8393"/>
    </row>
    <row r="8394" spans="12:16">
      <c r="L8394"/>
      <c r="M8394"/>
      <c r="O8394"/>
      <c r="P8394"/>
    </row>
    <row r="8395" spans="12:16">
      <c r="L8395"/>
      <c r="M8395"/>
      <c r="O8395"/>
      <c r="P8395"/>
    </row>
    <row r="8396" spans="12:16">
      <c r="L8396"/>
      <c r="M8396"/>
      <c r="O8396"/>
      <c r="P8396"/>
    </row>
    <row r="8397" spans="12:16">
      <c r="L8397"/>
      <c r="M8397"/>
      <c r="O8397"/>
      <c r="P8397"/>
    </row>
    <row r="8398" spans="12:16">
      <c r="L8398"/>
      <c r="M8398"/>
      <c r="O8398"/>
      <c r="P8398"/>
    </row>
    <row r="8399" spans="12:16">
      <c r="L8399"/>
      <c r="M8399"/>
      <c r="O8399"/>
      <c r="P8399"/>
    </row>
    <row r="8400" spans="12:16">
      <c r="L8400"/>
      <c r="M8400"/>
      <c r="O8400"/>
      <c r="P8400"/>
    </row>
    <row r="8401" spans="12:16">
      <c r="L8401"/>
      <c r="M8401"/>
      <c r="O8401"/>
      <c r="P8401"/>
    </row>
    <row r="8402" spans="12:16">
      <c r="L8402"/>
      <c r="M8402"/>
      <c r="O8402"/>
      <c r="P8402"/>
    </row>
    <row r="8403" spans="12:16">
      <c r="L8403"/>
      <c r="M8403"/>
      <c r="O8403"/>
      <c r="P8403"/>
    </row>
    <row r="8404" spans="12:16">
      <c r="L8404"/>
      <c r="M8404"/>
      <c r="O8404"/>
      <c r="P8404"/>
    </row>
    <row r="8405" spans="12:16">
      <c r="L8405"/>
      <c r="M8405"/>
      <c r="O8405"/>
      <c r="P8405"/>
    </row>
    <row r="8406" spans="12:16">
      <c r="L8406"/>
      <c r="M8406"/>
      <c r="O8406"/>
      <c r="P8406"/>
    </row>
    <row r="8407" spans="12:16">
      <c r="L8407"/>
      <c r="M8407"/>
      <c r="O8407"/>
      <c r="P8407"/>
    </row>
    <row r="8408" spans="12:16">
      <c r="L8408"/>
      <c r="M8408"/>
      <c r="O8408"/>
      <c r="P8408"/>
    </row>
    <row r="8409" spans="12:16">
      <c r="L8409"/>
      <c r="M8409"/>
      <c r="O8409"/>
      <c r="P8409"/>
    </row>
    <row r="8410" spans="12:16">
      <c r="L8410"/>
      <c r="M8410"/>
      <c r="O8410"/>
      <c r="P8410"/>
    </row>
    <row r="8411" spans="12:16">
      <c r="L8411"/>
      <c r="M8411"/>
      <c r="O8411"/>
      <c r="P8411"/>
    </row>
    <row r="8412" spans="12:16">
      <c r="L8412"/>
      <c r="M8412"/>
      <c r="O8412"/>
      <c r="P8412"/>
    </row>
    <row r="8413" spans="12:16">
      <c r="L8413"/>
      <c r="M8413"/>
      <c r="O8413"/>
      <c r="P8413"/>
    </row>
    <row r="8414" spans="12:16">
      <c r="L8414"/>
      <c r="M8414"/>
      <c r="O8414"/>
      <c r="P8414"/>
    </row>
    <row r="8415" spans="12:16">
      <c r="L8415"/>
      <c r="M8415"/>
      <c r="O8415"/>
      <c r="P8415"/>
    </row>
    <row r="8416" spans="12:16">
      <c r="L8416"/>
      <c r="M8416"/>
      <c r="O8416"/>
      <c r="P8416"/>
    </row>
    <row r="8417" spans="12:16">
      <c r="L8417"/>
      <c r="M8417"/>
      <c r="O8417"/>
      <c r="P8417"/>
    </row>
    <row r="8418" spans="12:16">
      <c r="L8418"/>
      <c r="M8418"/>
      <c r="O8418"/>
      <c r="P8418"/>
    </row>
    <row r="8419" spans="12:16">
      <c r="L8419"/>
      <c r="M8419"/>
      <c r="O8419"/>
      <c r="P8419"/>
    </row>
    <row r="8420" spans="12:16">
      <c r="L8420"/>
      <c r="M8420"/>
      <c r="O8420"/>
      <c r="P8420"/>
    </row>
    <row r="8421" spans="12:16">
      <c r="L8421"/>
      <c r="M8421"/>
      <c r="O8421"/>
      <c r="P8421"/>
    </row>
    <row r="8422" spans="12:16">
      <c r="L8422"/>
      <c r="M8422"/>
      <c r="O8422"/>
      <c r="P8422"/>
    </row>
    <row r="8423" spans="12:16">
      <c r="L8423"/>
      <c r="M8423"/>
      <c r="O8423"/>
      <c r="P8423"/>
    </row>
    <row r="8424" spans="12:16">
      <c r="L8424"/>
      <c r="M8424"/>
      <c r="O8424"/>
      <c r="P8424"/>
    </row>
    <row r="8425" spans="12:16">
      <c r="L8425"/>
      <c r="M8425"/>
      <c r="O8425"/>
      <c r="P8425"/>
    </row>
    <row r="8426" spans="12:16">
      <c r="L8426"/>
      <c r="M8426"/>
      <c r="O8426"/>
      <c r="P8426"/>
    </row>
    <row r="8427" spans="12:16">
      <c r="L8427"/>
      <c r="M8427"/>
      <c r="O8427"/>
      <c r="P8427"/>
    </row>
    <row r="8428" spans="12:16">
      <c r="L8428"/>
      <c r="M8428"/>
      <c r="O8428"/>
      <c r="P8428"/>
    </row>
    <row r="8429" spans="12:16">
      <c r="L8429"/>
      <c r="M8429"/>
      <c r="O8429"/>
      <c r="P8429"/>
    </row>
    <row r="8430" spans="12:16">
      <c r="L8430"/>
      <c r="M8430"/>
      <c r="O8430"/>
      <c r="P8430"/>
    </row>
    <row r="8431" spans="12:16">
      <c r="L8431"/>
      <c r="M8431"/>
      <c r="O8431"/>
      <c r="P8431"/>
    </row>
    <row r="8432" spans="12:16">
      <c r="L8432"/>
      <c r="M8432"/>
      <c r="O8432"/>
      <c r="P8432"/>
    </row>
    <row r="8433" spans="12:16">
      <c r="L8433"/>
      <c r="M8433"/>
      <c r="O8433"/>
      <c r="P8433"/>
    </row>
    <row r="8434" spans="12:16">
      <c r="L8434"/>
      <c r="M8434"/>
      <c r="O8434"/>
      <c r="P8434"/>
    </row>
    <row r="8435" spans="12:16">
      <c r="L8435"/>
      <c r="M8435"/>
      <c r="O8435"/>
      <c r="P8435"/>
    </row>
    <row r="8436" spans="12:16">
      <c r="L8436"/>
      <c r="M8436"/>
      <c r="O8436"/>
      <c r="P8436"/>
    </row>
    <row r="8437" spans="12:16">
      <c r="L8437"/>
      <c r="M8437"/>
      <c r="O8437"/>
      <c r="P8437"/>
    </row>
    <row r="8438" spans="12:16">
      <c r="L8438"/>
      <c r="M8438"/>
      <c r="O8438"/>
      <c r="P8438"/>
    </row>
    <row r="8439" spans="12:16">
      <c r="L8439"/>
      <c r="M8439"/>
      <c r="O8439"/>
      <c r="P8439"/>
    </row>
    <row r="8440" spans="12:16">
      <c r="L8440"/>
      <c r="M8440"/>
      <c r="O8440"/>
      <c r="P8440"/>
    </row>
    <row r="8441" spans="12:16">
      <c r="L8441"/>
      <c r="M8441"/>
      <c r="O8441"/>
      <c r="P8441"/>
    </row>
    <row r="8442" spans="12:16">
      <c r="L8442"/>
      <c r="M8442"/>
      <c r="O8442"/>
      <c r="P8442"/>
    </row>
    <row r="8443" spans="12:16">
      <c r="L8443"/>
      <c r="M8443"/>
      <c r="O8443"/>
      <c r="P8443"/>
    </row>
    <row r="8444" spans="12:16">
      <c r="L8444"/>
      <c r="M8444"/>
      <c r="O8444"/>
      <c r="P8444"/>
    </row>
    <row r="8445" spans="12:16">
      <c r="L8445"/>
      <c r="M8445"/>
      <c r="O8445"/>
      <c r="P8445"/>
    </row>
    <row r="8446" spans="12:16">
      <c r="L8446"/>
      <c r="M8446"/>
      <c r="O8446"/>
      <c r="P8446"/>
    </row>
    <row r="8447" spans="12:16">
      <c r="L8447"/>
      <c r="M8447"/>
      <c r="O8447"/>
      <c r="P8447"/>
    </row>
    <row r="8448" spans="12:16">
      <c r="L8448"/>
      <c r="M8448"/>
      <c r="O8448"/>
      <c r="P8448"/>
    </row>
    <row r="8449" spans="12:16">
      <c r="L8449"/>
      <c r="M8449"/>
      <c r="O8449"/>
      <c r="P8449"/>
    </row>
    <row r="8450" spans="12:16">
      <c r="L8450"/>
      <c r="M8450"/>
      <c r="O8450"/>
      <c r="P8450"/>
    </row>
    <row r="8451" spans="12:16">
      <c r="L8451"/>
      <c r="M8451"/>
      <c r="O8451"/>
      <c r="P8451"/>
    </row>
    <row r="8452" spans="12:16">
      <c r="L8452"/>
      <c r="M8452"/>
      <c r="O8452"/>
      <c r="P8452"/>
    </row>
    <row r="8453" spans="12:16">
      <c r="L8453"/>
      <c r="M8453"/>
      <c r="O8453"/>
      <c r="P8453"/>
    </row>
    <row r="8454" spans="12:16">
      <c r="L8454"/>
      <c r="M8454"/>
      <c r="O8454"/>
      <c r="P8454"/>
    </row>
    <row r="8455" spans="12:16">
      <c r="L8455"/>
      <c r="M8455"/>
      <c r="O8455"/>
      <c r="P8455"/>
    </row>
    <row r="8456" spans="12:16">
      <c r="L8456"/>
      <c r="M8456"/>
      <c r="O8456"/>
      <c r="P8456"/>
    </row>
    <row r="8457" spans="12:16">
      <c r="L8457"/>
      <c r="M8457"/>
      <c r="O8457"/>
      <c r="P8457"/>
    </row>
    <row r="8458" spans="12:16">
      <c r="L8458"/>
      <c r="M8458"/>
      <c r="O8458"/>
      <c r="P8458"/>
    </row>
    <row r="8459" spans="12:16">
      <c r="L8459"/>
      <c r="M8459"/>
      <c r="O8459"/>
      <c r="P8459"/>
    </row>
    <row r="8460" spans="12:16">
      <c r="L8460"/>
      <c r="M8460"/>
      <c r="O8460"/>
      <c r="P8460"/>
    </row>
    <row r="8461" spans="12:16">
      <c r="L8461"/>
      <c r="M8461"/>
      <c r="O8461"/>
      <c r="P8461"/>
    </row>
    <row r="8462" spans="12:16">
      <c r="L8462"/>
      <c r="M8462"/>
      <c r="O8462"/>
      <c r="P8462"/>
    </row>
    <row r="8463" spans="12:16">
      <c r="L8463"/>
      <c r="M8463"/>
      <c r="O8463"/>
      <c r="P8463"/>
    </row>
    <row r="8464" spans="12:16">
      <c r="L8464"/>
      <c r="M8464"/>
      <c r="O8464"/>
      <c r="P8464"/>
    </row>
    <row r="8465" spans="12:16">
      <c r="L8465"/>
      <c r="M8465"/>
      <c r="O8465"/>
      <c r="P8465"/>
    </row>
    <row r="8466" spans="12:16">
      <c r="L8466"/>
      <c r="M8466"/>
      <c r="O8466"/>
      <c r="P8466"/>
    </row>
    <row r="8467" spans="12:16">
      <c r="L8467"/>
      <c r="M8467"/>
      <c r="O8467"/>
      <c r="P8467"/>
    </row>
    <row r="8468" spans="12:16">
      <c r="L8468"/>
      <c r="M8468"/>
      <c r="O8468"/>
      <c r="P8468"/>
    </row>
    <row r="8469" spans="12:16">
      <c r="L8469"/>
      <c r="M8469"/>
      <c r="O8469"/>
      <c r="P8469"/>
    </row>
    <row r="8470" spans="12:16">
      <c r="L8470"/>
      <c r="M8470"/>
      <c r="O8470"/>
      <c r="P8470"/>
    </row>
    <row r="8471" spans="12:16">
      <c r="L8471"/>
      <c r="M8471"/>
      <c r="O8471"/>
      <c r="P8471"/>
    </row>
    <row r="8472" spans="12:16">
      <c r="L8472"/>
      <c r="M8472"/>
      <c r="O8472"/>
      <c r="P8472"/>
    </row>
    <row r="8473" spans="12:16">
      <c r="L8473"/>
      <c r="M8473"/>
      <c r="O8473"/>
      <c r="P8473"/>
    </row>
    <row r="8474" spans="12:16">
      <c r="L8474"/>
      <c r="M8474"/>
      <c r="O8474"/>
      <c r="P8474"/>
    </row>
    <row r="8475" spans="12:16">
      <c r="L8475"/>
      <c r="M8475"/>
      <c r="O8475"/>
      <c r="P8475"/>
    </row>
    <row r="8476" spans="12:16">
      <c r="L8476"/>
      <c r="M8476"/>
      <c r="O8476"/>
      <c r="P8476"/>
    </row>
    <row r="8477" spans="12:16">
      <c r="L8477"/>
      <c r="M8477"/>
      <c r="O8477"/>
      <c r="P8477"/>
    </row>
    <row r="8478" spans="12:16">
      <c r="L8478"/>
      <c r="M8478"/>
      <c r="O8478"/>
      <c r="P8478"/>
    </row>
    <row r="8479" spans="12:16">
      <c r="L8479"/>
      <c r="M8479"/>
      <c r="O8479"/>
      <c r="P8479"/>
    </row>
    <row r="8480" spans="12:16">
      <c r="L8480"/>
      <c r="M8480"/>
      <c r="O8480"/>
      <c r="P8480"/>
    </row>
    <row r="8481" spans="12:16">
      <c r="L8481"/>
      <c r="M8481"/>
      <c r="O8481"/>
      <c r="P8481"/>
    </row>
    <row r="8482" spans="12:16">
      <c r="L8482"/>
      <c r="M8482"/>
      <c r="O8482"/>
      <c r="P8482"/>
    </row>
    <row r="8483" spans="12:16">
      <c r="L8483"/>
      <c r="M8483"/>
      <c r="O8483"/>
      <c r="P8483"/>
    </row>
    <row r="8484" spans="12:16">
      <c r="L8484"/>
      <c r="M8484"/>
      <c r="O8484"/>
      <c r="P8484"/>
    </row>
    <row r="8485" spans="12:16">
      <c r="L8485"/>
      <c r="M8485"/>
      <c r="O8485"/>
      <c r="P8485"/>
    </row>
    <row r="8486" spans="12:16">
      <c r="L8486"/>
      <c r="M8486"/>
      <c r="O8486"/>
      <c r="P8486"/>
    </row>
    <row r="8487" spans="12:16">
      <c r="L8487"/>
      <c r="M8487"/>
      <c r="O8487"/>
      <c r="P8487"/>
    </row>
    <row r="8488" spans="12:16">
      <c r="L8488"/>
      <c r="M8488"/>
      <c r="O8488"/>
      <c r="P8488"/>
    </row>
    <row r="8489" spans="12:16">
      <c r="L8489"/>
      <c r="M8489"/>
      <c r="O8489"/>
      <c r="P8489"/>
    </row>
    <row r="8490" spans="12:16">
      <c r="L8490"/>
      <c r="M8490"/>
      <c r="O8490"/>
      <c r="P8490"/>
    </row>
    <row r="8491" spans="12:16">
      <c r="L8491"/>
      <c r="M8491"/>
      <c r="O8491"/>
      <c r="P8491"/>
    </row>
    <row r="8492" spans="12:16">
      <c r="L8492"/>
      <c r="M8492"/>
      <c r="O8492"/>
      <c r="P8492"/>
    </row>
    <row r="8493" spans="12:16">
      <c r="L8493"/>
      <c r="M8493"/>
      <c r="O8493"/>
      <c r="P8493"/>
    </row>
    <row r="8494" spans="12:16">
      <c r="L8494"/>
      <c r="M8494"/>
      <c r="O8494"/>
      <c r="P8494"/>
    </row>
    <row r="8495" spans="12:16">
      <c r="L8495"/>
      <c r="M8495"/>
      <c r="O8495"/>
      <c r="P8495"/>
    </row>
    <row r="8496" spans="12:16">
      <c r="L8496"/>
      <c r="M8496"/>
      <c r="O8496"/>
      <c r="P8496"/>
    </row>
    <row r="8497" spans="12:16">
      <c r="L8497"/>
      <c r="M8497"/>
      <c r="O8497"/>
      <c r="P8497"/>
    </row>
    <row r="8498" spans="12:16">
      <c r="L8498"/>
      <c r="M8498"/>
      <c r="O8498"/>
      <c r="P8498"/>
    </row>
    <row r="8499" spans="12:16">
      <c r="L8499"/>
      <c r="M8499"/>
      <c r="O8499"/>
      <c r="P8499"/>
    </row>
    <row r="8500" spans="12:16">
      <c r="L8500"/>
      <c r="M8500"/>
      <c r="O8500"/>
      <c r="P8500"/>
    </row>
    <row r="8501" spans="12:16">
      <c r="L8501"/>
      <c r="M8501"/>
      <c r="O8501"/>
      <c r="P8501"/>
    </row>
    <row r="8502" spans="12:16">
      <c r="L8502"/>
      <c r="M8502"/>
      <c r="O8502"/>
      <c r="P8502"/>
    </row>
    <row r="8503" spans="12:16">
      <c r="L8503"/>
      <c r="M8503"/>
      <c r="O8503"/>
      <c r="P8503"/>
    </row>
    <row r="8504" spans="12:16">
      <c r="L8504"/>
      <c r="M8504"/>
      <c r="O8504"/>
      <c r="P8504"/>
    </row>
    <row r="8505" spans="12:16">
      <c r="L8505"/>
      <c r="M8505"/>
      <c r="O8505"/>
      <c r="P8505"/>
    </row>
    <row r="8506" spans="12:16">
      <c r="L8506"/>
      <c r="M8506"/>
      <c r="O8506"/>
      <c r="P8506"/>
    </row>
    <row r="8507" spans="12:16">
      <c r="L8507"/>
      <c r="M8507"/>
      <c r="O8507"/>
      <c r="P8507"/>
    </row>
    <row r="8508" spans="12:16">
      <c r="L8508"/>
      <c r="M8508"/>
      <c r="O8508"/>
      <c r="P8508"/>
    </row>
    <row r="8509" spans="12:16">
      <c r="L8509"/>
      <c r="M8509"/>
      <c r="O8509"/>
      <c r="P8509"/>
    </row>
    <row r="8510" spans="12:16">
      <c r="L8510"/>
      <c r="M8510"/>
      <c r="O8510"/>
      <c r="P8510"/>
    </row>
    <row r="8511" spans="12:16">
      <c r="L8511"/>
      <c r="M8511"/>
      <c r="O8511"/>
      <c r="P8511"/>
    </row>
    <row r="8512" spans="12:16">
      <c r="L8512"/>
      <c r="M8512"/>
      <c r="O8512"/>
      <c r="P8512"/>
    </row>
    <row r="8513" spans="12:16">
      <c r="L8513"/>
      <c r="M8513"/>
      <c r="O8513"/>
      <c r="P8513"/>
    </row>
    <row r="8514" spans="12:16">
      <c r="L8514"/>
      <c r="M8514"/>
      <c r="O8514"/>
      <c r="P8514"/>
    </row>
    <row r="8515" spans="12:16">
      <c r="L8515"/>
      <c r="M8515"/>
      <c r="O8515"/>
      <c r="P8515"/>
    </row>
    <row r="8516" spans="12:16">
      <c r="L8516"/>
      <c r="M8516"/>
      <c r="O8516"/>
      <c r="P8516"/>
    </row>
    <row r="8517" spans="12:16">
      <c r="L8517"/>
      <c r="M8517"/>
      <c r="O8517"/>
      <c r="P8517"/>
    </row>
    <row r="8518" spans="12:16">
      <c r="L8518"/>
      <c r="M8518"/>
      <c r="O8518"/>
      <c r="P8518"/>
    </row>
    <row r="8519" spans="12:16">
      <c r="L8519"/>
      <c r="M8519"/>
      <c r="O8519"/>
      <c r="P8519"/>
    </row>
    <row r="8520" spans="12:16">
      <c r="L8520"/>
      <c r="M8520"/>
      <c r="O8520"/>
      <c r="P8520"/>
    </row>
    <row r="8521" spans="12:16">
      <c r="L8521"/>
      <c r="M8521"/>
      <c r="O8521"/>
      <c r="P8521"/>
    </row>
    <row r="8522" spans="12:16">
      <c r="L8522"/>
      <c r="M8522"/>
      <c r="O8522"/>
      <c r="P8522"/>
    </row>
    <row r="8523" spans="12:16">
      <c r="L8523"/>
      <c r="M8523"/>
      <c r="O8523"/>
      <c r="P8523"/>
    </row>
    <row r="8524" spans="12:16">
      <c r="L8524"/>
      <c r="M8524"/>
      <c r="O8524"/>
      <c r="P8524"/>
    </row>
    <row r="8525" spans="12:16">
      <c r="L8525"/>
      <c r="M8525"/>
      <c r="O8525"/>
      <c r="P8525"/>
    </row>
    <row r="8526" spans="12:16">
      <c r="L8526"/>
      <c r="M8526"/>
      <c r="O8526"/>
      <c r="P8526"/>
    </row>
    <row r="8527" spans="12:16">
      <c r="L8527"/>
      <c r="M8527"/>
      <c r="O8527"/>
      <c r="P8527"/>
    </row>
    <row r="8528" spans="12:16">
      <c r="L8528"/>
      <c r="M8528"/>
      <c r="O8528"/>
      <c r="P8528"/>
    </row>
    <row r="8529" spans="12:16">
      <c r="L8529"/>
      <c r="M8529"/>
      <c r="O8529"/>
      <c r="P8529"/>
    </row>
    <row r="8530" spans="12:16">
      <c r="L8530"/>
      <c r="M8530"/>
      <c r="O8530"/>
      <c r="P8530"/>
    </row>
    <row r="8531" spans="12:16">
      <c r="L8531"/>
      <c r="M8531"/>
      <c r="O8531"/>
      <c r="P8531"/>
    </row>
    <row r="8532" spans="12:16">
      <c r="L8532"/>
      <c r="M8532"/>
      <c r="O8532"/>
      <c r="P8532"/>
    </row>
    <row r="8533" spans="12:16">
      <c r="L8533"/>
      <c r="M8533"/>
      <c r="O8533"/>
      <c r="P8533"/>
    </row>
    <row r="8534" spans="12:16">
      <c r="L8534"/>
      <c r="M8534"/>
      <c r="O8534"/>
      <c r="P8534"/>
    </row>
    <row r="8535" spans="12:16">
      <c r="L8535"/>
      <c r="M8535"/>
      <c r="O8535"/>
      <c r="P8535"/>
    </row>
    <row r="8536" spans="12:16">
      <c r="L8536"/>
      <c r="M8536"/>
      <c r="O8536"/>
      <c r="P8536"/>
    </row>
    <row r="8537" spans="12:16">
      <c r="L8537"/>
      <c r="M8537"/>
      <c r="O8537"/>
      <c r="P8537"/>
    </row>
    <row r="8538" spans="12:16">
      <c r="L8538"/>
      <c r="M8538"/>
      <c r="O8538"/>
      <c r="P8538"/>
    </row>
    <row r="8539" spans="12:16">
      <c r="L8539"/>
      <c r="M8539"/>
      <c r="O8539"/>
      <c r="P8539"/>
    </row>
    <row r="8540" spans="12:16">
      <c r="L8540"/>
      <c r="M8540"/>
      <c r="O8540"/>
      <c r="P8540"/>
    </row>
    <row r="8541" spans="12:16">
      <c r="L8541"/>
      <c r="M8541"/>
      <c r="O8541"/>
      <c r="P8541"/>
    </row>
    <row r="8542" spans="12:16">
      <c r="L8542"/>
      <c r="M8542"/>
      <c r="O8542"/>
      <c r="P8542"/>
    </row>
    <row r="8543" spans="12:16">
      <c r="L8543"/>
      <c r="M8543"/>
      <c r="O8543"/>
      <c r="P8543"/>
    </row>
    <row r="8544" spans="12:16">
      <c r="L8544"/>
      <c r="M8544"/>
      <c r="O8544"/>
      <c r="P8544"/>
    </row>
    <row r="8545" spans="12:16">
      <c r="L8545"/>
      <c r="M8545"/>
      <c r="O8545"/>
      <c r="P8545"/>
    </row>
    <row r="8546" spans="12:16">
      <c r="L8546"/>
      <c r="M8546"/>
      <c r="O8546"/>
      <c r="P8546"/>
    </row>
    <row r="8547" spans="12:16">
      <c r="L8547"/>
      <c r="M8547"/>
      <c r="O8547"/>
      <c r="P8547"/>
    </row>
    <row r="8548" spans="12:16">
      <c r="L8548"/>
      <c r="M8548"/>
      <c r="O8548"/>
      <c r="P8548"/>
    </row>
    <row r="8549" spans="12:16">
      <c r="L8549"/>
      <c r="M8549"/>
      <c r="O8549"/>
      <c r="P8549"/>
    </row>
    <row r="8550" spans="12:16">
      <c r="L8550"/>
      <c r="M8550"/>
      <c r="O8550"/>
      <c r="P8550"/>
    </row>
    <row r="8551" spans="12:16">
      <c r="L8551"/>
      <c r="M8551"/>
      <c r="O8551"/>
      <c r="P8551"/>
    </row>
    <row r="8552" spans="12:16">
      <c r="L8552"/>
      <c r="M8552"/>
      <c r="O8552"/>
      <c r="P8552"/>
    </row>
    <row r="8553" spans="12:16">
      <c r="L8553"/>
      <c r="M8553"/>
      <c r="O8553"/>
      <c r="P8553"/>
    </row>
    <row r="8554" spans="12:16">
      <c r="L8554"/>
      <c r="M8554"/>
      <c r="O8554"/>
      <c r="P8554"/>
    </row>
    <row r="8555" spans="12:16">
      <c r="L8555"/>
      <c r="M8555"/>
      <c r="O8555"/>
      <c r="P8555"/>
    </row>
    <row r="8556" spans="12:16">
      <c r="L8556"/>
      <c r="M8556"/>
      <c r="O8556"/>
      <c r="P8556"/>
    </row>
    <row r="8557" spans="12:16">
      <c r="L8557"/>
      <c r="M8557"/>
      <c r="O8557"/>
      <c r="P8557"/>
    </row>
    <row r="8558" spans="12:16">
      <c r="L8558"/>
      <c r="M8558"/>
      <c r="O8558"/>
      <c r="P8558"/>
    </row>
    <row r="8559" spans="12:16">
      <c r="L8559"/>
      <c r="M8559"/>
      <c r="O8559"/>
      <c r="P8559"/>
    </row>
    <row r="8560" spans="12:16">
      <c r="L8560"/>
      <c r="M8560"/>
      <c r="O8560"/>
      <c r="P8560"/>
    </row>
    <row r="8561" spans="12:16">
      <c r="L8561"/>
      <c r="M8561"/>
      <c r="O8561"/>
      <c r="P8561"/>
    </row>
    <row r="8562" spans="12:16">
      <c r="L8562"/>
      <c r="M8562"/>
      <c r="O8562"/>
      <c r="P8562"/>
    </row>
    <row r="8563" spans="12:16">
      <c r="L8563"/>
      <c r="M8563"/>
      <c r="O8563"/>
      <c r="P8563"/>
    </row>
    <row r="8564" spans="12:16">
      <c r="L8564"/>
      <c r="M8564"/>
      <c r="O8564"/>
      <c r="P8564"/>
    </row>
    <row r="8565" spans="12:16">
      <c r="L8565"/>
      <c r="M8565"/>
      <c r="O8565"/>
      <c r="P8565"/>
    </row>
    <row r="8566" spans="12:16">
      <c r="L8566"/>
      <c r="M8566"/>
      <c r="O8566"/>
      <c r="P8566"/>
    </row>
    <row r="8567" spans="12:16">
      <c r="L8567"/>
      <c r="M8567"/>
      <c r="O8567"/>
      <c r="P8567"/>
    </row>
    <row r="8568" spans="12:16">
      <c r="L8568"/>
      <c r="M8568"/>
      <c r="O8568"/>
      <c r="P8568"/>
    </row>
    <row r="8569" spans="12:16">
      <c r="L8569"/>
      <c r="M8569"/>
      <c r="O8569"/>
      <c r="P8569"/>
    </row>
    <row r="8570" spans="12:16">
      <c r="L8570"/>
      <c r="M8570"/>
      <c r="O8570"/>
      <c r="P8570"/>
    </row>
    <row r="8571" spans="12:16">
      <c r="L8571"/>
      <c r="M8571"/>
      <c r="O8571"/>
      <c r="P8571"/>
    </row>
    <row r="8572" spans="12:16">
      <c r="L8572"/>
      <c r="M8572"/>
      <c r="O8572"/>
      <c r="P8572"/>
    </row>
    <row r="8573" spans="12:16">
      <c r="L8573"/>
      <c r="M8573"/>
      <c r="O8573"/>
      <c r="P8573"/>
    </row>
    <row r="8574" spans="12:16">
      <c r="L8574"/>
      <c r="M8574"/>
      <c r="O8574"/>
      <c r="P8574"/>
    </row>
    <row r="8575" spans="12:16">
      <c r="L8575"/>
      <c r="M8575"/>
      <c r="O8575"/>
      <c r="P8575"/>
    </row>
    <row r="8576" spans="12:16">
      <c r="L8576"/>
      <c r="M8576"/>
      <c r="O8576"/>
      <c r="P8576"/>
    </row>
    <row r="8577" spans="12:16">
      <c r="L8577"/>
      <c r="M8577"/>
      <c r="O8577"/>
      <c r="P8577"/>
    </row>
    <row r="8578" spans="12:16">
      <c r="L8578"/>
      <c r="M8578"/>
      <c r="O8578"/>
      <c r="P8578"/>
    </row>
    <row r="8579" spans="12:16">
      <c r="L8579"/>
      <c r="M8579"/>
      <c r="O8579"/>
      <c r="P8579"/>
    </row>
    <row r="8580" spans="12:16">
      <c r="L8580"/>
      <c r="M8580"/>
      <c r="O8580"/>
      <c r="P8580"/>
    </row>
    <row r="8581" spans="12:16">
      <c r="L8581"/>
      <c r="M8581"/>
      <c r="O8581"/>
      <c r="P8581"/>
    </row>
    <row r="8582" spans="12:16">
      <c r="L8582"/>
      <c r="M8582"/>
      <c r="O8582"/>
      <c r="P8582"/>
    </row>
    <row r="8583" spans="12:16">
      <c r="L8583"/>
      <c r="M8583"/>
      <c r="O8583"/>
      <c r="P8583"/>
    </row>
    <row r="8584" spans="12:16">
      <c r="L8584"/>
      <c r="M8584"/>
      <c r="O8584"/>
      <c r="P8584"/>
    </row>
    <row r="8585" spans="12:16">
      <c r="L8585"/>
      <c r="M8585"/>
      <c r="O8585"/>
      <c r="P8585"/>
    </row>
    <row r="8586" spans="12:16">
      <c r="L8586"/>
      <c r="M8586"/>
      <c r="O8586"/>
      <c r="P8586"/>
    </row>
    <row r="8587" spans="12:16">
      <c r="L8587"/>
      <c r="M8587"/>
      <c r="O8587"/>
      <c r="P8587"/>
    </row>
    <row r="8588" spans="12:16">
      <c r="L8588"/>
      <c r="M8588"/>
      <c r="O8588"/>
      <c r="P8588"/>
    </row>
    <row r="8589" spans="12:16">
      <c r="L8589"/>
      <c r="M8589"/>
      <c r="O8589"/>
      <c r="P8589"/>
    </row>
    <row r="8590" spans="12:16">
      <c r="L8590"/>
      <c r="M8590"/>
      <c r="O8590"/>
      <c r="P8590"/>
    </row>
    <row r="8591" spans="12:16">
      <c r="L8591"/>
      <c r="M8591"/>
      <c r="O8591"/>
      <c r="P8591"/>
    </row>
    <row r="8592" spans="12:16">
      <c r="L8592"/>
      <c r="M8592"/>
      <c r="O8592"/>
      <c r="P8592"/>
    </row>
    <row r="8593" spans="12:16">
      <c r="L8593"/>
      <c r="M8593"/>
      <c r="O8593"/>
      <c r="P8593"/>
    </row>
    <row r="8594" spans="12:16">
      <c r="L8594"/>
      <c r="M8594"/>
      <c r="O8594"/>
      <c r="P8594"/>
    </row>
    <row r="8595" spans="12:16">
      <c r="L8595"/>
      <c r="M8595"/>
      <c r="O8595"/>
      <c r="P8595"/>
    </row>
    <row r="8596" spans="12:16">
      <c r="L8596"/>
      <c r="M8596"/>
      <c r="O8596"/>
      <c r="P8596"/>
    </row>
    <row r="8597" spans="12:16">
      <c r="L8597"/>
      <c r="M8597"/>
      <c r="O8597"/>
      <c r="P8597"/>
    </row>
    <row r="8598" spans="12:16">
      <c r="L8598"/>
      <c r="M8598"/>
      <c r="O8598"/>
      <c r="P8598"/>
    </row>
    <row r="8599" spans="12:16">
      <c r="L8599"/>
      <c r="M8599"/>
      <c r="O8599"/>
      <c r="P8599"/>
    </row>
    <row r="8600" spans="12:16">
      <c r="L8600"/>
      <c r="M8600"/>
      <c r="O8600"/>
      <c r="P8600"/>
    </row>
    <row r="8601" spans="12:16">
      <c r="L8601"/>
      <c r="M8601"/>
      <c r="O8601"/>
      <c r="P8601"/>
    </row>
    <row r="8602" spans="12:16">
      <c r="L8602"/>
      <c r="M8602"/>
      <c r="O8602"/>
      <c r="P8602"/>
    </row>
    <row r="8603" spans="12:16">
      <c r="L8603"/>
      <c r="M8603"/>
      <c r="O8603"/>
      <c r="P8603"/>
    </row>
    <row r="8604" spans="12:16">
      <c r="L8604"/>
      <c r="M8604"/>
      <c r="O8604"/>
      <c r="P8604"/>
    </row>
    <row r="8605" spans="12:16">
      <c r="L8605"/>
      <c r="M8605"/>
      <c r="O8605"/>
      <c r="P8605"/>
    </row>
    <row r="8606" spans="12:16">
      <c r="L8606"/>
      <c r="M8606"/>
      <c r="O8606"/>
      <c r="P8606"/>
    </row>
    <row r="8607" spans="12:16">
      <c r="L8607"/>
      <c r="M8607"/>
      <c r="O8607"/>
      <c r="P8607"/>
    </row>
    <row r="8608" spans="12:16">
      <c r="L8608"/>
      <c r="M8608"/>
      <c r="O8608"/>
      <c r="P8608"/>
    </row>
    <row r="8609" spans="12:16">
      <c r="L8609"/>
      <c r="M8609"/>
      <c r="O8609"/>
      <c r="P8609"/>
    </row>
    <row r="8610" spans="12:16">
      <c r="L8610"/>
      <c r="M8610"/>
      <c r="O8610"/>
      <c r="P8610"/>
    </row>
    <row r="8611" spans="12:16">
      <c r="L8611"/>
      <c r="M8611"/>
      <c r="O8611"/>
      <c r="P8611"/>
    </row>
    <row r="8612" spans="12:16">
      <c r="L8612"/>
      <c r="M8612"/>
      <c r="O8612"/>
      <c r="P8612"/>
    </row>
    <row r="8613" spans="12:16">
      <c r="L8613"/>
      <c r="M8613"/>
      <c r="O8613"/>
      <c r="P8613"/>
    </row>
    <row r="8614" spans="12:16">
      <c r="L8614"/>
      <c r="M8614"/>
      <c r="O8614"/>
      <c r="P8614"/>
    </row>
    <row r="8615" spans="12:16">
      <c r="L8615"/>
      <c r="M8615"/>
      <c r="O8615"/>
      <c r="P8615"/>
    </row>
    <row r="8616" spans="12:16">
      <c r="L8616"/>
      <c r="M8616"/>
      <c r="O8616"/>
      <c r="P8616"/>
    </row>
    <row r="8617" spans="12:16">
      <c r="L8617"/>
      <c r="M8617"/>
      <c r="O8617"/>
      <c r="P8617"/>
    </row>
    <row r="8618" spans="12:16">
      <c r="L8618"/>
      <c r="M8618"/>
      <c r="O8618"/>
      <c r="P8618"/>
    </row>
    <row r="8619" spans="12:16">
      <c r="L8619"/>
      <c r="M8619"/>
      <c r="O8619"/>
      <c r="P8619"/>
    </row>
    <row r="8620" spans="12:16">
      <c r="L8620"/>
      <c r="M8620"/>
      <c r="O8620"/>
      <c r="P8620"/>
    </row>
    <row r="8621" spans="12:16">
      <c r="L8621"/>
      <c r="M8621"/>
      <c r="O8621"/>
      <c r="P8621"/>
    </row>
    <row r="8622" spans="12:16">
      <c r="L8622"/>
      <c r="M8622"/>
      <c r="O8622"/>
      <c r="P8622"/>
    </row>
    <row r="8623" spans="12:16">
      <c r="L8623"/>
      <c r="M8623"/>
      <c r="O8623"/>
      <c r="P8623"/>
    </row>
    <row r="8624" spans="12:16">
      <c r="L8624"/>
      <c r="M8624"/>
      <c r="O8624"/>
      <c r="P8624"/>
    </row>
    <row r="8625" spans="12:16">
      <c r="L8625"/>
      <c r="M8625"/>
      <c r="O8625"/>
      <c r="P8625"/>
    </row>
    <row r="8626" spans="12:16">
      <c r="L8626"/>
      <c r="M8626"/>
      <c r="O8626"/>
      <c r="P8626"/>
    </row>
    <row r="8627" spans="12:16">
      <c r="L8627"/>
      <c r="M8627"/>
      <c r="O8627"/>
      <c r="P8627"/>
    </row>
    <row r="8628" spans="12:16">
      <c r="L8628"/>
      <c r="M8628"/>
      <c r="O8628"/>
      <c r="P8628"/>
    </row>
    <row r="8629" spans="12:16">
      <c r="L8629"/>
      <c r="M8629"/>
      <c r="O8629"/>
      <c r="P8629"/>
    </row>
    <row r="8630" spans="12:16">
      <c r="L8630"/>
      <c r="M8630"/>
      <c r="O8630"/>
      <c r="P8630"/>
    </row>
    <row r="8631" spans="12:16">
      <c r="L8631"/>
      <c r="M8631"/>
      <c r="O8631"/>
      <c r="P8631"/>
    </row>
    <row r="8632" spans="12:16">
      <c r="L8632"/>
      <c r="M8632"/>
      <c r="O8632"/>
      <c r="P8632"/>
    </row>
    <row r="8633" spans="12:16">
      <c r="L8633"/>
      <c r="M8633"/>
      <c r="O8633"/>
      <c r="P8633"/>
    </row>
    <row r="8634" spans="12:16">
      <c r="L8634"/>
      <c r="M8634"/>
      <c r="O8634"/>
      <c r="P8634"/>
    </row>
    <row r="8635" spans="12:16">
      <c r="L8635"/>
      <c r="M8635"/>
      <c r="O8635"/>
      <c r="P8635"/>
    </row>
    <row r="8636" spans="12:16">
      <c r="L8636"/>
      <c r="M8636"/>
      <c r="O8636"/>
      <c r="P8636"/>
    </row>
    <row r="8637" spans="12:16">
      <c r="L8637"/>
      <c r="M8637"/>
      <c r="O8637"/>
      <c r="P8637"/>
    </row>
    <row r="8638" spans="12:16">
      <c r="L8638"/>
      <c r="M8638"/>
      <c r="O8638"/>
      <c r="P8638"/>
    </row>
    <row r="8639" spans="12:16">
      <c r="L8639"/>
      <c r="M8639"/>
      <c r="O8639"/>
      <c r="P8639"/>
    </row>
    <row r="8640" spans="12:16">
      <c r="L8640"/>
      <c r="M8640"/>
      <c r="O8640"/>
      <c r="P8640"/>
    </row>
    <row r="8641" spans="12:16">
      <c r="L8641"/>
      <c r="M8641"/>
      <c r="O8641"/>
      <c r="P8641"/>
    </row>
    <row r="8642" spans="12:16">
      <c r="L8642"/>
      <c r="M8642"/>
      <c r="O8642"/>
      <c r="P8642"/>
    </row>
    <row r="8643" spans="12:16">
      <c r="L8643"/>
      <c r="M8643"/>
      <c r="O8643"/>
      <c r="P8643"/>
    </row>
    <row r="8644" spans="12:16">
      <c r="L8644"/>
      <c r="M8644"/>
      <c r="O8644"/>
      <c r="P8644"/>
    </row>
    <row r="8645" spans="12:16">
      <c r="L8645"/>
      <c r="M8645"/>
      <c r="O8645"/>
      <c r="P8645"/>
    </row>
    <row r="8646" spans="12:16">
      <c r="L8646"/>
      <c r="M8646"/>
      <c r="O8646"/>
      <c r="P8646"/>
    </row>
    <row r="8647" spans="12:16">
      <c r="L8647"/>
      <c r="M8647"/>
      <c r="O8647"/>
      <c r="P8647"/>
    </row>
    <row r="8648" spans="12:16">
      <c r="L8648"/>
      <c r="M8648"/>
      <c r="O8648"/>
      <c r="P8648"/>
    </row>
    <row r="8649" spans="12:16">
      <c r="L8649"/>
      <c r="M8649"/>
      <c r="O8649"/>
      <c r="P8649"/>
    </row>
    <row r="8650" spans="12:16">
      <c r="L8650"/>
      <c r="M8650"/>
      <c r="O8650"/>
      <c r="P8650"/>
    </row>
    <row r="8651" spans="12:16">
      <c r="L8651"/>
      <c r="M8651"/>
      <c r="O8651"/>
      <c r="P8651"/>
    </row>
    <row r="8652" spans="12:16">
      <c r="L8652"/>
      <c r="M8652"/>
      <c r="O8652"/>
      <c r="P8652"/>
    </row>
    <row r="8653" spans="12:16">
      <c r="L8653"/>
      <c r="M8653"/>
      <c r="O8653"/>
      <c r="P8653"/>
    </row>
    <row r="8654" spans="12:16">
      <c r="L8654"/>
      <c r="M8654"/>
      <c r="O8654"/>
      <c r="P8654"/>
    </row>
    <row r="8655" spans="12:16">
      <c r="L8655"/>
      <c r="M8655"/>
      <c r="O8655"/>
      <c r="P8655"/>
    </row>
    <row r="8656" spans="12:16">
      <c r="L8656"/>
      <c r="M8656"/>
      <c r="O8656"/>
      <c r="P8656"/>
    </row>
    <row r="8657" spans="12:16">
      <c r="L8657"/>
      <c r="M8657"/>
      <c r="O8657"/>
      <c r="P8657"/>
    </row>
    <row r="8658" spans="12:16">
      <c r="L8658"/>
      <c r="M8658"/>
      <c r="O8658"/>
      <c r="P8658"/>
    </row>
    <row r="8659" spans="12:16">
      <c r="L8659"/>
      <c r="M8659"/>
      <c r="O8659"/>
      <c r="P8659"/>
    </row>
    <row r="8660" spans="12:16">
      <c r="L8660"/>
      <c r="M8660"/>
      <c r="O8660"/>
      <c r="P8660"/>
    </row>
    <row r="8661" spans="12:16">
      <c r="L8661"/>
      <c r="M8661"/>
      <c r="O8661"/>
      <c r="P8661"/>
    </row>
    <row r="8662" spans="12:16">
      <c r="L8662"/>
      <c r="M8662"/>
      <c r="O8662"/>
      <c r="P8662"/>
    </row>
    <row r="8663" spans="12:16">
      <c r="L8663"/>
      <c r="M8663"/>
      <c r="O8663"/>
      <c r="P8663"/>
    </row>
    <row r="8664" spans="12:16">
      <c r="L8664"/>
      <c r="M8664"/>
      <c r="O8664"/>
      <c r="P8664"/>
    </row>
    <row r="8665" spans="12:16">
      <c r="L8665"/>
      <c r="M8665"/>
      <c r="O8665"/>
      <c r="P8665"/>
    </row>
    <row r="8666" spans="12:16">
      <c r="L8666"/>
      <c r="M8666"/>
      <c r="O8666"/>
      <c r="P8666"/>
    </row>
    <row r="8667" spans="12:16">
      <c r="L8667"/>
      <c r="M8667"/>
      <c r="O8667"/>
      <c r="P8667"/>
    </row>
    <row r="8668" spans="12:16">
      <c r="L8668"/>
      <c r="M8668"/>
      <c r="O8668"/>
      <c r="P8668"/>
    </row>
    <row r="8669" spans="12:16">
      <c r="L8669"/>
      <c r="M8669"/>
      <c r="O8669"/>
      <c r="P8669"/>
    </row>
    <row r="8670" spans="12:16">
      <c r="L8670"/>
      <c r="M8670"/>
      <c r="O8670"/>
      <c r="P8670"/>
    </row>
    <row r="8671" spans="12:16">
      <c r="L8671"/>
      <c r="M8671"/>
      <c r="O8671"/>
      <c r="P8671"/>
    </row>
    <row r="8672" spans="12:16">
      <c r="L8672"/>
      <c r="M8672"/>
      <c r="O8672"/>
      <c r="P8672"/>
    </row>
    <row r="8673" spans="12:16">
      <c r="L8673"/>
      <c r="M8673"/>
      <c r="O8673"/>
      <c r="P8673"/>
    </row>
    <row r="8674" spans="12:16">
      <c r="L8674"/>
      <c r="M8674"/>
      <c r="O8674"/>
      <c r="P8674"/>
    </row>
    <row r="8675" spans="12:16">
      <c r="L8675"/>
      <c r="M8675"/>
      <c r="O8675"/>
      <c r="P8675"/>
    </row>
    <row r="8676" spans="12:16">
      <c r="L8676"/>
      <c r="M8676"/>
      <c r="O8676"/>
      <c r="P8676"/>
    </row>
    <row r="8677" spans="12:16">
      <c r="L8677"/>
      <c r="M8677"/>
      <c r="O8677"/>
      <c r="P8677"/>
    </row>
    <row r="8678" spans="12:16">
      <c r="L8678"/>
      <c r="M8678"/>
      <c r="O8678"/>
      <c r="P8678"/>
    </row>
    <row r="8679" spans="12:16">
      <c r="L8679"/>
      <c r="M8679"/>
      <c r="O8679"/>
      <c r="P8679"/>
    </row>
    <row r="8680" spans="12:16">
      <c r="L8680"/>
      <c r="M8680"/>
      <c r="O8680"/>
      <c r="P8680"/>
    </row>
    <row r="8681" spans="12:16">
      <c r="L8681"/>
      <c r="M8681"/>
      <c r="O8681"/>
      <c r="P8681"/>
    </row>
    <row r="8682" spans="12:16">
      <c r="L8682"/>
      <c r="M8682"/>
      <c r="O8682"/>
      <c r="P8682"/>
    </row>
    <row r="8683" spans="12:16">
      <c r="L8683"/>
      <c r="M8683"/>
      <c r="O8683"/>
      <c r="P8683"/>
    </row>
    <row r="8684" spans="12:16">
      <c r="L8684"/>
      <c r="M8684"/>
      <c r="O8684"/>
      <c r="P8684"/>
    </row>
    <row r="8685" spans="12:16">
      <c r="L8685"/>
      <c r="M8685"/>
      <c r="O8685"/>
      <c r="P8685"/>
    </row>
    <row r="8686" spans="12:16">
      <c r="L8686"/>
      <c r="M8686"/>
      <c r="O8686"/>
      <c r="P8686"/>
    </row>
    <row r="8687" spans="12:16">
      <c r="L8687"/>
      <c r="M8687"/>
      <c r="O8687"/>
      <c r="P8687"/>
    </row>
    <row r="8688" spans="12:16">
      <c r="L8688"/>
      <c r="M8688"/>
      <c r="O8688"/>
      <c r="P8688"/>
    </row>
    <row r="8689" spans="12:16">
      <c r="L8689"/>
      <c r="M8689"/>
      <c r="O8689"/>
      <c r="P8689"/>
    </row>
    <row r="8690" spans="12:16">
      <c r="L8690"/>
      <c r="M8690"/>
      <c r="O8690"/>
      <c r="P8690"/>
    </row>
    <row r="8691" spans="12:16">
      <c r="L8691"/>
      <c r="M8691"/>
      <c r="O8691"/>
      <c r="P8691"/>
    </row>
    <row r="8692" spans="12:16">
      <c r="L8692"/>
      <c r="M8692"/>
      <c r="O8692"/>
      <c r="P8692"/>
    </row>
    <row r="8693" spans="12:16">
      <c r="L8693"/>
      <c r="M8693"/>
      <c r="O8693"/>
      <c r="P8693"/>
    </row>
    <row r="8694" spans="12:16">
      <c r="L8694"/>
      <c r="M8694"/>
      <c r="O8694"/>
      <c r="P8694"/>
    </row>
    <row r="8695" spans="12:16">
      <c r="L8695"/>
      <c r="M8695"/>
      <c r="O8695"/>
      <c r="P8695"/>
    </row>
    <row r="8696" spans="12:16">
      <c r="L8696"/>
      <c r="M8696"/>
      <c r="O8696"/>
      <c r="P8696"/>
    </row>
    <row r="8697" spans="12:16">
      <c r="L8697"/>
      <c r="M8697"/>
      <c r="O8697"/>
      <c r="P8697"/>
    </row>
    <row r="8698" spans="12:16">
      <c r="L8698"/>
      <c r="M8698"/>
      <c r="O8698"/>
      <c r="P8698"/>
    </row>
    <row r="8699" spans="12:16">
      <c r="L8699"/>
      <c r="M8699"/>
      <c r="O8699"/>
      <c r="P8699"/>
    </row>
    <row r="8700" spans="12:16">
      <c r="L8700"/>
      <c r="M8700"/>
      <c r="O8700"/>
      <c r="P8700"/>
    </row>
    <row r="8701" spans="12:16">
      <c r="L8701"/>
      <c r="M8701"/>
      <c r="O8701"/>
      <c r="P8701"/>
    </row>
    <row r="8702" spans="12:16">
      <c r="L8702"/>
      <c r="M8702"/>
      <c r="O8702"/>
      <c r="P8702"/>
    </row>
    <row r="8703" spans="12:16">
      <c r="L8703"/>
      <c r="M8703"/>
      <c r="O8703"/>
      <c r="P8703"/>
    </row>
    <row r="8704" spans="12:16">
      <c r="L8704"/>
      <c r="M8704"/>
      <c r="O8704"/>
      <c r="P8704"/>
    </row>
    <row r="8705" spans="12:16">
      <c r="L8705"/>
      <c r="M8705"/>
      <c r="O8705"/>
      <c r="P8705"/>
    </row>
    <row r="8706" spans="12:16">
      <c r="L8706"/>
      <c r="M8706"/>
      <c r="O8706"/>
      <c r="P8706"/>
    </row>
    <row r="8707" spans="12:16">
      <c r="L8707"/>
      <c r="M8707"/>
      <c r="O8707"/>
      <c r="P8707"/>
    </row>
    <row r="8708" spans="12:16">
      <c r="L8708"/>
      <c r="M8708"/>
      <c r="O8708"/>
      <c r="P8708"/>
    </row>
    <row r="8709" spans="12:16">
      <c r="L8709"/>
      <c r="M8709"/>
      <c r="O8709"/>
      <c r="P8709"/>
    </row>
    <row r="8710" spans="12:16">
      <c r="L8710"/>
      <c r="M8710"/>
      <c r="O8710"/>
      <c r="P8710"/>
    </row>
    <row r="8711" spans="12:16">
      <c r="L8711"/>
      <c r="M8711"/>
      <c r="O8711"/>
      <c r="P8711"/>
    </row>
    <row r="8712" spans="12:16">
      <c r="L8712"/>
      <c r="M8712"/>
      <c r="O8712"/>
      <c r="P8712"/>
    </row>
    <row r="8713" spans="12:16">
      <c r="L8713"/>
      <c r="M8713"/>
      <c r="O8713"/>
      <c r="P8713"/>
    </row>
    <row r="8714" spans="12:16">
      <c r="L8714"/>
      <c r="M8714"/>
      <c r="O8714"/>
      <c r="P8714"/>
    </row>
    <row r="8715" spans="12:16">
      <c r="L8715"/>
      <c r="M8715"/>
      <c r="O8715"/>
      <c r="P8715"/>
    </row>
    <row r="8716" spans="12:16">
      <c r="L8716"/>
      <c r="M8716"/>
      <c r="O8716"/>
      <c r="P8716"/>
    </row>
    <row r="8717" spans="12:16">
      <c r="L8717"/>
      <c r="M8717"/>
      <c r="O8717"/>
      <c r="P8717"/>
    </row>
    <row r="8718" spans="12:16">
      <c r="L8718"/>
      <c r="M8718"/>
      <c r="O8718"/>
      <c r="P8718"/>
    </row>
    <row r="8719" spans="12:16">
      <c r="L8719"/>
      <c r="M8719"/>
      <c r="O8719"/>
      <c r="P8719"/>
    </row>
    <row r="8720" spans="12:16">
      <c r="L8720"/>
      <c r="M8720"/>
      <c r="O8720"/>
      <c r="P8720"/>
    </row>
    <row r="8721" spans="12:16">
      <c r="L8721"/>
      <c r="M8721"/>
      <c r="O8721"/>
      <c r="P8721"/>
    </row>
    <row r="8722" spans="12:16">
      <c r="L8722"/>
      <c r="M8722"/>
      <c r="O8722"/>
      <c r="P8722"/>
    </row>
    <row r="8723" spans="12:16">
      <c r="L8723"/>
      <c r="M8723"/>
      <c r="O8723"/>
      <c r="P8723"/>
    </row>
    <row r="8724" spans="12:16">
      <c r="L8724"/>
      <c r="M8724"/>
      <c r="O8724"/>
      <c r="P8724"/>
    </row>
    <row r="8725" spans="12:16">
      <c r="L8725"/>
      <c r="M8725"/>
      <c r="O8725"/>
      <c r="P8725"/>
    </row>
    <row r="8726" spans="12:16">
      <c r="L8726"/>
      <c r="M8726"/>
      <c r="O8726"/>
      <c r="P8726"/>
    </row>
    <row r="8727" spans="12:16">
      <c r="L8727"/>
      <c r="M8727"/>
      <c r="O8727"/>
      <c r="P8727"/>
    </row>
    <row r="8728" spans="12:16">
      <c r="L8728"/>
      <c r="M8728"/>
      <c r="O8728"/>
      <c r="P8728"/>
    </row>
    <row r="8729" spans="12:16">
      <c r="L8729"/>
      <c r="M8729"/>
      <c r="O8729"/>
      <c r="P8729"/>
    </row>
    <row r="8730" spans="12:16">
      <c r="L8730"/>
      <c r="M8730"/>
      <c r="O8730"/>
      <c r="P8730"/>
    </row>
    <row r="8731" spans="12:16">
      <c r="L8731"/>
      <c r="M8731"/>
      <c r="O8731"/>
      <c r="P8731"/>
    </row>
    <row r="8732" spans="12:16">
      <c r="L8732"/>
      <c r="M8732"/>
      <c r="O8732"/>
      <c r="P8732"/>
    </row>
    <row r="8733" spans="12:16">
      <c r="L8733"/>
      <c r="M8733"/>
      <c r="O8733"/>
      <c r="P8733"/>
    </row>
    <row r="8734" spans="12:16">
      <c r="L8734"/>
      <c r="M8734"/>
      <c r="O8734"/>
      <c r="P8734"/>
    </row>
    <row r="8735" spans="12:16">
      <c r="L8735"/>
      <c r="M8735"/>
      <c r="O8735"/>
      <c r="P8735"/>
    </row>
    <row r="8736" spans="12:16">
      <c r="L8736"/>
      <c r="M8736"/>
      <c r="O8736"/>
      <c r="P8736"/>
    </row>
    <row r="8737" spans="12:16">
      <c r="L8737"/>
      <c r="M8737"/>
      <c r="O8737"/>
      <c r="P8737"/>
    </row>
    <row r="8738" spans="12:16">
      <c r="L8738"/>
      <c r="M8738"/>
      <c r="O8738"/>
      <c r="P8738"/>
    </row>
    <row r="8739" spans="12:16">
      <c r="L8739"/>
      <c r="M8739"/>
      <c r="O8739"/>
      <c r="P8739"/>
    </row>
    <row r="8740" spans="12:16">
      <c r="L8740"/>
      <c r="M8740"/>
      <c r="O8740"/>
      <c r="P8740"/>
    </row>
    <row r="8741" spans="12:16">
      <c r="L8741"/>
      <c r="M8741"/>
      <c r="O8741"/>
      <c r="P8741"/>
    </row>
    <row r="8742" spans="12:16">
      <c r="L8742"/>
      <c r="M8742"/>
      <c r="O8742"/>
      <c r="P8742"/>
    </row>
    <row r="8743" spans="12:16">
      <c r="L8743"/>
      <c r="M8743"/>
      <c r="O8743"/>
      <c r="P8743"/>
    </row>
    <row r="8744" spans="12:16">
      <c r="L8744"/>
      <c r="M8744"/>
      <c r="O8744"/>
      <c r="P8744"/>
    </row>
    <row r="8745" spans="12:16">
      <c r="L8745"/>
      <c r="M8745"/>
      <c r="O8745"/>
      <c r="P8745"/>
    </row>
    <row r="8746" spans="12:16">
      <c r="L8746"/>
      <c r="M8746"/>
      <c r="O8746"/>
      <c r="P8746"/>
    </row>
    <row r="8747" spans="12:16">
      <c r="L8747"/>
      <c r="M8747"/>
      <c r="O8747"/>
      <c r="P8747"/>
    </row>
    <row r="8748" spans="12:16">
      <c r="L8748"/>
      <c r="M8748"/>
      <c r="O8748"/>
      <c r="P8748"/>
    </row>
    <row r="8749" spans="12:16">
      <c r="L8749"/>
      <c r="M8749"/>
      <c r="O8749"/>
      <c r="P8749"/>
    </row>
    <row r="8750" spans="12:16">
      <c r="L8750"/>
      <c r="M8750"/>
      <c r="O8750"/>
      <c r="P8750"/>
    </row>
    <row r="8751" spans="12:16">
      <c r="L8751"/>
      <c r="M8751"/>
      <c r="O8751"/>
      <c r="P8751"/>
    </row>
    <row r="8752" spans="12:16">
      <c r="L8752"/>
      <c r="M8752"/>
      <c r="O8752"/>
      <c r="P8752"/>
    </row>
    <row r="8753" spans="12:16">
      <c r="L8753"/>
      <c r="M8753"/>
      <c r="O8753"/>
      <c r="P8753"/>
    </row>
    <row r="8754" spans="12:16">
      <c r="L8754"/>
      <c r="M8754"/>
      <c r="O8754"/>
      <c r="P8754"/>
    </row>
    <row r="8755" spans="12:16">
      <c r="L8755"/>
      <c r="M8755"/>
      <c r="O8755"/>
      <c r="P8755"/>
    </row>
    <row r="8756" spans="12:16">
      <c r="L8756"/>
      <c r="M8756"/>
      <c r="O8756"/>
      <c r="P8756"/>
    </row>
    <row r="8757" spans="12:16">
      <c r="L8757"/>
      <c r="M8757"/>
      <c r="O8757"/>
      <c r="P8757"/>
    </row>
    <row r="8758" spans="12:16">
      <c r="L8758"/>
      <c r="M8758"/>
      <c r="O8758"/>
      <c r="P8758"/>
    </row>
    <row r="8759" spans="12:16">
      <c r="L8759"/>
      <c r="M8759"/>
      <c r="O8759"/>
      <c r="P8759"/>
    </row>
    <row r="8760" spans="12:16">
      <c r="L8760"/>
      <c r="M8760"/>
      <c r="O8760"/>
      <c r="P8760"/>
    </row>
    <row r="8761" spans="12:16">
      <c r="L8761"/>
      <c r="M8761"/>
      <c r="O8761"/>
      <c r="P8761"/>
    </row>
    <row r="8762" spans="12:16">
      <c r="L8762"/>
      <c r="M8762"/>
      <c r="O8762"/>
      <c r="P8762"/>
    </row>
    <row r="8763" spans="12:16">
      <c r="L8763"/>
      <c r="M8763"/>
      <c r="O8763"/>
      <c r="P8763"/>
    </row>
    <row r="8764" spans="12:16">
      <c r="L8764"/>
      <c r="M8764"/>
      <c r="O8764"/>
      <c r="P8764"/>
    </row>
    <row r="8765" spans="12:16">
      <c r="L8765"/>
      <c r="M8765"/>
      <c r="O8765"/>
      <c r="P8765"/>
    </row>
    <row r="8766" spans="12:16">
      <c r="L8766"/>
      <c r="M8766"/>
      <c r="O8766"/>
      <c r="P8766"/>
    </row>
    <row r="8767" spans="12:16">
      <c r="L8767"/>
      <c r="M8767"/>
      <c r="O8767"/>
      <c r="P8767"/>
    </row>
    <row r="8768" spans="12:16">
      <c r="L8768"/>
      <c r="M8768"/>
      <c r="O8768"/>
      <c r="P8768"/>
    </row>
    <row r="8769" spans="12:16">
      <c r="L8769"/>
      <c r="M8769"/>
      <c r="O8769"/>
      <c r="P8769"/>
    </row>
    <row r="8770" spans="12:16">
      <c r="L8770"/>
      <c r="M8770"/>
      <c r="O8770"/>
      <c r="P8770"/>
    </row>
    <row r="8771" spans="12:16">
      <c r="L8771"/>
      <c r="M8771"/>
      <c r="O8771"/>
      <c r="P8771"/>
    </row>
    <row r="8772" spans="12:16">
      <c r="L8772"/>
      <c r="M8772"/>
      <c r="O8772"/>
      <c r="P8772"/>
    </row>
    <row r="8773" spans="12:16">
      <c r="L8773"/>
      <c r="M8773"/>
      <c r="O8773"/>
      <c r="P8773"/>
    </row>
    <row r="8774" spans="12:16">
      <c r="L8774"/>
      <c r="M8774"/>
      <c r="O8774"/>
      <c r="P8774"/>
    </row>
    <row r="8775" spans="12:16">
      <c r="L8775"/>
      <c r="M8775"/>
      <c r="O8775"/>
      <c r="P8775"/>
    </row>
    <row r="8776" spans="12:16">
      <c r="L8776"/>
      <c r="M8776"/>
      <c r="O8776"/>
      <c r="P8776"/>
    </row>
    <row r="8777" spans="12:16">
      <c r="L8777"/>
      <c r="M8777"/>
      <c r="O8777"/>
      <c r="P8777"/>
    </row>
    <row r="8778" spans="12:16">
      <c r="L8778"/>
      <c r="M8778"/>
      <c r="O8778"/>
      <c r="P8778"/>
    </row>
    <row r="8779" spans="12:16">
      <c r="L8779"/>
      <c r="M8779"/>
      <c r="O8779"/>
      <c r="P8779"/>
    </row>
    <row r="8780" spans="12:16">
      <c r="L8780"/>
      <c r="M8780"/>
      <c r="O8780"/>
      <c r="P8780"/>
    </row>
    <row r="8781" spans="12:16">
      <c r="L8781"/>
      <c r="M8781"/>
      <c r="O8781"/>
      <c r="P8781"/>
    </row>
    <row r="8782" spans="12:16">
      <c r="L8782"/>
      <c r="M8782"/>
      <c r="O8782"/>
      <c r="P8782"/>
    </row>
    <row r="8783" spans="12:16">
      <c r="L8783"/>
      <c r="M8783"/>
      <c r="O8783"/>
      <c r="P8783"/>
    </row>
    <row r="8784" spans="12:16">
      <c r="L8784"/>
      <c r="M8784"/>
      <c r="O8784"/>
      <c r="P8784"/>
    </row>
    <row r="8785" spans="12:16">
      <c r="L8785"/>
      <c r="M8785"/>
      <c r="O8785"/>
      <c r="P8785"/>
    </row>
    <row r="8786" spans="12:16">
      <c r="L8786"/>
      <c r="M8786"/>
      <c r="O8786"/>
      <c r="P8786"/>
    </row>
    <row r="8787" spans="12:16">
      <c r="L8787"/>
      <c r="M8787"/>
      <c r="O8787"/>
      <c r="P8787"/>
    </row>
    <row r="8788" spans="12:16">
      <c r="L8788"/>
      <c r="M8788"/>
      <c r="O8788"/>
      <c r="P8788"/>
    </row>
    <row r="8789" spans="12:16">
      <c r="L8789"/>
      <c r="M8789"/>
      <c r="O8789"/>
      <c r="P8789"/>
    </row>
    <row r="8790" spans="12:16">
      <c r="L8790"/>
      <c r="M8790"/>
      <c r="O8790"/>
      <c r="P8790"/>
    </row>
    <row r="8791" spans="12:16">
      <c r="L8791"/>
      <c r="M8791"/>
      <c r="O8791"/>
      <c r="P8791"/>
    </row>
    <row r="8792" spans="12:16">
      <c r="L8792"/>
      <c r="M8792"/>
      <c r="O8792"/>
      <c r="P8792"/>
    </row>
    <row r="8793" spans="12:16">
      <c r="L8793"/>
      <c r="M8793"/>
      <c r="O8793"/>
      <c r="P8793"/>
    </row>
    <row r="8794" spans="12:16">
      <c r="L8794"/>
      <c r="M8794"/>
      <c r="O8794"/>
      <c r="P8794"/>
    </row>
    <row r="8795" spans="12:16">
      <c r="L8795"/>
      <c r="M8795"/>
      <c r="O8795"/>
      <c r="P8795"/>
    </row>
    <row r="8796" spans="12:16">
      <c r="L8796"/>
      <c r="M8796"/>
      <c r="O8796"/>
      <c r="P8796"/>
    </row>
    <row r="8797" spans="12:16">
      <c r="L8797"/>
      <c r="M8797"/>
      <c r="O8797"/>
      <c r="P8797"/>
    </row>
    <row r="8798" spans="12:16">
      <c r="L8798"/>
      <c r="M8798"/>
      <c r="O8798"/>
      <c r="P8798"/>
    </row>
    <row r="8799" spans="12:16">
      <c r="L8799"/>
      <c r="M8799"/>
      <c r="O8799"/>
      <c r="P8799"/>
    </row>
    <row r="8800" spans="12:16">
      <c r="L8800"/>
      <c r="M8800"/>
      <c r="O8800"/>
      <c r="P8800"/>
    </row>
    <row r="8801" spans="12:16">
      <c r="L8801"/>
      <c r="M8801"/>
      <c r="O8801"/>
      <c r="P8801"/>
    </row>
    <row r="8802" spans="12:16">
      <c r="L8802"/>
      <c r="M8802"/>
      <c r="O8802"/>
      <c r="P8802"/>
    </row>
    <row r="8803" spans="12:16">
      <c r="L8803"/>
      <c r="M8803"/>
      <c r="O8803"/>
      <c r="P8803"/>
    </row>
    <row r="8804" spans="12:16">
      <c r="L8804"/>
      <c r="M8804"/>
      <c r="O8804"/>
      <c r="P8804"/>
    </row>
    <row r="8805" spans="12:16">
      <c r="L8805"/>
      <c r="M8805"/>
      <c r="O8805"/>
      <c r="P8805"/>
    </row>
    <row r="8806" spans="12:16">
      <c r="L8806"/>
      <c r="M8806"/>
      <c r="O8806"/>
      <c r="P8806"/>
    </row>
    <row r="8807" spans="12:16">
      <c r="L8807"/>
      <c r="M8807"/>
      <c r="O8807"/>
      <c r="P8807"/>
    </row>
    <row r="8808" spans="12:16">
      <c r="L8808"/>
      <c r="M8808"/>
      <c r="O8808"/>
      <c r="P8808"/>
    </row>
    <row r="8809" spans="12:16">
      <c r="L8809"/>
      <c r="M8809"/>
      <c r="O8809"/>
      <c r="P8809"/>
    </row>
    <row r="8810" spans="12:16">
      <c r="L8810"/>
      <c r="M8810"/>
      <c r="O8810"/>
      <c r="P8810"/>
    </row>
    <row r="8811" spans="12:16">
      <c r="L8811"/>
      <c r="M8811"/>
      <c r="O8811"/>
      <c r="P8811"/>
    </row>
    <row r="8812" spans="12:16">
      <c r="L8812"/>
      <c r="M8812"/>
      <c r="O8812"/>
      <c r="P8812"/>
    </row>
    <row r="8813" spans="12:16">
      <c r="L8813"/>
      <c r="M8813"/>
      <c r="O8813"/>
      <c r="P8813"/>
    </row>
    <row r="8814" spans="12:16">
      <c r="L8814"/>
      <c r="M8814"/>
      <c r="O8814"/>
      <c r="P8814"/>
    </row>
    <row r="8815" spans="12:16">
      <c r="L8815"/>
      <c r="M8815"/>
      <c r="O8815"/>
      <c r="P8815"/>
    </row>
    <row r="8816" spans="12:16">
      <c r="L8816"/>
      <c r="M8816"/>
      <c r="O8816"/>
      <c r="P8816"/>
    </row>
    <row r="8817" spans="12:16">
      <c r="L8817"/>
      <c r="M8817"/>
      <c r="O8817"/>
      <c r="P8817"/>
    </row>
    <row r="8818" spans="12:16">
      <c r="L8818"/>
      <c r="M8818"/>
      <c r="O8818"/>
      <c r="P8818"/>
    </row>
    <row r="8819" spans="12:16">
      <c r="L8819"/>
      <c r="M8819"/>
      <c r="O8819"/>
      <c r="P8819"/>
    </row>
    <row r="8820" spans="12:16">
      <c r="L8820"/>
      <c r="M8820"/>
      <c r="O8820"/>
      <c r="P8820"/>
    </row>
    <row r="8821" spans="12:16">
      <c r="L8821"/>
      <c r="M8821"/>
      <c r="O8821"/>
      <c r="P8821"/>
    </row>
    <row r="8822" spans="12:16">
      <c r="L8822"/>
      <c r="M8822"/>
      <c r="O8822"/>
      <c r="P8822"/>
    </row>
    <row r="8823" spans="12:16">
      <c r="L8823"/>
      <c r="M8823"/>
      <c r="O8823"/>
      <c r="P8823"/>
    </row>
    <row r="8824" spans="12:16">
      <c r="L8824"/>
      <c r="M8824"/>
      <c r="O8824"/>
      <c r="P8824"/>
    </row>
    <row r="8825" spans="12:16">
      <c r="L8825"/>
      <c r="M8825"/>
      <c r="O8825"/>
      <c r="P8825"/>
    </row>
    <row r="8826" spans="12:16">
      <c r="L8826"/>
      <c r="M8826"/>
      <c r="O8826"/>
      <c r="P8826"/>
    </row>
    <row r="8827" spans="12:16">
      <c r="L8827"/>
      <c r="M8827"/>
      <c r="O8827"/>
      <c r="P8827"/>
    </row>
    <row r="8828" spans="12:16">
      <c r="L8828"/>
      <c r="M8828"/>
      <c r="O8828"/>
      <c r="P8828"/>
    </row>
    <row r="8829" spans="12:16">
      <c r="L8829"/>
      <c r="M8829"/>
      <c r="O8829"/>
      <c r="P8829"/>
    </row>
    <row r="8830" spans="12:16">
      <c r="L8830"/>
      <c r="M8830"/>
      <c r="O8830"/>
      <c r="P8830"/>
    </row>
    <row r="8831" spans="12:16">
      <c r="L8831"/>
      <c r="M8831"/>
      <c r="O8831"/>
      <c r="P8831"/>
    </row>
    <row r="8832" spans="12:16">
      <c r="L8832"/>
      <c r="M8832"/>
      <c r="O8832"/>
      <c r="P8832"/>
    </row>
    <row r="8833" spans="12:16">
      <c r="L8833"/>
      <c r="M8833"/>
      <c r="O8833"/>
      <c r="P8833"/>
    </row>
    <row r="8834" spans="12:16">
      <c r="L8834"/>
      <c r="M8834"/>
      <c r="O8834"/>
      <c r="P8834"/>
    </row>
    <row r="8835" spans="12:16">
      <c r="L8835"/>
      <c r="M8835"/>
      <c r="O8835"/>
      <c r="P8835"/>
    </row>
    <row r="8836" spans="12:16">
      <c r="L8836"/>
      <c r="M8836"/>
      <c r="O8836"/>
      <c r="P8836"/>
    </row>
    <row r="8837" spans="12:16">
      <c r="L8837"/>
      <c r="M8837"/>
      <c r="O8837"/>
      <c r="P8837"/>
    </row>
    <row r="8838" spans="12:16">
      <c r="L8838"/>
      <c r="M8838"/>
      <c r="O8838"/>
      <c r="P8838"/>
    </row>
    <row r="8839" spans="12:16">
      <c r="L8839"/>
      <c r="M8839"/>
      <c r="O8839"/>
      <c r="P8839"/>
    </row>
    <row r="8840" spans="12:16">
      <c r="L8840"/>
      <c r="M8840"/>
      <c r="O8840"/>
      <c r="P8840"/>
    </row>
    <row r="8841" spans="12:16">
      <c r="L8841"/>
      <c r="M8841"/>
      <c r="O8841"/>
      <c r="P8841"/>
    </row>
    <row r="8842" spans="12:16">
      <c r="L8842"/>
      <c r="M8842"/>
      <c r="O8842"/>
      <c r="P8842"/>
    </row>
    <row r="8843" spans="12:16">
      <c r="L8843"/>
      <c r="M8843"/>
      <c r="O8843"/>
      <c r="P8843"/>
    </row>
    <row r="8844" spans="12:16">
      <c r="L8844"/>
      <c r="M8844"/>
      <c r="O8844"/>
      <c r="P8844"/>
    </row>
    <row r="8845" spans="12:16">
      <c r="L8845"/>
      <c r="M8845"/>
      <c r="O8845"/>
      <c r="P8845"/>
    </row>
    <row r="8846" spans="12:16">
      <c r="L8846"/>
      <c r="M8846"/>
      <c r="O8846"/>
      <c r="P8846"/>
    </row>
    <row r="8847" spans="12:16">
      <c r="L8847"/>
      <c r="M8847"/>
      <c r="O8847"/>
      <c r="P8847"/>
    </row>
    <row r="8848" spans="12:16">
      <c r="L8848"/>
      <c r="M8848"/>
      <c r="O8848"/>
      <c r="P8848"/>
    </row>
    <row r="8849" spans="12:16">
      <c r="L8849"/>
      <c r="M8849"/>
      <c r="O8849"/>
      <c r="P8849"/>
    </row>
    <row r="8850" spans="12:16">
      <c r="L8850"/>
      <c r="M8850"/>
      <c r="O8850"/>
      <c r="P8850"/>
    </row>
    <row r="8851" spans="12:16">
      <c r="L8851"/>
      <c r="M8851"/>
      <c r="O8851"/>
      <c r="P8851"/>
    </row>
    <row r="8852" spans="12:16">
      <c r="L8852"/>
      <c r="M8852"/>
      <c r="O8852"/>
      <c r="P8852"/>
    </row>
    <row r="8853" spans="12:16">
      <c r="L8853"/>
      <c r="M8853"/>
      <c r="O8853"/>
      <c r="P8853"/>
    </row>
    <row r="8854" spans="12:16">
      <c r="L8854"/>
      <c r="M8854"/>
      <c r="O8854"/>
      <c r="P8854"/>
    </row>
    <row r="8855" spans="12:16">
      <c r="L8855"/>
      <c r="M8855"/>
      <c r="O8855"/>
      <c r="P8855"/>
    </row>
    <row r="8856" spans="12:16">
      <c r="L8856"/>
      <c r="M8856"/>
      <c r="O8856"/>
      <c r="P8856"/>
    </row>
    <row r="8857" spans="12:16">
      <c r="L8857"/>
      <c r="M8857"/>
      <c r="O8857"/>
      <c r="P8857"/>
    </row>
    <row r="8858" spans="12:16">
      <c r="L8858"/>
      <c r="M8858"/>
      <c r="O8858"/>
      <c r="P8858"/>
    </row>
    <row r="8859" spans="12:16">
      <c r="L8859"/>
      <c r="M8859"/>
      <c r="O8859"/>
      <c r="P8859"/>
    </row>
    <row r="8860" spans="12:16">
      <c r="L8860"/>
      <c r="M8860"/>
      <c r="O8860"/>
      <c r="P8860"/>
    </row>
    <row r="8861" spans="12:16">
      <c r="L8861"/>
      <c r="M8861"/>
      <c r="O8861"/>
      <c r="P8861"/>
    </row>
    <row r="8862" spans="12:16">
      <c r="L8862"/>
      <c r="M8862"/>
      <c r="O8862"/>
      <c r="P8862"/>
    </row>
    <row r="8863" spans="12:16">
      <c r="L8863"/>
      <c r="M8863"/>
      <c r="O8863"/>
      <c r="P8863"/>
    </row>
    <row r="8864" spans="12:16">
      <c r="L8864"/>
      <c r="M8864"/>
      <c r="O8864"/>
      <c r="P8864"/>
    </row>
    <row r="8865" spans="12:16">
      <c r="L8865"/>
      <c r="M8865"/>
      <c r="O8865"/>
      <c r="P8865"/>
    </row>
    <row r="8866" spans="12:16">
      <c r="L8866"/>
      <c r="M8866"/>
      <c r="O8866"/>
      <c r="P8866"/>
    </row>
    <row r="8867" spans="12:16">
      <c r="L8867"/>
      <c r="M8867"/>
      <c r="O8867"/>
      <c r="P8867"/>
    </row>
    <row r="8868" spans="12:16">
      <c r="L8868"/>
      <c r="M8868"/>
      <c r="O8868"/>
      <c r="P8868"/>
    </row>
    <row r="8869" spans="12:16">
      <c r="L8869"/>
      <c r="M8869"/>
      <c r="O8869"/>
      <c r="P8869"/>
    </row>
    <row r="8870" spans="12:16">
      <c r="L8870"/>
      <c r="M8870"/>
      <c r="O8870"/>
      <c r="P8870"/>
    </row>
    <row r="8871" spans="12:16">
      <c r="L8871"/>
      <c r="M8871"/>
      <c r="O8871"/>
      <c r="P8871"/>
    </row>
    <row r="8872" spans="12:16">
      <c r="L8872"/>
      <c r="M8872"/>
      <c r="O8872"/>
      <c r="P8872"/>
    </row>
    <row r="8873" spans="12:16">
      <c r="L8873"/>
      <c r="M8873"/>
      <c r="O8873"/>
      <c r="P8873"/>
    </row>
    <row r="8874" spans="12:16">
      <c r="L8874"/>
      <c r="M8874"/>
      <c r="O8874"/>
      <c r="P8874"/>
    </row>
    <row r="8875" spans="12:16">
      <c r="L8875"/>
      <c r="M8875"/>
      <c r="O8875"/>
      <c r="P8875"/>
    </row>
    <row r="8876" spans="12:16">
      <c r="L8876"/>
      <c r="M8876"/>
      <c r="O8876"/>
      <c r="P8876"/>
    </row>
    <row r="8877" spans="12:16">
      <c r="L8877"/>
      <c r="M8877"/>
      <c r="O8877"/>
      <c r="P8877"/>
    </row>
    <row r="8878" spans="12:16">
      <c r="L8878"/>
      <c r="M8878"/>
      <c r="O8878"/>
      <c r="P8878"/>
    </row>
    <row r="8879" spans="12:16">
      <c r="L8879"/>
      <c r="M8879"/>
      <c r="O8879"/>
      <c r="P8879"/>
    </row>
    <row r="8880" spans="12:16">
      <c r="L8880"/>
      <c r="M8880"/>
      <c r="O8880"/>
      <c r="P8880"/>
    </row>
    <row r="8881" spans="12:16">
      <c r="L8881"/>
      <c r="M8881"/>
      <c r="O8881"/>
      <c r="P8881"/>
    </row>
    <row r="8882" spans="12:16">
      <c r="L8882"/>
      <c r="M8882"/>
      <c r="O8882"/>
      <c r="P8882"/>
    </row>
    <row r="8883" spans="12:16">
      <c r="L8883"/>
      <c r="M8883"/>
      <c r="O8883"/>
      <c r="P8883"/>
    </row>
    <row r="8884" spans="12:16">
      <c r="L8884"/>
      <c r="M8884"/>
      <c r="O8884"/>
      <c r="P8884"/>
    </row>
    <row r="8885" spans="12:16">
      <c r="L8885"/>
      <c r="M8885"/>
      <c r="O8885"/>
      <c r="P8885"/>
    </row>
    <row r="8886" spans="12:16">
      <c r="L8886"/>
      <c r="M8886"/>
      <c r="O8886"/>
      <c r="P8886"/>
    </row>
    <row r="8887" spans="12:16">
      <c r="L8887"/>
      <c r="M8887"/>
      <c r="O8887"/>
      <c r="P8887"/>
    </row>
    <row r="8888" spans="12:16">
      <c r="L8888"/>
      <c r="M8888"/>
      <c r="O8888"/>
      <c r="P8888"/>
    </row>
    <row r="8889" spans="12:16">
      <c r="L8889"/>
      <c r="M8889"/>
      <c r="O8889"/>
      <c r="P8889"/>
    </row>
    <row r="8890" spans="12:16">
      <c r="L8890"/>
      <c r="M8890"/>
      <c r="O8890"/>
      <c r="P8890"/>
    </row>
    <row r="8891" spans="12:16">
      <c r="L8891"/>
      <c r="M8891"/>
      <c r="O8891"/>
      <c r="P8891"/>
    </row>
    <row r="8892" spans="12:16">
      <c r="L8892"/>
      <c r="M8892"/>
      <c r="O8892"/>
      <c r="P8892"/>
    </row>
    <row r="8893" spans="12:16">
      <c r="L8893"/>
      <c r="M8893"/>
      <c r="O8893"/>
      <c r="P8893"/>
    </row>
    <row r="8894" spans="12:16">
      <c r="L8894"/>
      <c r="M8894"/>
      <c r="O8894"/>
      <c r="P8894"/>
    </row>
    <row r="8895" spans="12:16">
      <c r="L8895"/>
      <c r="M8895"/>
      <c r="O8895"/>
      <c r="P8895"/>
    </row>
    <row r="8896" spans="12:16">
      <c r="L8896"/>
      <c r="M8896"/>
      <c r="O8896"/>
      <c r="P8896"/>
    </row>
    <row r="8897" spans="12:16">
      <c r="L8897"/>
      <c r="M8897"/>
      <c r="O8897"/>
      <c r="P8897"/>
    </row>
    <row r="8898" spans="12:16">
      <c r="L8898"/>
      <c r="M8898"/>
      <c r="O8898"/>
      <c r="P8898"/>
    </row>
    <row r="8899" spans="12:16">
      <c r="L8899"/>
      <c r="M8899"/>
      <c r="O8899"/>
      <c r="P8899"/>
    </row>
    <row r="8900" spans="12:16">
      <c r="L8900"/>
      <c r="M8900"/>
      <c r="O8900"/>
      <c r="P8900"/>
    </row>
    <row r="8901" spans="12:16">
      <c r="L8901"/>
      <c r="M8901"/>
      <c r="O8901"/>
      <c r="P8901"/>
    </row>
    <row r="8902" spans="12:16">
      <c r="L8902"/>
      <c r="M8902"/>
      <c r="O8902"/>
      <c r="P8902"/>
    </row>
    <row r="8903" spans="12:16">
      <c r="L8903"/>
      <c r="M8903"/>
      <c r="O8903"/>
      <c r="P8903"/>
    </row>
    <row r="8904" spans="12:16">
      <c r="L8904"/>
      <c r="M8904"/>
      <c r="O8904"/>
      <c r="P8904"/>
    </row>
    <row r="8905" spans="12:16">
      <c r="L8905"/>
      <c r="M8905"/>
      <c r="O8905"/>
      <c r="P8905"/>
    </row>
    <row r="8906" spans="12:16">
      <c r="L8906"/>
      <c r="M8906"/>
      <c r="O8906"/>
      <c r="P8906"/>
    </row>
    <row r="8907" spans="12:16">
      <c r="L8907"/>
      <c r="M8907"/>
      <c r="O8907"/>
      <c r="P8907"/>
    </row>
    <row r="8908" spans="12:16">
      <c r="L8908"/>
      <c r="M8908"/>
      <c r="O8908"/>
      <c r="P8908"/>
    </row>
    <row r="8909" spans="12:16">
      <c r="L8909"/>
      <c r="M8909"/>
      <c r="O8909"/>
      <c r="P8909"/>
    </row>
    <row r="8910" spans="12:16">
      <c r="L8910"/>
      <c r="M8910"/>
      <c r="O8910"/>
      <c r="P8910"/>
    </row>
    <row r="8911" spans="12:16">
      <c r="L8911"/>
      <c r="M8911"/>
      <c r="O8911"/>
      <c r="P8911"/>
    </row>
    <row r="8912" spans="12:16">
      <c r="L8912"/>
      <c r="M8912"/>
      <c r="O8912"/>
      <c r="P8912"/>
    </row>
    <row r="8913" spans="12:16">
      <c r="L8913"/>
      <c r="M8913"/>
      <c r="O8913"/>
      <c r="P8913"/>
    </row>
    <row r="8914" spans="12:16">
      <c r="L8914"/>
      <c r="M8914"/>
      <c r="O8914"/>
      <c r="P8914"/>
    </row>
    <row r="8915" spans="12:16">
      <c r="L8915"/>
      <c r="M8915"/>
      <c r="O8915"/>
      <c r="P8915"/>
    </row>
    <row r="8916" spans="12:16">
      <c r="L8916"/>
      <c r="M8916"/>
      <c r="O8916"/>
      <c r="P8916"/>
    </row>
    <row r="8917" spans="12:16">
      <c r="L8917"/>
      <c r="M8917"/>
      <c r="O8917"/>
      <c r="P8917"/>
    </row>
    <row r="8918" spans="12:16">
      <c r="L8918"/>
      <c r="M8918"/>
      <c r="O8918"/>
      <c r="P8918"/>
    </row>
    <row r="8919" spans="12:16">
      <c r="L8919"/>
      <c r="M8919"/>
      <c r="O8919"/>
      <c r="P8919"/>
    </row>
    <row r="8920" spans="12:16">
      <c r="L8920"/>
      <c r="M8920"/>
      <c r="O8920"/>
      <c r="P8920"/>
    </row>
    <row r="8921" spans="12:16">
      <c r="L8921"/>
      <c r="M8921"/>
      <c r="O8921"/>
      <c r="P8921"/>
    </row>
    <row r="8922" spans="12:16">
      <c r="L8922"/>
      <c r="M8922"/>
      <c r="O8922"/>
      <c r="P8922"/>
    </row>
    <row r="8923" spans="12:16">
      <c r="L8923"/>
      <c r="M8923"/>
      <c r="O8923"/>
      <c r="P8923"/>
    </row>
    <row r="8924" spans="12:16">
      <c r="L8924"/>
      <c r="M8924"/>
      <c r="O8924"/>
      <c r="P8924"/>
    </row>
    <row r="8925" spans="12:16">
      <c r="L8925"/>
      <c r="M8925"/>
      <c r="O8925"/>
      <c r="P8925"/>
    </row>
    <row r="8926" spans="12:16">
      <c r="L8926"/>
      <c r="M8926"/>
      <c r="O8926"/>
      <c r="P8926"/>
    </row>
    <row r="8927" spans="12:16">
      <c r="L8927"/>
      <c r="M8927"/>
      <c r="O8927"/>
      <c r="P8927"/>
    </row>
    <row r="8928" spans="12:16">
      <c r="L8928"/>
      <c r="M8928"/>
      <c r="O8928"/>
      <c r="P8928"/>
    </row>
    <row r="8929" spans="12:16">
      <c r="L8929"/>
      <c r="M8929"/>
      <c r="O8929"/>
      <c r="P8929"/>
    </row>
    <row r="8930" spans="12:16">
      <c r="L8930"/>
      <c r="M8930"/>
      <c r="O8930"/>
      <c r="P8930"/>
    </row>
    <row r="8931" spans="12:16">
      <c r="L8931"/>
      <c r="M8931"/>
      <c r="O8931"/>
      <c r="P8931"/>
    </row>
    <row r="8932" spans="12:16">
      <c r="L8932"/>
      <c r="M8932"/>
      <c r="O8932"/>
      <c r="P8932"/>
    </row>
    <row r="8933" spans="12:16">
      <c r="L8933"/>
      <c r="M8933"/>
      <c r="O8933"/>
      <c r="P8933"/>
    </row>
    <row r="8934" spans="12:16">
      <c r="L8934"/>
      <c r="M8934"/>
      <c r="O8934"/>
      <c r="P8934"/>
    </row>
    <row r="8935" spans="12:16">
      <c r="L8935"/>
      <c r="M8935"/>
      <c r="O8935"/>
      <c r="P8935"/>
    </row>
    <row r="8936" spans="12:16">
      <c r="L8936"/>
      <c r="M8936"/>
      <c r="O8936"/>
      <c r="P8936"/>
    </row>
    <row r="8937" spans="12:16">
      <c r="L8937"/>
      <c r="M8937"/>
      <c r="O8937"/>
      <c r="P8937"/>
    </row>
    <row r="8938" spans="12:16">
      <c r="L8938"/>
      <c r="M8938"/>
      <c r="O8938"/>
      <c r="P8938"/>
    </row>
    <row r="8939" spans="12:16">
      <c r="L8939"/>
      <c r="M8939"/>
      <c r="O8939"/>
      <c r="P8939"/>
    </row>
    <row r="8940" spans="12:16">
      <c r="L8940"/>
      <c r="M8940"/>
      <c r="O8940"/>
      <c r="P8940"/>
    </row>
    <row r="8941" spans="12:16">
      <c r="L8941"/>
      <c r="M8941"/>
      <c r="O8941"/>
      <c r="P8941"/>
    </row>
    <row r="8942" spans="12:16">
      <c r="L8942"/>
      <c r="M8942"/>
      <c r="O8942"/>
      <c r="P8942"/>
    </row>
    <row r="8943" spans="12:16">
      <c r="L8943"/>
      <c r="M8943"/>
      <c r="O8943"/>
      <c r="P8943"/>
    </row>
    <row r="8944" spans="12:16">
      <c r="L8944"/>
      <c r="M8944"/>
      <c r="O8944"/>
      <c r="P8944"/>
    </row>
    <row r="8945" spans="12:16">
      <c r="L8945"/>
      <c r="M8945"/>
      <c r="O8945"/>
      <c r="P8945"/>
    </row>
    <row r="8946" spans="12:16">
      <c r="L8946"/>
      <c r="M8946"/>
      <c r="O8946"/>
      <c r="P8946"/>
    </row>
    <row r="8947" spans="12:16">
      <c r="L8947"/>
      <c r="M8947"/>
      <c r="O8947"/>
      <c r="P8947"/>
    </row>
    <row r="8948" spans="12:16">
      <c r="L8948"/>
      <c r="M8948"/>
      <c r="O8948"/>
      <c r="P8948"/>
    </row>
    <row r="8949" spans="12:16">
      <c r="L8949"/>
      <c r="M8949"/>
      <c r="O8949"/>
      <c r="P8949"/>
    </row>
    <row r="8950" spans="12:16">
      <c r="L8950"/>
      <c r="M8950"/>
      <c r="O8950"/>
      <c r="P8950"/>
    </row>
    <row r="8951" spans="12:16">
      <c r="L8951"/>
      <c r="M8951"/>
      <c r="O8951"/>
      <c r="P8951"/>
    </row>
    <row r="8952" spans="12:16">
      <c r="L8952"/>
      <c r="M8952"/>
      <c r="O8952"/>
      <c r="P8952"/>
    </row>
    <row r="8953" spans="12:16">
      <c r="L8953"/>
      <c r="M8953"/>
      <c r="O8953"/>
      <c r="P8953"/>
    </row>
    <row r="8954" spans="12:16">
      <c r="L8954"/>
      <c r="M8954"/>
      <c r="O8954"/>
      <c r="P8954"/>
    </row>
    <row r="8955" spans="12:16">
      <c r="L8955"/>
      <c r="M8955"/>
      <c r="O8955"/>
      <c r="P8955"/>
    </row>
    <row r="8956" spans="12:16">
      <c r="L8956"/>
      <c r="M8956"/>
      <c r="O8956"/>
      <c r="P8956"/>
    </row>
    <row r="8957" spans="12:16">
      <c r="L8957"/>
      <c r="M8957"/>
      <c r="O8957"/>
      <c r="P8957"/>
    </row>
    <row r="8958" spans="12:16">
      <c r="L8958"/>
      <c r="M8958"/>
      <c r="O8958"/>
      <c r="P8958"/>
    </row>
    <row r="8959" spans="12:16">
      <c r="L8959"/>
      <c r="M8959"/>
      <c r="O8959"/>
      <c r="P8959"/>
    </row>
    <row r="8960" spans="12:16">
      <c r="L8960"/>
      <c r="M8960"/>
      <c r="O8960"/>
      <c r="P8960"/>
    </row>
    <row r="8961" spans="12:16">
      <c r="L8961"/>
      <c r="M8961"/>
      <c r="O8961"/>
      <c r="P8961"/>
    </row>
    <row r="8962" spans="12:16">
      <c r="L8962"/>
      <c r="M8962"/>
      <c r="O8962"/>
      <c r="P8962"/>
    </row>
    <row r="8963" spans="12:16">
      <c r="L8963"/>
      <c r="M8963"/>
      <c r="O8963"/>
      <c r="P8963"/>
    </row>
    <row r="8964" spans="12:16">
      <c r="L8964"/>
      <c r="M8964"/>
      <c r="O8964"/>
      <c r="P8964"/>
    </row>
    <row r="8965" spans="12:16">
      <c r="L8965"/>
      <c r="M8965"/>
      <c r="O8965"/>
      <c r="P8965"/>
    </row>
    <row r="8966" spans="12:16">
      <c r="L8966"/>
      <c r="M8966"/>
      <c r="O8966"/>
      <c r="P8966"/>
    </row>
    <row r="8967" spans="12:16">
      <c r="L8967"/>
      <c r="M8967"/>
      <c r="O8967"/>
      <c r="P8967"/>
    </row>
    <row r="8968" spans="12:16">
      <c r="L8968"/>
      <c r="M8968"/>
      <c r="O8968"/>
      <c r="P8968"/>
    </row>
    <row r="8969" spans="12:16">
      <c r="L8969"/>
      <c r="M8969"/>
      <c r="O8969"/>
      <c r="P8969"/>
    </row>
    <row r="8970" spans="12:16">
      <c r="L8970"/>
      <c r="M8970"/>
      <c r="O8970"/>
      <c r="P8970"/>
    </row>
    <row r="8971" spans="12:16">
      <c r="L8971"/>
      <c r="M8971"/>
      <c r="O8971"/>
      <c r="P8971"/>
    </row>
    <row r="8972" spans="12:16">
      <c r="L8972"/>
      <c r="M8972"/>
      <c r="O8972"/>
      <c r="P8972"/>
    </row>
    <row r="8973" spans="12:16">
      <c r="L8973"/>
      <c r="M8973"/>
      <c r="O8973"/>
      <c r="P8973"/>
    </row>
    <row r="8974" spans="12:16">
      <c r="L8974"/>
      <c r="M8974"/>
      <c r="O8974"/>
      <c r="P8974"/>
    </row>
    <row r="8975" spans="12:16">
      <c r="L8975"/>
      <c r="M8975"/>
      <c r="O8975"/>
      <c r="P8975"/>
    </row>
    <row r="8976" spans="12:16">
      <c r="L8976"/>
      <c r="M8976"/>
      <c r="O8976"/>
      <c r="P8976"/>
    </row>
    <row r="8977" spans="12:16">
      <c r="L8977"/>
      <c r="M8977"/>
      <c r="O8977"/>
      <c r="P8977"/>
    </row>
    <row r="8978" spans="12:16">
      <c r="L8978"/>
      <c r="M8978"/>
      <c r="O8978"/>
      <c r="P8978"/>
    </row>
    <row r="8979" spans="12:16">
      <c r="L8979"/>
      <c r="M8979"/>
      <c r="O8979"/>
      <c r="P8979"/>
    </row>
    <row r="8980" spans="12:16">
      <c r="L8980"/>
      <c r="M8980"/>
      <c r="O8980"/>
      <c r="P8980"/>
    </row>
    <row r="8981" spans="12:16">
      <c r="L8981"/>
      <c r="M8981"/>
      <c r="O8981"/>
      <c r="P8981"/>
    </row>
    <row r="8982" spans="12:16">
      <c r="L8982"/>
      <c r="M8982"/>
      <c r="O8982"/>
      <c r="P8982"/>
    </row>
    <row r="8983" spans="12:16">
      <c r="L8983"/>
      <c r="M8983"/>
      <c r="O8983"/>
      <c r="P8983"/>
    </row>
    <row r="8984" spans="12:16">
      <c r="L8984"/>
      <c r="M8984"/>
      <c r="O8984"/>
      <c r="P8984"/>
    </row>
    <row r="8985" spans="12:16">
      <c r="L8985"/>
      <c r="M8985"/>
      <c r="O8985"/>
      <c r="P8985"/>
    </row>
    <row r="8986" spans="12:16">
      <c r="L8986"/>
      <c r="M8986"/>
      <c r="O8986"/>
      <c r="P8986"/>
    </row>
    <row r="8987" spans="12:16">
      <c r="L8987"/>
      <c r="M8987"/>
      <c r="O8987"/>
      <c r="P8987"/>
    </row>
    <row r="8988" spans="12:16">
      <c r="L8988"/>
      <c r="M8988"/>
      <c r="O8988"/>
      <c r="P8988"/>
    </row>
    <row r="8989" spans="12:16">
      <c r="L8989"/>
      <c r="M8989"/>
      <c r="O8989"/>
      <c r="P8989"/>
    </row>
    <row r="8990" spans="12:16">
      <c r="L8990"/>
      <c r="M8990"/>
      <c r="O8990"/>
      <c r="P8990"/>
    </row>
    <row r="8991" spans="12:16">
      <c r="L8991"/>
      <c r="M8991"/>
      <c r="O8991"/>
      <c r="P8991"/>
    </row>
    <row r="8992" spans="12:16">
      <c r="L8992"/>
      <c r="M8992"/>
      <c r="O8992"/>
      <c r="P8992"/>
    </row>
    <row r="8993" spans="12:16">
      <c r="L8993"/>
      <c r="M8993"/>
      <c r="O8993"/>
      <c r="P8993"/>
    </row>
    <row r="8994" spans="12:16">
      <c r="L8994"/>
      <c r="M8994"/>
      <c r="O8994"/>
      <c r="P8994"/>
    </row>
    <row r="8995" spans="12:16">
      <c r="L8995"/>
      <c r="M8995"/>
      <c r="O8995"/>
      <c r="P8995"/>
    </row>
    <row r="8996" spans="12:16">
      <c r="L8996"/>
      <c r="M8996"/>
      <c r="O8996"/>
      <c r="P8996"/>
    </row>
    <row r="8997" spans="12:16">
      <c r="L8997"/>
      <c r="M8997"/>
      <c r="O8997"/>
      <c r="P8997"/>
    </row>
    <row r="8998" spans="12:16">
      <c r="L8998"/>
      <c r="M8998"/>
      <c r="O8998"/>
      <c r="P8998"/>
    </row>
    <row r="8999" spans="12:16">
      <c r="L8999"/>
      <c r="M8999"/>
      <c r="O8999"/>
      <c r="P8999"/>
    </row>
    <row r="9000" spans="12:16">
      <c r="L9000"/>
      <c r="M9000"/>
      <c r="O9000"/>
      <c r="P9000"/>
    </row>
    <row r="9001" spans="12:16">
      <c r="L9001"/>
      <c r="M9001"/>
      <c r="O9001"/>
      <c r="P9001"/>
    </row>
    <row r="9002" spans="12:16">
      <c r="L9002"/>
      <c r="M9002"/>
      <c r="O9002"/>
      <c r="P9002"/>
    </row>
    <row r="9003" spans="12:16">
      <c r="L9003"/>
      <c r="M9003"/>
      <c r="O9003"/>
      <c r="P9003"/>
    </row>
    <row r="9004" spans="12:16">
      <c r="L9004"/>
      <c r="M9004"/>
      <c r="O9004"/>
      <c r="P9004"/>
    </row>
    <row r="9005" spans="12:16">
      <c r="L9005"/>
      <c r="M9005"/>
      <c r="O9005"/>
      <c r="P9005"/>
    </row>
    <row r="9006" spans="12:16">
      <c r="L9006"/>
      <c r="M9006"/>
      <c r="O9006"/>
      <c r="P9006"/>
    </row>
    <row r="9007" spans="12:16">
      <c r="L9007"/>
      <c r="M9007"/>
      <c r="O9007"/>
      <c r="P9007"/>
    </row>
    <row r="9008" spans="12:16">
      <c r="L9008"/>
      <c r="M9008"/>
      <c r="O9008"/>
      <c r="P9008"/>
    </row>
    <row r="9009" spans="12:16">
      <c r="L9009"/>
      <c r="M9009"/>
      <c r="O9009"/>
      <c r="P9009"/>
    </row>
    <row r="9010" spans="12:16">
      <c r="L9010"/>
      <c r="M9010"/>
      <c r="O9010"/>
      <c r="P9010"/>
    </row>
    <row r="9011" spans="12:16">
      <c r="L9011"/>
      <c r="M9011"/>
      <c r="O9011"/>
      <c r="P9011"/>
    </row>
    <row r="9012" spans="12:16">
      <c r="L9012"/>
      <c r="M9012"/>
      <c r="O9012"/>
      <c r="P9012"/>
    </row>
    <row r="9013" spans="12:16">
      <c r="L9013"/>
      <c r="M9013"/>
      <c r="O9013"/>
      <c r="P9013"/>
    </row>
    <row r="9014" spans="12:16">
      <c r="L9014"/>
      <c r="M9014"/>
      <c r="O9014"/>
      <c r="P9014"/>
    </row>
    <row r="9015" spans="12:16">
      <c r="L9015"/>
      <c r="M9015"/>
      <c r="O9015"/>
      <c r="P9015"/>
    </row>
    <row r="9016" spans="12:16">
      <c r="L9016"/>
      <c r="M9016"/>
      <c r="O9016"/>
      <c r="P9016"/>
    </row>
    <row r="9017" spans="12:16">
      <c r="L9017"/>
      <c r="M9017"/>
      <c r="O9017"/>
      <c r="P9017"/>
    </row>
    <row r="9018" spans="12:16">
      <c r="L9018"/>
      <c r="M9018"/>
      <c r="O9018"/>
      <c r="P9018"/>
    </row>
    <row r="9019" spans="12:16">
      <c r="L9019"/>
      <c r="M9019"/>
      <c r="O9019"/>
      <c r="P9019"/>
    </row>
    <row r="9020" spans="12:16">
      <c r="L9020"/>
      <c r="M9020"/>
      <c r="O9020"/>
      <c r="P9020"/>
    </row>
    <row r="9021" spans="12:16">
      <c r="L9021"/>
      <c r="M9021"/>
      <c r="O9021"/>
      <c r="P9021"/>
    </row>
    <row r="9022" spans="12:16">
      <c r="L9022"/>
      <c r="M9022"/>
      <c r="O9022"/>
      <c r="P9022"/>
    </row>
    <row r="9023" spans="12:16">
      <c r="L9023"/>
      <c r="M9023"/>
      <c r="O9023"/>
      <c r="P9023"/>
    </row>
    <row r="9024" spans="12:16">
      <c r="L9024"/>
      <c r="M9024"/>
      <c r="O9024"/>
      <c r="P9024"/>
    </row>
    <row r="9025" spans="12:16">
      <c r="L9025"/>
      <c r="M9025"/>
      <c r="O9025"/>
      <c r="P9025"/>
    </row>
    <row r="9026" spans="12:16">
      <c r="L9026"/>
      <c r="M9026"/>
      <c r="O9026"/>
      <c r="P9026"/>
    </row>
    <row r="9027" spans="12:16">
      <c r="L9027"/>
      <c r="M9027"/>
      <c r="O9027"/>
      <c r="P9027"/>
    </row>
    <row r="9028" spans="12:16">
      <c r="L9028"/>
      <c r="M9028"/>
      <c r="O9028"/>
      <c r="P9028"/>
    </row>
    <row r="9029" spans="12:16">
      <c r="L9029"/>
      <c r="M9029"/>
      <c r="O9029"/>
      <c r="P9029"/>
    </row>
    <row r="9030" spans="12:16">
      <c r="L9030"/>
      <c r="M9030"/>
      <c r="O9030"/>
      <c r="P9030"/>
    </row>
    <row r="9031" spans="12:16">
      <c r="L9031"/>
      <c r="M9031"/>
      <c r="O9031"/>
      <c r="P9031"/>
    </row>
    <row r="9032" spans="12:16">
      <c r="L9032"/>
      <c r="M9032"/>
      <c r="O9032"/>
      <c r="P9032"/>
    </row>
    <row r="9033" spans="12:16">
      <c r="L9033"/>
      <c r="M9033"/>
      <c r="O9033"/>
      <c r="P9033"/>
    </row>
    <row r="9034" spans="12:16">
      <c r="L9034"/>
      <c r="M9034"/>
      <c r="O9034"/>
      <c r="P9034"/>
    </row>
    <row r="9035" spans="12:16">
      <c r="L9035"/>
      <c r="M9035"/>
      <c r="O9035"/>
      <c r="P9035"/>
    </row>
    <row r="9036" spans="12:16">
      <c r="L9036"/>
      <c r="M9036"/>
      <c r="O9036"/>
      <c r="P9036"/>
    </row>
    <row r="9037" spans="12:16">
      <c r="L9037"/>
      <c r="M9037"/>
      <c r="O9037"/>
      <c r="P9037"/>
    </row>
    <row r="9038" spans="12:16">
      <c r="L9038"/>
      <c r="M9038"/>
      <c r="O9038"/>
      <c r="P9038"/>
    </row>
    <row r="9039" spans="12:16">
      <c r="L9039"/>
      <c r="M9039"/>
      <c r="O9039"/>
      <c r="P9039"/>
    </row>
    <row r="9040" spans="12:16">
      <c r="L9040"/>
      <c r="M9040"/>
      <c r="O9040"/>
      <c r="P9040"/>
    </row>
    <row r="9041" spans="12:16">
      <c r="L9041"/>
      <c r="M9041"/>
      <c r="O9041"/>
      <c r="P9041"/>
    </row>
    <row r="9042" spans="12:16">
      <c r="L9042"/>
      <c r="M9042"/>
      <c r="O9042"/>
      <c r="P9042"/>
    </row>
    <row r="9043" spans="12:16">
      <c r="L9043"/>
      <c r="M9043"/>
      <c r="O9043"/>
      <c r="P9043"/>
    </row>
    <row r="9044" spans="12:16">
      <c r="L9044"/>
      <c r="M9044"/>
      <c r="O9044"/>
      <c r="P9044"/>
    </row>
    <row r="9045" spans="12:16">
      <c r="L9045"/>
      <c r="M9045"/>
      <c r="O9045"/>
      <c r="P9045"/>
    </row>
    <row r="9046" spans="12:16">
      <c r="L9046"/>
      <c r="M9046"/>
      <c r="O9046"/>
      <c r="P9046"/>
    </row>
    <row r="9047" spans="12:16">
      <c r="L9047"/>
      <c r="M9047"/>
      <c r="O9047"/>
      <c r="P9047"/>
    </row>
    <row r="9048" spans="12:16">
      <c r="L9048"/>
      <c r="M9048"/>
      <c r="O9048"/>
      <c r="P9048"/>
    </row>
    <row r="9049" spans="12:16">
      <c r="L9049"/>
      <c r="M9049"/>
      <c r="O9049"/>
      <c r="P9049"/>
    </row>
    <row r="9050" spans="12:16">
      <c r="L9050"/>
      <c r="M9050"/>
      <c r="O9050"/>
      <c r="P9050"/>
    </row>
    <row r="9051" spans="12:16">
      <c r="L9051"/>
      <c r="M9051"/>
      <c r="O9051"/>
      <c r="P9051"/>
    </row>
    <row r="9052" spans="12:16">
      <c r="L9052"/>
      <c r="M9052"/>
      <c r="O9052"/>
      <c r="P9052"/>
    </row>
    <row r="9053" spans="12:16">
      <c r="L9053"/>
      <c r="M9053"/>
      <c r="O9053"/>
      <c r="P9053"/>
    </row>
    <row r="9054" spans="12:16">
      <c r="L9054"/>
      <c r="M9054"/>
      <c r="O9054"/>
      <c r="P9054"/>
    </row>
    <row r="9055" spans="12:16">
      <c r="L9055"/>
      <c r="M9055"/>
      <c r="O9055"/>
      <c r="P9055"/>
    </row>
    <row r="9056" spans="12:16">
      <c r="L9056"/>
      <c r="M9056"/>
      <c r="O9056"/>
      <c r="P9056"/>
    </row>
    <row r="9057" spans="12:16">
      <c r="L9057"/>
      <c r="M9057"/>
      <c r="O9057"/>
      <c r="P9057"/>
    </row>
    <row r="9058" spans="12:16">
      <c r="L9058"/>
      <c r="M9058"/>
      <c r="O9058"/>
      <c r="P9058"/>
    </row>
    <row r="9059" spans="12:16">
      <c r="L9059"/>
      <c r="M9059"/>
      <c r="O9059"/>
      <c r="P9059"/>
    </row>
    <row r="9060" spans="12:16">
      <c r="L9060"/>
      <c r="M9060"/>
      <c r="O9060"/>
      <c r="P9060"/>
    </row>
    <row r="9061" spans="12:16">
      <c r="L9061"/>
      <c r="M9061"/>
      <c r="O9061"/>
      <c r="P9061"/>
    </row>
    <row r="9062" spans="12:16">
      <c r="L9062"/>
      <c r="M9062"/>
      <c r="O9062"/>
      <c r="P9062"/>
    </row>
    <row r="9063" spans="12:16">
      <c r="L9063"/>
      <c r="M9063"/>
      <c r="O9063"/>
      <c r="P9063"/>
    </row>
    <row r="9064" spans="12:16">
      <c r="L9064"/>
      <c r="M9064"/>
      <c r="O9064"/>
      <c r="P9064"/>
    </row>
    <row r="9065" spans="12:16">
      <c r="L9065"/>
      <c r="M9065"/>
      <c r="O9065"/>
      <c r="P9065"/>
    </row>
    <row r="9066" spans="12:16">
      <c r="L9066"/>
      <c r="M9066"/>
      <c r="O9066"/>
      <c r="P9066"/>
    </row>
    <row r="9067" spans="12:16">
      <c r="L9067"/>
      <c r="M9067"/>
      <c r="O9067"/>
      <c r="P9067"/>
    </row>
    <row r="9068" spans="12:16">
      <c r="L9068"/>
      <c r="M9068"/>
      <c r="O9068"/>
      <c r="P9068"/>
    </row>
    <row r="9069" spans="12:16">
      <c r="L9069"/>
      <c r="M9069"/>
      <c r="O9069"/>
      <c r="P9069"/>
    </row>
    <row r="9070" spans="12:16">
      <c r="L9070"/>
      <c r="M9070"/>
      <c r="O9070"/>
      <c r="P9070"/>
    </row>
    <row r="9071" spans="12:16">
      <c r="L9071"/>
      <c r="M9071"/>
      <c r="O9071"/>
      <c r="P9071"/>
    </row>
    <row r="9072" spans="12:16">
      <c r="L9072"/>
      <c r="M9072"/>
      <c r="O9072"/>
      <c r="P9072"/>
    </row>
    <row r="9073" spans="12:16">
      <c r="L9073"/>
      <c r="M9073"/>
      <c r="O9073"/>
      <c r="P9073"/>
    </row>
    <row r="9074" spans="12:16">
      <c r="L9074"/>
      <c r="M9074"/>
      <c r="O9074"/>
      <c r="P9074"/>
    </row>
    <row r="9075" spans="12:16">
      <c r="L9075"/>
      <c r="M9075"/>
      <c r="O9075"/>
      <c r="P9075"/>
    </row>
    <row r="9076" spans="12:16">
      <c r="L9076"/>
      <c r="M9076"/>
      <c r="O9076"/>
      <c r="P9076"/>
    </row>
    <row r="9077" spans="12:16">
      <c r="L9077"/>
      <c r="M9077"/>
      <c r="O9077"/>
      <c r="P9077"/>
    </row>
    <row r="9078" spans="12:16">
      <c r="L9078"/>
      <c r="M9078"/>
      <c r="O9078"/>
      <c r="P9078"/>
    </row>
    <row r="9079" spans="12:16">
      <c r="L9079"/>
      <c r="M9079"/>
      <c r="O9079"/>
      <c r="P9079"/>
    </row>
    <row r="9080" spans="12:16">
      <c r="L9080"/>
      <c r="M9080"/>
      <c r="O9080"/>
      <c r="P9080"/>
    </row>
    <row r="9081" spans="12:16">
      <c r="L9081"/>
      <c r="M9081"/>
      <c r="O9081"/>
      <c r="P9081"/>
    </row>
    <row r="9082" spans="12:16">
      <c r="L9082"/>
      <c r="M9082"/>
      <c r="O9082"/>
      <c r="P9082"/>
    </row>
    <row r="9083" spans="12:16">
      <c r="L9083"/>
      <c r="M9083"/>
      <c r="O9083"/>
      <c r="P9083"/>
    </row>
    <row r="9084" spans="12:16">
      <c r="L9084"/>
      <c r="M9084"/>
      <c r="O9084"/>
      <c r="P9084"/>
    </row>
    <row r="9085" spans="12:16">
      <c r="L9085"/>
      <c r="M9085"/>
      <c r="O9085"/>
      <c r="P9085"/>
    </row>
    <row r="9086" spans="12:16">
      <c r="L9086"/>
      <c r="M9086"/>
      <c r="O9086"/>
      <c r="P9086"/>
    </row>
    <row r="9087" spans="12:16">
      <c r="L9087"/>
      <c r="M9087"/>
      <c r="O9087"/>
      <c r="P9087"/>
    </row>
    <row r="9088" spans="12:16">
      <c r="L9088"/>
      <c r="M9088"/>
      <c r="O9088"/>
      <c r="P9088"/>
    </row>
    <row r="9089" spans="12:16">
      <c r="L9089"/>
      <c r="M9089"/>
      <c r="O9089"/>
      <c r="P9089"/>
    </row>
    <row r="9090" spans="12:16">
      <c r="L9090"/>
      <c r="M9090"/>
      <c r="O9090"/>
      <c r="P9090"/>
    </row>
    <row r="9091" spans="12:16">
      <c r="L9091"/>
      <c r="M9091"/>
      <c r="O9091"/>
      <c r="P9091"/>
    </row>
    <row r="9092" spans="12:16">
      <c r="L9092"/>
      <c r="M9092"/>
      <c r="O9092"/>
      <c r="P9092"/>
    </row>
    <row r="9093" spans="12:16">
      <c r="L9093"/>
      <c r="M9093"/>
      <c r="O9093"/>
      <c r="P9093"/>
    </row>
    <row r="9094" spans="12:16">
      <c r="L9094"/>
      <c r="M9094"/>
      <c r="O9094"/>
      <c r="P9094"/>
    </row>
    <row r="9095" spans="12:16">
      <c r="L9095"/>
      <c r="M9095"/>
      <c r="O9095"/>
      <c r="P9095"/>
    </row>
    <row r="9096" spans="12:16">
      <c r="L9096"/>
      <c r="M9096"/>
      <c r="O9096"/>
      <c r="P9096"/>
    </row>
    <row r="9097" spans="12:16">
      <c r="L9097"/>
      <c r="M9097"/>
      <c r="O9097"/>
      <c r="P9097"/>
    </row>
    <row r="9098" spans="12:16">
      <c r="L9098"/>
      <c r="M9098"/>
      <c r="O9098"/>
      <c r="P9098"/>
    </row>
    <row r="9099" spans="12:16">
      <c r="L9099"/>
      <c r="M9099"/>
      <c r="O9099"/>
      <c r="P9099"/>
    </row>
    <row r="9100" spans="12:16">
      <c r="L9100"/>
      <c r="M9100"/>
      <c r="O9100"/>
      <c r="P9100"/>
    </row>
    <row r="9101" spans="12:16">
      <c r="L9101"/>
      <c r="M9101"/>
      <c r="O9101"/>
      <c r="P9101"/>
    </row>
    <row r="9102" spans="12:16">
      <c r="L9102"/>
      <c r="M9102"/>
      <c r="O9102"/>
      <c r="P9102"/>
    </row>
    <row r="9103" spans="12:16">
      <c r="L9103"/>
      <c r="M9103"/>
      <c r="O9103"/>
      <c r="P9103"/>
    </row>
    <row r="9104" spans="12:16">
      <c r="L9104"/>
      <c r="M9104"/>
      <c r="O9104"/>
      <c r="P9104"/>
    </row>
    <row r="9105" spans="12:16">
      <c r="L9105"/>
      <c r="M9105"/>
      <c r="O9105"/>
      <c r="P9105"/>
    </row>
    <row r="9106" spans="12:16">
      <c r="L9106"/>
      <c r="M9106"/>
      <c r="O9106"/>
      <c r="P9106"/>
    </row>
    <row r="9107" spans="12:16">
      <c r="L9107"/>
      <c r="M9107"/>
      <c r="O9107"/>
      <c r="P9107"/>
    </row>
    <row r="9108" spans="12:16">
      <c r="L9108"/>
      <c r="M9108"/>
      <c r="O9108"/>
      <c r="P9108"/>
    </row>
    <row r="9109" spans="12:16">
      <c r="L9109"/>
      <c r="M9109"/>
      <c r="O9109"/>
      <c r="P9109"/>
    </row>
    <row r="9110" spans="12:16">
      <c r="L9110"/>
      <c r="M9110"/>
      <c r="O9110"/>
      <c r="P9110"/>
    </row>
    <row r="9111" spans="12:16">
      <c r="L9111"/>
      <c r="M9111"/>
      <c r="O9111"/>
      <c r="P9111"/>
    </row>
    <row r="9112" spans="12:16">
      <c r="L9112"/>
      <c r="M9112"/>
      <c r="O9112"/>
      <c r="P9112"/>
    </row>
    <row r="9113" spans="12:16">
      <c r="L9113"/>
      <c r="M9113"/>
      <c r="O9113"/>
      <c r="P9113"/>
    </row>
    <row r="9114" spans="12:16">
      <c r="L9114"/>
      <c r="M9114"/>
      <c r="O9114"/>
      <c r="P9114"/>
    </row>
    <row r="9115" spans="12:16">
      <c r="L9115"/>
      <c r="M9115"/>
      <c r="O9115"/>
      <c r="P9115"/>
    </row>
    <row r="9116" spans="12:16">
      <c r="L9116"/>
      <c r="M9116"/>
      <c r="O9116"/>
      <c r="P9116"/>
    </row>
    <row r="9117" spans="12:16">
      <c r="L9117"/>
      <c r="M9117"/>
      <c r="O9117"/>
      <c r="P9117"/>
    </row>
    <row r="9118" spans="12:16">
      <c r="L9118"/>
      <c r="M9118"/>
      <c r="O9118"/>
      <c r="P9118"/>
    </row>
    <row r="9119" spans="12:16">
      <c r="L9119"/>
      <c r="M9119"/>
      <c r="O9119"/>
      <c r="P9119"/>
    </row>
    <row r="9120" spans="12:16">
      <c r="L9120"/>
      <c r="M9120"/>
      <c r="O9120"/>
      <c r="P9120"/>
    </row>
    <row r="9121" spans="12:16">
      <c r="L9121"/>
      <c r="M9121"/>
      <c r="O9121"/>
      <c r="P9121"/>
    </row>
    <row r="9122" spans="12:16">
      <c r="L9122"/>
      <c r="M9122"/>
      <c r="O9122"/>
      <c r="P9122"/>
    </row>
    <row r="9123" spans="12:16">
      <c r="L9123"/>
      <c r="M9123"/>
      <c r="O9123"/>
      <c r="P9123"/>
    </row>
    <row r="9124" spans="12:16">
      <c r="L9124"/>
      <c r="M9124"/>
      <c r="O9124"/>
      <c r="P9124"/>
    </row>
    <row r="9125" spans="12:16">
      <c r="L9125"/>
      <c r="M9125"/>
      <c r="O9125"/>
      <c r="P9125"/>
    </row>
    <row r="9126" spans="12:16">
      <c r="L9126"/>
      <c r="M9126"/>
      <c r="O9126"/>
      <c r="P9126"/>
    </row>
    <row r="9127" spans="12:16">
      <c r="L9127"/>
      <c r="M9127"/>
      <c r="O9127"/>
      <c r="P9127"/>
    </row>
    <row r="9128" spans="12:16">
      <c r="L9128"/>
      <c r="M9128"/>
      <c r="O9128"/>
      <c r="P9128"/>
    </row>
    <row r="9129" spans="12:16">
      <c r="L9129"/>
      <c r="M9129"/>
      <c r="O9129"/>
      <c r="P9129"/>
    </row>
    <row r="9130" spans="12:16">
      <c r="L9130"/>
      <c r="M9130"/>
      <c r="O9130"/>
      <c r="P9130"/>
    </row>
    <row r="9131" spans="12:16">
      <c r="L9131"/>
      <c r="M9131"/>
      <c r="O9131"/>
      <c r="P9131"/>
    </row>
    <row r="9132" spans="12:16">
      <c r="L9132"/>
      <c r="M9132"/>
      <c r="O9132"/>
      <c r="P9132"/>
    </row>
    <row r="9133" spans="12:16">
      <c r="L9133"/>
      <c r="M9133"/>
      <c r="O9133"/>
      <c r="P9133"/>
    </row>
    <row r="9134" spans="12:16">
      <c r="L9134"/>
      <c r="M9134"/>
      <c r="O9134"/>
      <c r="P9134"/>
    </row>
    <row r="9135" spans="12:16">
      <c r="L9135"/>
      <c r="M9135"/>
      <c r="O9135"/>
      <c r="P9135"/>
    </row>
    <row r="9136" spans="12:16">
      <c r="L9136"/>
      <c r="M9136"/>
      <c r="O9136"/>
      <c r="P9136"/>
    </row>
    <row r="9137" spans="12:16">
      <c r="L9137"/>
      <c r="M9137"/>
      <c r="O9137"/>
      <c r="P9137"/>
    </row>
    <row r="9138" spans="12:16">
      <c r="L9138"/>
      <c r="M9138"/>
      <c r="O9138"/>
      <c r="P9138"/>
    </row>
    <row r="9139" spans="12:16">
      <c r="L9139"/>
      <c r="M9139"/>
      <c r="O9139"/>
      <c r="P9139"/>
    </row>
    <row r="9140" spans="12:16">
      <c r="L9140"/>
      <c r="M9140"/>
      <c r="O9140"/>
      <c r="P9140"/>
    </row>
    <row r="9141" spans="12:16">
      <c r="L9141"/>
      <c r="M9141"/>
      <c r="O9141"/>
      <c r="P9141"/>
    </row>
    <row r="9142" spans="12:16">
      <c r="L9142"/>
      <c r="M9142"/>
      <c r="O9142"/>
      <c r="P9142"/>
    </row>
    <row r="9143" spans="12:16">
      <c r="L9143"/>
      <c r="M9143"/>
      <c r="O9143"/>
      <c r="P9143"/>
    </row>
    <row r="9144" spans="12:16">
      <c r="L9144"/>
      <c r="M9144"/>
      <c r="O9144"/>
      <c r="P9144"/>
    </row>
    <row r="9145" spans="12:16">
      <c r="L9145"/>
      <c r="M9145"/>
      <c r="O9145"/>
      <c r="P9145"/>
    </row>
    <row r="9146" spans="12:16">
      <c r="L9146"/>
      <c r="M9146"/>
      <c r="O9146"/>
      <c r="P9146"/>
    </row>
    <row r="9147" spans="12:16">
      <c r="L9147"/>
      <c r="M9147"/>
      <c r="O9147"/>
      <c r="P9147"/>
    </row>
    <row r="9148" spans="12:16">
      <c r="L9148"/>
      <c r="M9148"/>
      <c r="O9148"/>
      <c r="P9148"/>
    </row>
    <row r="9149" spans="12:16">
      <c r="L9149"/>
      <c r="M9149"/>
      <c r="O9149"/>
      <c r="P9149"/>
    </row>
    <row r="9150" spans="12:16">
      <c r="L9150"/>
      <c r="M9150"/>
      <c r="O9150"/>
      <c r="P9150"/>
    </row>
    <row r="9151" spans="12:16">
      <c r="L9151"/>
      <c r="M9151"/>
      <c r="O9151"/>
      <c r="P9151"/>
    </row>
    <row r="9152" spans="12:16">
      <c r="L9152"/>
      <c r="M9152"/>
      <c r="O9152"/>
      <c r="P9152"/>
    </row>
    <row r="9153" spans="12:16">
      <c r="L9153"/>
      <c r="M9153"/>
      <c r="O9153"/>
      <c r="P9153"/>
    </row>
    <row r="9154" spans="12:16">
      <c r="L9154"/>
      <c r="M9154"/>
      <c r="O9154"/>
      <c r="P9154"/>
    </row>
    <row r="9155" spans="12:16">
      <c r="L9155"/>
      <c r="M9155"/>
      <c r="O9155"/>
      <c r="P9155"/>
    </row>
    <row r="9156" spans="12:16">
      <c r="L9156"/>
      <c r="M9156"/>
      <c r="O9156"/>
      <c r="P9156"/>
    </row>
    <row r="9157" spans="12:16">
      <c r="L9157"/>
      <c r="M9157"/>
      <c r="O9157"/>
      <c r="P9157"/>
    </row>
    <row r="9158" spans="12:16">
      <c r="L9158"/>
      <c r="M9158"/>
      <c r="O9158"/>
      <c r="P9158"/>
    </row>
    <row r="9159" spans="12:16">
      <c r="L9159"/>
      <c r="M9159"/>
      <c r="O9159"/>
      <c r="P9159"/>
    </row>
    <row r="9160" spans="12:16">
      <c r="L9160"/>
      <c r="M9160"/>
      <c r="O9160"/>
      <c r="P9160"/>
    </row>
    <row r="9161" spans="12:16">
      <c r="L9161"/>
      <c r="M9161"/>
      <c r="O9161"/>
      <c r="P9161"/>
    </row>
    <row r="9162" spans="12:16">
      <c r="L9162"/>
      <c r="M9162"/>
      <c r="O9162"/>
      <c r="P9162"/>
    </row>
    <row r="9163" spans="12:16">
      <c r="L9163"/>
      <c r="M9163"/>
      <c r="O9163"/>
      <c r="P9163"/>
    </row>
    <row r="9164" spans="12:16">
      <c r="L9164"/>
      <c r="M9164"/>
      <c r="O9164"/>
      <c r="P9164"/>
    </row>
    <row r="9165" spans="12:16">
      <c r="L9165"/>
      <c r="M9165"/>
      <c r="O9165"/>
      <c r="P9165"/>
    </row>
    <row r="9166" spans="12:16">
      <c r="L9166"/>
      <c r="M9166"/>
      <c r="O9166"/>
      <c r="P9166"/>
    </row>
    <row r="9167" spans="12:16">
      <c r="L9167"/>
      <c r="M9167"/>
      <c r="O9167"/>
      <c r="P9167"/>
    </row>
    <row r="9168" spans="12:16">
      <c r="L9168"/>
      <c r="M9168"/>
      <c r="O9168"/>
      <c r="P9168"/>
    </row>
    <row r="9169" spans="12:16">
      <c r="L9169"/>
      <c r="M9169"/>
      <c r="O9169"/>
      <c r="P9169"/>
    </row>
    <row r="9170" spans="12:16">
      <c r="L9170"/>
      <c r="M9170"/>
      <c r="O9170"/>
      <c r="P9170"/>
    </row>
    <row r="9171" spans="12:16">
      <c r="L9171"/>
      <c r="M9171"/>
      <c r="O9171"/>
      <c r="P9171"/>
    </row>
    <row r="9172" spans="12:16">
      <c r="L9172"/>
      <c r="M9172"/>
      <c r="O9172"/>
      <c r="P9172"/>
    </row>
    <row r="9173" spans="12:16">
      <c r="L9173"/>
      <c r="M9173"/>
      <c r="O9173"/>
      <c r="P9173"/>
    </row>
    <row r="9174" spans="12:16">
      <c r="L9174"/>
      <c r="M9174"/>
      <c r="O9174"/>
      <c r="P9174"/>
    </row>
    <row r="9175" spans="12:16">
      <c r="L9175"/>
      <c r="M9175"/>
      <c r="O9175"/>
      <c r="P9175"/>
    </row>
    <row r="9176" spans="12:16">
      <c r="L9176"/>
      <c r="M9176"/>
      <c r="O9176"/>
      <c r="P9176"/>
    </row>
    <row r="9177" spans="12:16">
      <c r="L9177"/>
      <c r="M9177"/>
      <c r="O9177"/>
      <c r="P9177"/>
    </row>
    <row r="9178" spans="12:16">
      <c r="L9178"/>
      <c r="M9178"/>
      <c r="O9178"/>
      <c r="P9178"/>
    </row>
    <row r="9179" spans="12:16">
      <c r="L9179"/>
      <c r="M9179"/>
      <c r="O9179"/>
      <c r="P9179"/>
    </row>
    <row r="9180" spans="12:16">
      <c r="L9180"/>
      <c r="M9180"/>
      <c r="O9180"/>
      <c r="P9180"/>
    </row>
    <row r="9181" spans="12:16">
      <c r="L9181"/>
      <c r="M9181"/>
      <c r="O9181"/>
      <c r="P9181"/>
    </row>
    <row r="9182" spans="12:16">
      <c r="L9182"/>
      <c r="M9182"/>
      <c r="O9182"/>
      <c r="P9182"/>
    </row>
    <row r="9183" spans="12:16">
      <c r="L9183"/>
      <c r="M9183"/>
      <c r="O9183"/>
      <c r="P9183"/>
    </row>
    <row r="9184" spans="12:16">
      <c r="L9184"/>
      <c r="M9184"/>
      <c r="O9184"/>
      <c r="P9184"/>
    </row>
    <row r="9185" spans="12:16">
      <c r="L9185"/>
      <c r="M9185"/>
      <c r="O9185"/>
      <c r="P9185"/>
    </row>
    <row r="9186" spans="12:16">
      <c r="L9186"/>
      <c r="M9186"/>
      <c r="O9186"/>
      <c r="P9186"/>
    </row>
    <row r="9187" spans="12:16">
      <c r="L9187"/>
      <c r="M9187"/>
      <c r="O9187"/>
      <c r="P9187"/>
    </row>
    <row r="9188" spans="12:16">
      <c r="L9188"/>
      <c r="M9188"/>
      <c r="O9188"/>
      <c r="P9188"/>
    </row>
    <row r="9189" spans="12:16">
      <c r="L9189"/>
      <c r="M9189"/>
      <c r="O9189"/>
      <c r="P9189"/>
    </row>
    <row r="9190" spans="12:16">
      <c r="L9190"/>
      <c r="M9190"/>
      <c r="O9190"/>
      <c r="P9190"/>
    </row>
    <row r="9191" spans="12:16">
      <c r="L9191"/>
      <c r="M9191"/>
      <c r="O9191"/>
      <c r="P9191"/>
    </row>
    <row r="9192" spans="12:16">
      <c r="L9192"/>
      <c r="M9192"/>
      <c r="O9192"/>
      <c r="P9192"/>
    </row>
    <row r="9193" spans="12:16">
      <c r="L9193"/>
      <c r="M9193"/>
      <c r="O9193"/>
      <c r="P9193"/>
    </row>
    <row r="9194" spans="12:16">
      <c r="L9194"/>
      <c r="M9194"/>
      <c r="O9194"/>
      <c r="P9194"/>
    </row>
    <row r="9195" spans="12:16">
      <c r="L9195"/>
      <c r="M9195"/>
      <c r="O9195"/>
      <c r="P9195"/>
    </row>
    <row r="9196" spans="12:16">
      <c r="L9196"/>
      <c r="M9196"/>
      <c r="O9196"/>
      <c r="P9196"/>
    </row>
    <row r="9197" spans="12:16">
      <c r="L9197"/>
      <c r="M9197"/>
      <c r="O9197"/>
      <c r="P9197"/>
    </row>
    <row r="9198" spans="12:16">
      <c r="L9198"/>
      <c r="M9198"/>
      <c r="O9198"/>
      <c r="P9198"/>
    </row>
    <row r="9199" spans="12:16">
      <c r="L9199"/>
      <c r="M9199"/>
      <c r="O9199"/>
      <c r="P9199"/>
    </row>
    <row r="9200" spans="12:16">
      <c r="L9200"/>
      <c r="M9200"/>
      <c r="O9200"/>
      <c r="P9200"/>
    </row>
    <row r="9201" spans="12:16">
      <c r="L9201"/>
      <c r="M9201"/>
      <c r="O9201"/>
      <c r="P9201"/>
    </row>
    <row r="9202" spans="12:16">
      <c r="L9202"/>
      <c r="M9202"/>
      <c r="O9202"/>
      <c r="P9202"/>
    </row>
    <row r="9203" spans="12:16">
      <c r="L9203"/>
      <c r="M9203"/>
      <c r="O9203"/>
      <c r="P9203"/>
    </row>
    <row r="9204" spans="12:16">
      <c r="L9204"/>
      <c r="M9204"/>
      <c r="O9204"/>
      <c r="P9204"/>
    </row>
    <row r="9205" spans="12:16">
      <c r="L9205"/>
      <c r="M9205"/>
      <c r="O9205"/>
      <c r="P9205"/>
    </row>
    <row r="9206" spans="12:16">
      <c r="L9206"/>
      <c r="M9206"/>
      <c r="O9206"/>
      <c r="P9206"/>
    </row>
    <row r="9207" spans="12:16">
      <c r="L9207"/>
      <c r="M9207"/>
      <c r="O9207"/>
      <c r="P9207"/>
    </row>
    <row r="9208" spans="12:16">
      <c r="L9208"/>
      <c r="M9208"/>
      <c r="O9208"/>
      <c r="P9208"/>
    </row>
    <row r="9209" spans="12:16">
      <c r="L9209"/>
      <c r="M9209"/>
      <c r="O9209"/>
      <c r="P9209"/>
    </row>
    <row r="9210" spans="12:16">
      <c r="L9210"/>
      <c r="M9210"/>
      <c r="O9210"/>
      <c r="P9210"/>
    </row>
    <row r="9211" spans="12:16">
      <c r="L9211"/>
      <c r="M9211"/>
      <c r="O9211"/>
      <c r="P9211"/>
    </row>
    <row r="9212" spans="12:16">
      <c r="L9212"/>
      <c r="M9212"/>
      <c r="O9212"/>
      <c r="P9212"/>
    </row>
    <row r="9213" spans="12:16">
      <c r="L9213"/>
      <c r="M9213"/>
      <c r="O9213"/>
      <c r="P9213"/>
    </row>
    <row r="9214" spans="12:16">
      <c r="L9214"/>
      <c r="M9214"/>
      <c r="O9214"/>
      <c r="P9214"/>
    </row>
    <row r="9215" spans="12:16">
      <c r="L9215"/>
      <c r="M9215"/>
      <c r="O9215"/>
      <c r="P9215"/>
    </row>
    <row r="9216" spans="12:16">
      <c r="L9216"/>
      <c r="M9216"/>
      <c r="O9216"/>
      <c r="P9216"/>
    </row>
    <row r="9217" spans="12:16">
      <c r="L9217"/>
      <c r="M9217"/>
      <c r="O9217"/>
      <c r="P9217"/>
    </row>
    <row r="9218" spans="12:16">
      <c r="L9218"/>
      <c r="M9218"/>
      <c r="O9218"/>
      <c r="P9218"/>
    </row>
    <row r="9219" spans="12:16">
      <c r="L9219"/>
      <c r="M9219"/>
      <c r="O9219"/>
      <c r="P9219"/>
    </row>
    <row r="9220" spans="12:16">
      <c r="L9220"/>
      <c r="M9220"/>
      <c r="O9220"/>
      <c r="P9220"/>
    </row>
    <row r="9221" spans="12:16">
      <c r="L9221"/>
      <c r="M9221"/>
      <c r="O9221"/>
      <c r="P9221"/>
    </row>
    <row r="9222" spans="12:16">
      <c r="L9222"/>
      <c r="M9222"/>
      <c r="O9222"/>
      <c r="P9222"/>
    </row>
    <row r="9223" spans="12:16">
      <c r="L9223"/>
      <c r="M9223"/>
      <c r="O9223"/>
      <c r="P9223"/>
    </row>
    <row r="9224" spans="12:16">
      <c r="L9224"/>
      <c r="M9224"/>
      <c r="O9224"/>
      <c r="P9224"/>
    </row>
    <row r="9225" spans="12:16">
      <c r="L9225"/>
      <c r="M9225"/>
      <c r="O9225"/>
      <c r="P9225"/>
    </row>
    <row r="9226" spans="12:16">
      <c r="L9226"/>
      <c r="M9226"/>
      <c r="O9226"/>
      <c r="P9226"/>
    </row>
    <row r="9227" spans="12:16">
      <c r="L9227"/>
      <c r="M9227"/>
      <c r="O9227"/>
      <c r="P9227"/>
    </row>
    <row r="9228" spans="12:16">
      <c r="L9228"/>
      <c r="M9228"/>
      <c r="O9228"/>
      <c r="P9228"/>
    </row>
    <row r="9229" spans="12:16">
      <c r="L9229"/>
      <c r="M9229"/>
      <c r="O9229"/>
      <c r="P9229"/>
    </row>
    <row r="9230" spans="12:16">
      <c r="L9230"/>
      <c r="M9230"/>
      <c r="O9230"/>
      <c r="P9230"/>
    </row>
    <row r="9231" spans="12:16">
      <c r="L9231"/>
      <c r="M9231"/>
      <c r="O9231"/>
      <c r="P9231"/>
    </row>
    <row r="9232" spans="12:16">
      <c r="L9232"/>
      <c r="M9232"/>
      <c r="O9232"/>
      <c r="P9232"/>
    </row>
    <row r="9233" spans="12:16">
      <c r="L9233"/>
      <c r="M9233"/>
      <c r="O9233"/>
      <c r="P9233"/>
    </row>
    <row r="9234" spans="12:16">
      <c r="L9234"/>
      <c r="M9234"/>
      <c r="O9234"/>
      <c r="P9234"/>
    </row>
    <row r="9235" spans="12:16">
      <c r="L9235"/>
      <c r="M9235"/>
      <c r="O9235"/>
      <c r="P9235"/>
    </row>
    <row r="9236" spans="12:16">
      <c r="L9236"/>
      <c r="M9236"/>
      <c r="O9236"/>
      <c r="P9236"/>
    </row>
    <row r="9237" spans="12:16">
      <c r="L9237"/>
      <c r="M9237"/>
      <c r="O9237"/>
      <c r="P9237"/>
    </row>
    <row r="9238" spans="12:16">
      <c r="L9238"/>
      <c r="M9238"/>
      <c r="O9238"/>
      <c r="P9238"/>
    </row>
    <row r="9239" spans="12:16">
      <c r="L9239"/>
      <c r="M9239"/>
      <c r="O9239"/>
      <c r="P9239"/>
    </row>
    <row r="9240" spans="12:16">
      <c r="L9240"/>
      <c r="M9240"/>
      <c r="O9240"/>
      <c r="P9240"/>
    </row>
    <row r="9241" spans="12:16">
      <c r="L9241"/>
      <c r="M9241"/>
      <c r="O9241"/>
      <c r="P9241"/>
    </row>
    <row r="9242" spans="12:16">
      <c r="L9242"/>
      <c r="M9242"/>
      <c r="O9242"/>
      <c r="P9242"/>
    </row>
    <row r="9243" spans="12:16">
      <c r="L9243"/>
      <c r="M9243"/>
      <c r="O9243"/>
      <c r="P9243"/>
    </row>
    <row r="9244" spans="12:16">
      <c r="L9244"/>
      <c r="M9244"/>
      <c r="O9244"/>
      <c r="P9244"/>
    </row>
    <row r="9245" spans="12:16">
      <c r="L9245"/>
      <c r="M9245"/>
      <c r="O9245"/>
      <c r="P9245"/>
    </row>
    <row r="9246" spans="12:16">
      <c r="L9246"/>
      <c r="M9246"/>
      <c r="O9246"/>
      <c r="P9246"/>
    </row>
    <row r="9247" spans="12:16">
      <c r="L9247"/>
      <c r="M9247"/>
      <c r="O9247"/>
      <c r="P9247"/>
    </row>
    <row r="9248" spans="12:16">
      <c r="L9248"/>
      <c r="M9248"/>
      <c r="O9248"/>
      <c r="P9248"/>
    </row>
    <row r="9249" spans="12:16">
      <c r="L9249"/>
      <c r="M9249"/>
      <c r="O9249"/>
      <c r="P9249"/>
    </row>
    <row r="9250" spans="12:16">
      <c r="L9250"/>
      <c r="M9250"/>
      <c r="O9250"/>
      <c r="P9250"/>
    </row>
    <row r="9251" spans="12:16">
      <c r="L9251"/>
      <c r="M9251"/>
      <c r="O9251"/>
      <c r="P9251"/>
    </row>
    <row r="9252" spans="12:16">
      <c r="L9252"/>
      <c r="M9252"/>
      <c r="O9252"/>
      <c r="P9252"/>
    </row>
    <row r="9253" spans="12:16">
      <c r="L9253"/>
      <c r="M9253"/>
      <c r="O9253"/>
      <c r="P9253"/>
    </row>
    <row r="9254" spans="12:16">
      <c r="L9254"/>
      <c r="M9254"/>
      <c r="O9254"/>
      <c r="P9254"/>
    </row>
    <row r="9255" spans="12:16">
      <c r="L9255"/>
      <c r="M9255"/>
      <c r="O9255"/>
      <c r="P9255"/>
    </row>
    <row r="9256" spans="12:16">
      <c r="L9256"/>
      <c r="M9256"/>
      <c r="O9256"/>
      <c r="P9256"/>
    </row>
    <row r="9257" spans="12:16">
      <c r="L9257"/>
      <c r="M9257"/>
      <c r="O9257"/>
      <c r="P9257"/>
    </row>
    <row r="9258" spans="12:16">
      <c r="L9258"/>
      <c r="M9258"/>
      <c r="O9258"/>
      <c r="P9258"/>
    </row>
    <row r="9259" spans="12:16">
      <c r="L9259"/>
      <c r="M9259"/>
      <c r="O9259"/>
      <c r="P9259"/>
    </row>
    <row r="9260" spans="12:16">
      <c r="L9260"/>
      <c r="M9260"/>
      <c r="O9260"/>
      <c r="P9260"/>
    </row>
    <row r="9261" spans="12:16">
      <c r="L9261"/>
      <c r="M9261"/>
      <c r="O9261"/>
      <c r="P9261"/>
    </row>
    <row r="9262" spans="12:16">
      <c r="L9262"/>
      <c r="M9262"/>
      <c r="O9262"/>
      <c r="P9262"/>
    </row>
    <row r="9263" spans="12:16">
      <c r="L9263"/>
      <c r="M9263"/>
      <c r="O9263"/>
      <c r="P9263"/>
    </row>
    <row r="9264" spans="12:16">
      <c r="L9264"/>
      <c r="M9264"/>
      <c r="O9264"/>
      <c r="P9264"/>
    </row>
    <row r="9265" spans="12:16">
      <c r="L9265"/>
      <c r="M9265"/>
      <c r="O9265"/>
      <c r="P9265"/>
    </row>
    <row r="9266" spans="12:16">
      <c r="L9266"/>
      <c r="M9266"/>
      <c r="O9266"/>
      <c r="P9266"/>
    </row>
    <row r="9267" spans="12:16">
      <c r="L9267"/>
      <c r="M9267"/>
      <c r="O9267"/>
      <c r="P9267"/>
    </row>
    <row r="9268" spans="12:16">
      <c r="L9268"/>
      <c r="M9268"/>
      <c r="O9268"/>
      <c r="P9268"/>
    </row>
    <row r="9269" spans="12:16">
      <c r="L9269"/>
      <c r="M9269"/>
      <c r="O9269"/>
      <c r="P9269"/>
    </row>
    <row r="9270" spans="12:16">
      <c r="L9270"/>
      <c r="M9270"/>
      <c r="O9270"/>
      <c r="P9270"/>
    </row>
    <row r="9271" spans="12:16">
      <c r="L9271"/>
      <c r="M9271"/>
      <c r="O9271"/>
      <c r="P9271"/>
    </row>
    <row r="9272" spans="12:16">
      <c r="L9272"/>
      <c r="M9272"/>
      <c r="O9272"/>
      <c r="P9272"/>
    </row>
    <row r="9273" spans="12:16">
      <c r="L9273"/>
      <c r="M9273"/>
      <c r="O9273"/>
      <c r="P9273"/>
    </row>
    <row r="9274" spans="12:16">
      <c r="L9274"/>
      <c r="M9274"/>
      <c r="O9274"/>
      <c r="P9274"/>
    </row>
    <row r="9275" spans="12:16">
      <c r="L9275"/>
      <c r="M9275"/>
      <c r="O9275"/>
      <c r="P9275"/>
    </row>
    <row r="9276" spans="12:16">
      <c r="L9276"/>
      <c r="M9276"/>
      <c r="O9276"/>
      <c r="P9276"/>
    </row>
    <row r="9277" spans="12:16">
      <c r="L9277"/>
      <c r="M9277"/>
      <c r="O9277"/>
      <c r="P9277"/>
    </row>
    <row r="9278" spans="12:16">
      <c r="L9278"/>
      <c r="M9278"/>
      <c r="O9278"/>
      <c r="P9278"/>
    </row>
    <row r="9279" spans="12:16">
      <c r="L9279"/>
      <c r="M9279"/>
      <c r="O9279"/>
      <c r="P9279"/>
    </row>
    <row r="9280" spans="12:16">
      <c r="L9280"/>
      <c r="M9280"/>
      <c r="O9280"/>
      <c r="P9280"/>
    </row>
    <row r="9281" spans="12:16">
      <c r="L9281"/>
      <c r="M9281"/>
      <c r="O9281"/>
      <c r="P9281"/>
    </row>
    <row r="9282" spans="12:16">
      <c r="L9282"/>
      <c r="M9282"/>
      <c r="O9282"/>
      <c r="P9282"/>
    </row>
    <row r="9283" spans="12:16">
      <c r="L9283"/>
      <c r="M9283"/>
      <c r="O9283"/>
      <c r="P9283"/>
    </row>
    <row r="9284" spans="12:16">
      <c r="L9284"/>
      <c r="M9284"/>
      <c r="O9284"/>
      <c r="P9284"/>
    </row>
    <row r="9285" spans="12:16">
      <c r="L9285"/>
      <c r="M9285"/>
      <c r="O9285"/>
      <c r="P9285"/>
    </row>
    <row r="9286" spans="12:16">
      <c r="L9286"/>
      <c r="M9286"/>
      <c r="O9286"/>
      <c r="P9286"/>
    </row>
    <row r="9287" spans="12:16">
      <c r="L9287"/>
      <c r="M9287"/>
      <c r="O9287"/>
      <c r="P9287"/>
    </row>
    <row r="9288" spans="12:16">
      <c r="L9288"/>
      <c r="M9288"/>
      <c r="O9288"/>
      <c r="P9288"/>
    </row>
    <row r="9289" spans="12:16">
      <c r="L9289"/>
      <c r="M9289"/>
      <c r="O9289"/>
      <c r="P9289"/>
    </row>
    <row r="9290" spans="12:16">
      <c r="L9290"/>
      <c r="M9290"/>
      <c r="O9290"/>
      <c r="P9290"/>
    </row>
    <row r="9291" spans="12:16">
      <c r="L9291"/>
      <c r="M9291"/>
      <c r="O9291"/>
      <c r="P9291"/>
    </row>
    <row r="9292" spans="12:16">
      <c r="L9292"/>
      <c r="M9292"/>
      <c r="O9292"/>
      <c r="P9292"/>
    </row>
    <row r="9293" spans="12:16">
      <c r="L9293"/>
      <c r="M9293"/>
      <c r="O9293"/>
      <c r="P9293"/>
    </row>
    <row r="9294" spans="12:16">
      <c r="L9294"/>
      <c r="M9294"/>
      <c r="O9294"/>
      <c r="P9294"/>
    </row>
    <row r="9295" spans="12:16">
      <c r="L9295"/>
      <c r="M9295"/>
      <c r="O9295"/>
      <c r="P9295"/>
    </row>
    <row r="9296" spans="12:16">
      <c r="L9296"/>
      <c r="M9296"/>
      <c r="O9296"/>
      <c r="P9296"/>
    </row>
    <row r="9297" spans="12:16">
      <c r="L9297"/>
      <c r="M9297"/>
      <c r="O9297"/>
      <c r="P9297"/>
    </row>
    <row r="9298" spans="12:16">
      <c r="L9298"/>
      <c r="M9298"/>
      <c r="O9298"/>
      <c r="P9298"/>
    </row>
    <row r="9299" spans="12:16">
      <c r="L9299"/>
      <c r="M9299"/>
      <c r="O9299"/>
      <c r="P9299"/>
    </row>
    <row r="9300" spans="12:16">
      <c r="L9300"/>
      <c r="M9300"/>
      <c r="O9300"/>
      <c r="P9300"/>
    </row>
    <row r="9301" spans="12:16">
      <c r="L9301"/>
      <c r="M9301"/>
      <c r="O9301"/>
      <c r="P9301"/>
    </row>
    <row r="9302" spans="12:16">
      <c r="L9302"/>
      <c r="M9302"/>
      <c r="O9302"/>
      <c r="P9302"/>
    </row>
    <row r="9303" spans="12:16">
      <c r="L9303"/>
      <c r="M9303"/>
      <c r="O9303"/>
      <c r="P9303"/>
    </row>
    <row r="9304" spans="12:16">
      <c r="L9304"/>
      <c r="M9304"/>
      <c r="O9304"/>
      <c r="P9304"/>
    </row>
    <row r="9305" spans="12:16">
      <c r="L9305"/>
      <c r="M9305"/>
      <c r="O9305"/>
      <c r="P9305"/>
    </row>
    <row r="9306" spans="12:16">
      <c r="L9306"/>
      <c r="M9306"/>
      <c r="O9306"/>
      <c r="P9306"/>
    </row>
    <row r="9307" spans="12:16">
      <c r="L9307"/>
      <c r="M9307"/>
      <c r="O9307"/>
      <c r="P9307"/>
    </row>
    <row r="9308" spans="12:16">
      <c r="L9308"/>
      <c r="M9308"/>
      <c r="O9308"/>
      <c r="P9308"/>
    </row>
    <row r="9309" spans="12:16">
      <c r="L9309"/>
      <c r="M9309"/>
      <c r="O9309"/>
      <c r="P9309"/>
    </row>
    <row r="9310" spans="12:16">
      <c r="L9310"/>
      <c r="M9310"/>
      <c r="O9310"/>
      <c r="P9310"/>
    </row>
    <row r="9311" spans="12:16">
      <c r="L9311"/>
      <c r="M9311"/>
      <c r="O9311"/>
      <c r="P9311"/>
    </row>
    <row r="9312" spans="12:16">
      <c r="L9312"/>
      <c r="M9312"/>
      <c r="O9312"/>
      <c r="P9312"/>
    </row>
    <row r="9313" spans="12:16">
      <c r="L9313"/>
      <c r="M9313"/>
      <c r="O9313"/>
      <c r="P9313"/>
    </row>
    <row r="9314" spans="12:16">
      <c r="L9314"/>
      <c r="M9314"/>
      <c r="O9314"/>
      <c r="P9314"/>
    </row>
    <row r="9315" spans="12:16">
      <c r="L9315"/>
      <c r="M9315"/>
      <c r="O9315"/>
      <c r="P9315"/>
    </row>
    <row r="9316" spans="12:16">
      <c r="L9316"/>
      <c r="M9316"/>
      <c r="O9316"/>
      <c r="P9316"/>
    </row>
    <row r="9317" spans="12:16">
      <c r="L9317"/>
      <c r="M9317"/>
      <c r="O9317"/>
      <c r="P9317"/>
    </row>
    <row r="9318" spans="12:16">
      <c r="L9318"/>
      <c r="M9318"/>
      <c r="O9318"/>
      <c r="P9318"/>
    </row>
    <row r="9319" spans="12:16">
      <c r="L9319"/>
      <c r="M9319"/>
      <c r="O9319"/>
      <c r="P9319"/>
    </row>
    <row r="9320" spans="12:16">
      <c r="L9320"/>
      <c r="M9320"/>
      <c r="O9320"/>
      <c r="P9320"/>
    </row>
    <row r="9321" spans="12:16">
      <c r="L9321"/>
      <c r="M9321"/>
      <c r="O9321"/>
      <c r="P9321"/>
    </row>
    <row r="9322" spans="12:16">
      <c r="L9322"/>
      <c r="M9322"/>
      <c r="O9322"/>
      <c r="P9322"/>
    </row>
    <row r="9323" spans="12:16">
      <c r="L9323"/>
      <c r="M9323"/>
      <c r="O9323"/>
      <c r="P9323"/>
    </row>
    <row r="9324" spans="12:16">
      <c r="L9324"/>
      <c r="M9324"/>
      <c r="O9324"/>
      <c r="P9324"/>
    </row>
    <row r="9325" spans="12:16">
      <c r="L9325"/>
      <c r="M9325"/>
      <c r="O9325"/>
      <c r="P9325"/>
    </row>
    <row r="9326" spans="12:16">
      <c r="L9326"/>
      <c r="M9326"/>
      <c r="O9326"/>
      <c r="P9326"/>
    </row>
    <row r="9327" spans="12:16">
      <c r="L9327"/>
      <c r="M9327"/>
      <c r="O9327"/>
      <c r="P9327"/>
    </row>
    <row r="9328" spans="12:16">
      <c r="L9328"/>
      <c r="M9328"/>
      <c r="O9328"/>
      <c r="P9328"/>
    </row>
    <row r="9329" spans="12:16">
      <c r="L9329"/>
      <c r="M9329"/>
      <c r="O9329"/>
      <c r="P9329"/>
    </row>
    <row r="9330" spans="12:16">
      <c r="L9330"/>
      <c r="M9330"/>
      <c r="O9330"/>
      <c r="P9330"/>
    </row>
    <row r="9331" spans="12:16">
      <c r="L9331"/>
      <c r="M9331"/>
      <c r="O9331"/>
      <c r="P9331"/>
    </row>
    <row r="9332" spans="12:16">
      <c r="L9332"/>
      <c r="M9332"/>
      <c r="O9332"/>
      <c r="P9332"/>
    </row>
    <row r="9333" spans="12:16">
      <c r="L9333"/>
      <c r="M9333"/>
      <c r="O9333"/>
      <c r="P9333"/>
    </row>
    <row r="9334" spans="12:16">
      <c r="L9334"/>
      <c r="M9334"/>
      <c r="O9334"/>
      <c r="P9334"/>
    </row>
    <row r="9335" spans="12:16">
      <c r="L9335"/>
      <c r="M9335"/>
      <c r="O9335"/>
      <c r="P9335"/>
    </row>
    <row r="9336" spans="12:16">
      <c r="L9336"/>
      <c r="M9336"/>
      <c r="O9336"/>
      <c r="P9336"/>
    </row>
    <row r="9337" spans="12:16">
      <c r="L9337"/>
      <c r="M9337"/>
      <c r="O9337"/>
      <c r="P9337"/>
    </row>
    <row r="9338" spans="12:16">
      <c r="L9338"/>
      <c r="M9338"/>
      <c r="O9338"/>
      <c r="P9338"/>
    </row>
    <row r="9339" spans="12:16">
      <c r="L9339"/>
      <c r="M9339"/>
      <c r="O9339"/>
      <c r="P9339"/>
    </row>
    <row r="9340" spans="12:16">
      <c r="L9340"/>
      <c r="M9340"/>
      <c r="O9340"/>
      <c r="P9340"/>
    </row>
    <row r="9341" spans="12:16">
      <c r="L9341"/>
      <c r="M9341"/>
      <c r="O9341"/>
      <c r="P9341"/>
    </row>
    <row r="9342" spans="12:16">
      <c r="L9342"/>
      <c r="M9342"/>
      <c r="O9342"/>
      <c r="P9342"/>
    </row>
    <row r="9343" spans="12:16">
      <c r="L9343"/>
      <c r="M9343"/>
      <c r="O9343"/>
      <c r="P9343"/>
    </row>
    <row r="9344" spans="12:16">
      <c r="L9344"/>
      <c r="M9344"/>
      <c r="O9344"/>
      <c r="P9344"/>
    </row>
    <row r="9345" spans="12:16">
      <c r="L9345"/>
      <c r="M9345"/>
      <c r="O9345"/>
      <c r="P9345"/>
    </row>
    <row r="9346" spans="12:16">
      <c r="L9346"/>
      <c r="M9346"/>
      <c r="O9346"/>
      <c r="P9346"/>
    </row>
    <row r="9347" spans="12:16">
      <c r="L9347"/>
      <c r="M9347"/>
      <c r="O9347"/>
      <c r="P9347"/>
    </row>
    <row r="9348" spans="12:16">
      <c r="L9348"/>
      <c r="M9348"/>
      <c r="O9348"/>
      <c r="P9348"/>
    </row>
    <row r="9349" spans="12:16">
      <c r="L9349"/>
      <c r="M9349"/>
      <c r="O9349"/>
      <c r="P9349"/>
    </row>
    <row r="9350" spans="12:16">
      <c r="L9350"/>
      <c r="M9350"/>
      <c r="O9350"/>
      <c r="P9350"/>
    </row>
    <row r="9351" spans="12:16">
      <c r="L9351"/>
      <c r="M9351"/>
      <c r="O9351"/>
      <c r="P9351"/>
    </row>
    <row r="9352" spans="12:16">
      <c r="L9352"/>
      <c r="M9352"/>
      <c r="O9352"/>
      <c r="P9352"/>
    </row>
    <row r="9353" spans="12:16">
      <c r="L9353"/>
      <c r="M9353"/>
      <c r="O9353"/>
      <c r="P9353"/>
    </row>
    <row r="9354" spans="12:16">
      <c r="L9354"/>
      <c r="M9354"/>
      <c r="O9354"/>
      <c r="P9354"/>
    </row>
    <row r="9355" spans="12:16">
      <c r="L9355"/>
      <c r="M9355"/>
      <c r="O9355"/>
      <c r="P9355"/>
    </row>
    <row r="9356" spans="12:16">
      <c r="L9356"/>
      <c r="M9356"/>
      <c r="O9356"/>
      <c r="P9356"/>
    </row>
    <row r="9357" spans="12:16">
      <c r="L9357"/>
      <c r="M9357"/>
      <c r="O9357"/>
      <c r="P9357"/>
    </row>
    <row r="9358" spans="12:16">
      <c r="L9358"/>
      <c r="M9358"/>
      <c r="O9358"/>
      <c r="P9358"/>
    </row>
    <row r="9359" spans="12:16">
      <c r="L9359"/>
      <c r="M9359"/>
      <c r="O9359"/>
      <c r="P9359"/>
    </row>
    <row r="9360" spans="12:16">
      <c r="L9360"/>
      <c r="M9360"/>
      <c r="O9360"/>
      <c r="P9360"/>
    </row>
    <row r="9361" spans="12:16">
      <c r="L9361"/>
      <c r="M9361"/>
      <c r="O9361"/>
      <c r="P9361"/>
    </row>
    <row r="9362" spans="12:16">
      <c r="L9362"/>
      <c r="M9362"/>
      <c r="O9362"/>
      <c r="P9362"/>
    </row>
    <row r="9363" spans="12:16">
      <c r="L9363"/>
      <c r="M9363"/>
      <c r="O9363"/>
      <c r="P9363"/>
    </row>
    <row r="9364" spans="12:16">
      <c r="L9364"/>
      <c r="M9364"/>
      <c r="O9364"/>
      <c r="P9364"/>
    </row>
    <row r="9365" spans="12:16">
      <c r="L9365"/>
      <c r="M9365"/>
      <c r="O9365"/>
      <c r="P9365"/>
    </row>
    <row r="9366" spans="12:16">
      <c r="L9366"/>
      <c r="M9366"/>
      <c r="O9366"/>
      <c r="P9366"/>
    </row>
    <row r="9367" spans="12:16">
      <c r="L9367"/>
      <c r="M9367"/>
      <c r="O9367"/>
      <c r="P9367"/>
    </row>
    <row r="9368" spans="12:16">
      <c r="L9368"/>
      <c r="M9368"/>
      <c r="O9368"/>
      <c r="P9368"/>
    </row>
    <row r="9369" spans="12:16">
      <c r="L9369"/>
      <c r="M9369"/>
      <c r="O9369"/>
      <c r="P9369"/>
    </row>
    <row r="9370" spans="12:16">
      <c r="L9370"/>
      <c r="M9370"/>
      <c r="O9370"/>
      <c r="P9370"/>
    </row>
    <row r="9371" spans="12:16">
      <c r="L9371"/>
      <c r="M9371"/>
      <c r="O9371"/>
      <c r="P9371"/>
    </row>
    <row r="9372" spans="12:16">
      <c r="L9372"/>
      <c r="M9372"/>
      <c r="O9372"/>
      <c r="P9372"/>
    </row>
    <row r="9373" spans="12:16">
      <c r="L9373"/>
      <c r="M9373"/>
      <c r="O9373"/>
      <c r="P9373"/>
    </row>
    <row r="9374" spans="12:16">
      <c r="L9374"/>
      <c r="M9374"/>
      <c r="O9374"/>
      <c r="P9374"/>
    </row>
    <row r="9375" spans="12:16">
      <c r="L9375"/>
      <c r="M9375"/>
      <c r="O9375"/>
      <c r="P9375"/>
    </row>
    <row r="9376" spans="12:16">
      <c r="L9376"/>
      <c r="M9376"/>
      <c r="O9376"/>
      <c r="P9376"/>
    </row>
    <row r="9377" spans="12:16">
      <c r="L9377"/>
      <c r="M9377"/>
      <c r="O9377"/>
      <c r="P9377"/>
    </row>
    <row r="9378" spans="12:16">
      <c r="L9378"/>
      <c r="M9378"/>
      <c r="O9378"/>
      <c r="P9378"/>
    </row>
    <row r="9379" spans="12:16">
      <c r="L9379"/>
      <c r="M9379"/>
      <c r="O9379"/>
      <c r="P9379"/>
    </row>
    <row r="9380" spans="12:16">
      <c r="L9380"/>
      <c r="M9380"/>
      <c r="O9380"/>
      <c r="P9380"/>
    </row>
    <row r="9381" spans="12:16">
      <c r="L9381"/>
      <c r="M9381"/>
      <c r="O9381"/>
      <c r="P9381"/>
    </row>
    <row r="9382" spans="12:16">
      <c r="L9382"/>
      <c r="M9382"/>
      <c r="O9382"/>
      <c r="P9382"/>
    </row>
    <row r="9383" spans="12:16">
      <c r="L9383"/>
      <c r="M9383"/>
      <c r="O9383"/>
      <c r="P9383"/>
    </row>
    <row r="9384" spans="12:16">
      <c r="L9384"/>
      <c r="M9384"/>
      <c r="O9384"/>
      <c r="P9384"/>
    </row>
    <row r="9385" spans="12:16">
      <c r="L9385"/>
      <c r="M9385"/>
      <c r="O9385"/>
      <c r="P9385"/>
    </row>
    <row r="9386" spans="12:16">
      <c r="L9386"/>
      <c r="M9386"/>
      <c r="O9386"/>
      <c r="P9386"/>
    </row>
    <row r="9387" spans="12:16">
      <c r="L9387"/>
      <c r="M9387"/>
      <c r="O9387"/>
      <c r="P9387"/>
    </row>
    <row r="9388" spans="12:16">
      <c r="L9388"/>
      <c r="M9388"/>
      <c r="O9388"/>
      <c r="P9388"/>
    </row>
    <row r="9389" spans="12:16">
      <c r="L9389"/>
      <c r="M9389"/>
      <c r="O9389"/>
      <c r="P9389"/>
    </row>
    <row r="9390" spans="12:16">
      <c r="L9390"/>
      <c r="M9390"/>
      <c r="O9390"/>
      <c r="P9390"/>
    </row>
    <row r="9391" spans="12:16">
      <c r="L9391"/>
      <c r="M9391"/>
      <c r="O9391"/>
      <c r="P9391"/>
    </row>
    <row r="9392" spans="12:16">
      <c r="L9392"/>
      <c r="M9392"/>
      <c r="O9392"/>
      <c r="P9392"/>
    </row>
    <row r="9393" spans="12:16">
      <c r="L9393"/>
      <c r="M9393"/>
      <c r="O9393"/>
      <c r="P9393"/>
    </row>
    <row r="9394" spans="12:16">
      <c r="L9394"/>
      <c r="M9394"/>
      <c r="O9394"/>
      <c r="P9394"/>
    </row>
    <row r="9395" spans="12:16">
      <c r="L9395"/>
      <c r="M9395"/>
      <c r="O9395"/>
      <c r="P9395"/>
    </row>
    <row r="9396" spans="12:16">
      <c r="L9396"/>
      <c r="M9396"/>
      <c r="O9396"/>
      <c r="P9396"/>
    </row>
    <row r="9397" spans="12:16">
      <c r="L9397"/>
      <c r="M9397"/>
      <c r="O9397"/>
      <c r="P9397"/>
    </row>
    <row r="9398" spans="12:16">
      <c r="L9398"/>
      <c r="M9398"/>
      <c r="O9398"/>
      <c r="P9398"/>
    </row>
    <row r="9399" spans="12:16">
      <c r="L9399"/>
      <c r="M9399"/>
      <c r="O9399"/>
      <c r="P9399"/>
    </row>
    <row r="9400" spans="12:16">
      <c r="L9400"/>
      <c r="M9400"/>
      <c r="O9400"/>
      <c r="P9400"/>
    </row>
    <row r="9401" spans="12:16">
      <c r="L9401"/>
      <c r="M9401"/>
      <c r="O9401"/>
      <c r="P9401"/>
    </row>
    <row r="9402" spans="12:16">
      <c r="L9402"/>
      <c r="M9402"/>
      <c r="O9402"/>
      <c r="P9402"/>
    </row>
    <row r="9403" spans="12:16">
      <c r="L9403"/>
      <c r="M9403"/>
      <c r="O9403"/>
      <c r="P9403"/>
    </row>
    <row r="9404" spans="12:16">
      <c r="L9404"/>
      <c r="M9404"/>
      <c r="O9404"/>
      <c r="P9404"/>
    </row>
    <row r="9405" spans="12:16">
      <c r="L9405"/>
      <c r="M9405"/>
      <c r="O9405"/>
      <c r="P9405"/>
    </row>
    <row r="9406" spans="12:16">
      <c r="L9406"/>
      <c r="M9406"/>
      <c r="O9406"/>
      <c r="P9406"/>
    </row>
    <row r="9407" spans="12:16">
      <c r="L9407"/>
      <c r="M9407"/>
      <c r="O9407"/>
      <c r="P9407"/>
    </row>
    <row r="9408" spans="12:16">
      <c r="L9408"/>
      <c r="M9408"/>
      <c r="O9408"/>
      <c r="P9408"/>
    </row>
    <row r="9409" spans="12:16">
      <c r="L9409"/>
      <c r="M9409"/>
      <c r="O9409"/>
      <c r="P9409"/>
    </row>
    <row r="9410" spans="12:16">
      <c r="L9410"/>
      <c r="M9410"/>
      <c r="O9410"/>
      <c r="P9410"/>
    </row>
    <row r="9411" spans="12:16">
      <c r="L9411"/>
      <c r="M9411"/>
      <c r="O9411"/>
      <c r="P9411"/>
    </row>
    <row r="9412" spans="12:16">
      <c r="L9412"/>
      <c r="M9412"/>
      <c r="O9412"/>
      <c r="P9412"/>
    </row>
    <row r="9413" spans="12:16">
      <c r="L9413"/>
      <c r="M9413"/>
      <c r="O9413"/>
      <c r="P9413"/>
    </row>
    <row r="9414" spans="12:16">
      <c r="L9414"/>
      <c r="M9414"/>
      <c r="O9414"/>
      <c r="P9414"/>
    </row>
    <row r="9415" spans="12:16">
      <c r="L9415"/>
      <c r="M9415"/>
      <c r="O9415"/>
      <c r="P9415"/>
    </row>
    <row r="9416" spans="12:16">
      <c r="L9416"/>
      <c r="M9416"/>
      <c r="O9416"/>
      <c r="P9416"/>
    </row>
    <row r="9417" spans="12:16">
      <c r="L9417"/>
      <c r="M9417"/>
      <c r="O9417"/>
      <c r="P9417"/>
    </row>
    <row r="9418" spans="12:16">
      <c r="L9418"/>
      <c r="M9418"/>
      <c r="O9418"/>
      <c r="P9418"/>
    </row>
    <row r="9419" spans="12:16">
      <c r="L9419"/>
      <c r="M9419"/>
      <c r="O9419"/>
      <c r="P9419"/>
    </row>
    <row r="9420" spans="12:16">
      <c r="L9420"/>
      <c r="M9420"/>
      <c r="O9420"/>
      <c r="P9420"/>
    </row>
    <row r="9421" spans="12:16">
      <c r="L9421"/>
      <c r="M9421"/>
      <c r="O9421"/>
      <c r="P9421"/>
    </row>
    <row r="9422" spans="12:16">
      <c r="L9422"/>
      <c r="M9422"/>
      <c r="O9422"/>
      <c r="P9422"/>
    </row>
    <row r="9423" spans="12:16">
      <c r="L9423"/>
      <c r="M9423"/>
      <c r="O9423"/>
      <c r="P9423"/>
    </row>
    <row r="9424" spans="12:16">
      <c r="L9424"/>
      <c r="M9424"/>
      <c r="O9424"/>
      <c r="P9424"/>
    </row>
    <row r="9425" spans="12:16">
      <c r="L9425"/>
      <c r="M9425"/>
      <c r="O9425"/>
      <c r="P9425"/>
    </row>
    <row r="9426" spans="12:16">
      <c r="L9426"/>
      <c r="M9426"/>
      <c r="O9426"/>
      <c r="P9426"/>
    </row>
    <row r="9427" spans="12:16">
      <c r="L9427"/>
      <c r="M9427"/>
      <c r="O9427"/>
      <c r="P9427"/>
    </row>
    <row r="9428" spans="12:16">
      <c r="L9428"/>
      <c r="M9428"/>
      <c r="O9428"/>
      <c r="P9428"/>
    </row>
    <row r="9429" spans="12:16">
      <c r="L9429"/>
      <c r="M9429"/>
      <c r="O9429"/>
      <c r="P9429"/>
    </row>
    <row r="9430" spans="12:16">
      <c r="L9430"/>
      <c r="M9430"/>
      <c r="O9430"/>
      <c r="P9430"/>
    </row>
    <row r="9431" spans="12:16">
      <c r="L9431"/>
      <c r="M9431"/>
      <c r="O9431"/>
      <c r="P9431"/>
    </row>
    <row r="9432" spans="12:16">
      <c r="L9432"/>
      <c r="M9432"/>
      <c r="O9432"/>
      <c r="P9432"/>
    </row>
    <row r="9433" spans="12:16">
      <c r="L9433"/>
      <c r="M9433"/>
      <c r="O9433"/>
      <c r="P9433"/>
    </row>
    <row r="9434" spans="12:16">
      <c r="L9434"/>
      <c r="M9434"/>
      <c r="O9434"/>
      <c r="P9434"/>
    </row>
    <row r="9435" spans="12:16">
      <c r="L9435"/>
      <c r="M9435"/>
      <c r="O9435"/>
      <c r="P9435"/>
    </row>
    <row r="9436" spans="12:16">
      <c r="L9436"/>
      <c r="M9436"/>
      <c r="O9436"/>
      <c r="P9436"/>
    </row>
    <row r="9437" spans="12:16">
      <c r="L9437"/>
      <c r="M9437"/>
      <c r="O9437"/>
      <c r="P9437"/>
    </row>
    <row r="9438" spans="12:16">
      <c r="L9438"/>
      <c r="M9438"/>
      <c r="O9438"/>
      <c r="P9438"/>
    </row>
    <row r="9439" spans="12:16">
      <c r="L9439"/>
      <c r="M9439"/>
      <c r="O9439"/>
      <c r="P9439"/>
    </row>
    <row r="9440" spans="12:16">
      <c r="L9440"/>
      <c r="M9440"/>
      <c r="O9440"/>
      <c r="P9440"/>
    </row>
    <row r="9441" spans="12:16">
      <c r="L9441"/>
      <c r="M9441"/>
      <c r="O9441"/>
      <c r="P9441"/>
    </row>
    <row r="9442" spans="12:16">
      <c r="L9442"/>
      <c r="M9442"/>
      <c r="O9442"/>
      <c r="P9442"/>
    </row>
    <row r="9443" spans="12:16">
      <c r="L9443"/>
      <c r="M9443"/>
      <c r="O9443"/>
      <c r="P9443"/>
    </row>
    <row r="9444" spans="12:16">
      <c r="L9444"/>
      <c r="M9444"/>
      <c r="O9444"/>
      <c r="P9444"/>
    </row>
    <row r="9445" spans="12:16">
      <c r="L9445"/>
      <c r="M9445"/>
      <c r="O9445"/>
      <c r="P9445"/>
    </row>
    <row r="9446" spans="12:16">
      <c r="L9446"/>
      <c r="M9446"/>
      <c r="O9446"/>
      <c r="P9446"/>
    </row>
    <row r="9447" spans="12:16">
      <c r="L9447"/>
      <c r="M9447"/>
      <c r="O9447"/>
      <c r="P9447"/>
    </row>
    <row r="9448" spans="12:16">
      <c r="L9448"/>
      <c r="M9448"/>
      <c r="O9448"/>
      <c r="P9448"/>
    </row>
    <row r="9449" spans="12:16">
      <c r="L9449"/>
      <c r="M9449"/>
      <c r="O9449"/>
      <c r="P9449"/>
    </row>
    <row r="9450" spans="12:16">
      <c r="L9450"/>
      <c r="M9450"/>
      <c r="O9450"/>
      <c r="P9450"/>
    </row>
    <row r="9451" spans="12:16">
      <c r="L9451"/>
      <c r="M9451"/>
      <c r="O9451"/>
      <c r="P9451"/>
    </row>
    <row r="9452" spans="12:16">
      <c r="L9452"/>
      <c r="M9452"/>
      <c r="O9452"/>
      <c r="P9452"/>
    </row>
    <row r="9453" spans="12:16">
      <c r="L9453"/>
      <c r="M9453"/>
      <c r="O9453"/>
      <c r="P9453"/>
    </row>
    <row r="9454" spans="12:16">
      <c r="L9454"/>
      <c r="M9454"/>
      <c r="O9454"/>
      <c r="P9454"/>
    </row>
    <row r="9455" spans="12:16">
      <c r="L9455"/>
      <c r="M9455"/>
      <c r="O9455"/>
      <c r="P9455"/>
    </row>
    <row r="9456" spans="12:16">
      <c r="L9456"/>
      <c r="M9456"/>
      <c r="O9456"/>
      <c r="P9456"/>
    </row>
    <row r="9457" spans="12:16">
      <c r="L9457"/>
      <c r="M9457"/>
      <c r="O9457"/>
      <c r="P9457"/>
    </row>
    <row r="9458" spans="12:16">
      <c r="L9458"/>
      <c r="M9458"/>
      <c r="O9458"/>
      <c r="P9458"/>
    </row>
    <row r="9459" spans="12:16">
      <c r="L9459"/>
      <c r="M9459"/>
      <c r="O9459"/>
      <c r="P9459"/>
    </row>
    <row r="9460" spans="12:16">
      <c r="L9460"/>
      <c r="M9460"/>
      <c r="O9460"/>
      <c r="P9460"/>
    </row>
    <row r="9461" spans="12:16">
      <c r="L9461"/>
      <c r="M9461"/>
      <c r="O9461"/>
      <c r="P9461"/>
    </row>
    <row r="9462" spans="12:16">
      <c r="L9462"/>
      <c r="M9462"/>
      <c r="O9462"/>
      <c r="P9462"/>
    </row>
    <row r="9463" spans="12:16">
      <c r="L9463"/>
      <c r="M9463"/>
      <c r="O9463"/>
      <c r="P9463"/>
    </row>
    <row r="9464" spans="12:16">
      <c r="L9464"/>
      <c r="M9464"/>
      <c r="O9464"/>
      <c r="P9464"/>
    </row>
    <row r="9465" spans="12:16">
      <c r="L9465"/>
      <c r="M9465"/>
      <c r="O9465"/>
      <c r="P9465"/>
    </row>
    <row r="9466" spans="12:16">
      <c r="L9466"/>
      <c r="M9466"/>
      <c r="O9466"/>
      <c r="P9466"/>
    </row>
    <row r="9467" spans="12:16">
      <c r="L9467"/>
      <c r="M9467"/>
      <c r="O9467"/>
      <c r="P9467"/>
    </row>
    <row r="9468" spans="12:16">
      <c r="L9468"/>
      <c r="M9468"/>
      <c r="O9468"/>
      <c r="P9468"/>
    </row>
    <row r="9469" spans="12:16">
      <c r="L9469"/>
      <c r="M9469"/>
      <c r="O9469"/>
      <c r="P9469"/>
    </row>
    <row r="9470" spans="12:16">
      <c r="L9470"/>
      <c r="M9470"/>
      <c r="O9470"/>
      <c r="P9470"/>
    </row>
    <row r="9471" spans="12:16">
      <c r="L9471"/>
      <c r="M9471"/>
      <c r="O9471"/>
      <c r="P9471"/>
    </row>
    <row r="9472" spans="12:16">
      <c r="L9472"/>
      <c r="M9472"/>
      <c r="O9472"/>
      <c r="P9472"/>
    </row>
    <row r="9473" spans="12:16">
      <c r="L9473"/>
      <c r="M9473"/>
      <c r="O9473"/>
      <c r="P9473"/>
    </row>
    <row r="9474" spans="12:16">
      <c r="L9474"/>
      <c r="M9474"/>
      <c r="O9474"/>
      <c r="P9474"/>
    </row>
    <row r="9475" spans="12:16">
      <c r="L9475"/>
      <c r="M9475"/>
      <c r="O9475"/>
      <c r="P9475"/>
    </row>
    <row r="9476" spans="12:16">
      <c r="L9476"/>
      <c r="M9476"/>
      <c r="O9476"/>
      <c r="P9476"/>
    </row>
    <row r="9477" spans="12:16">
      <c r="L9477"/>
      <c r="M9477"/>
      <c r="O9477"/>
      <c r="P9477"/>
    </row>
    <row r="9478" spans="12:16">
      <c r="L9478"/>
      <c r="M9478"/>
      <c r="O9478"/>
      <c r="P9478"/>
    </row>
    <row r="9479" spans="12:16">
      <c r="L9479"/>
      <c r="M9479"/>
      <c r="O9479"/>
      <c r="P9479"/>
    </row>
    <row r="9480" spans="12:16">
      <c r="L9480"/>
      <c r="M9480"/>
      <c r="O9480"/>
      <c r="P9480"/>
    </row>
    <row r="9481" spans="12:16">
      <c r="L9481"/>
      <c r="M9481"/>
      <c r="O9481"/>
      <c r="P9481"/>
    </row>
    <row r="9482" spans="12:16">
      <c r="L9482"/>
      <c r="M9482"/>
      <c r="O9482"/>
      <c r="P9482"/>
    </row>
    <row r="9483" spans="12:16">
      <c r="L9483"/>
      <c r="M9483"/>
      <c r="O9483"/>
      <c r="P9483"/>
    </row>
    <row r="9484" spans="12:16">
      <c r="L9484"/>
      <c r="M9484"/>
      <c r="O9484"/>
      <c r="P9484"/>
    </row>
    <row r="9485" spans="12:16">
      <c r="L9485"/>
      <c r="M9485"/>
      <c r="O9485"/>
      <c r="P9485"/>
    </row>
    <row r="9486" spans="12:16">
      <c r="L9486"/>
      <c r="M9486"/>
      <c r="O9486"/>
      <c r="P9486"/>
    </row>
    <row r="9487" spans="12:16">
      <c r="L9487"/>
      <c r="M9487"/>
      <c r="O9487"/>
      <c r="P9487"/>
    </row>
    <row r="9488" spans="12:16">
      <c r="L9488"/>
      <c r="M9488"/>
      <c r="O9488"/>
      <c r="P9488"/>
    </row>
    <row r="9489" spans="12:16">
      <c r="L9489"/>
      <c r="M9489"/>
      <c r="O9489"/>
      <c r="P9489"/>
    </row>
    <row r="9490" spans="12:16">
      <c r="L9490"/>
      <c r="M9490"/>
      <c r="O9490"/>
      <c r="P9490"/>
    </row>
    <row r="9491" spans="12:16">
      <c r="L9491"/>
      <c r="M9491"/>
      <c r="O9491"/>
      <c r="P9491"/>
    </row>
    <row r="9492" spans="12:16">
      <c r="L9492"/>
      <c r="M9492"/>
      <c r="O9492"/>
      <c r="P9492"/>
    </row>
    <row r="9493" spans="12:16">
      <c r="L9493"/>
      <c r="M9493"/>
      <c r="O9493"/>
      <c r="P9493"/>
    </row>
    <row r="9494" spans="12:16">
      <c r="L9494"/>
      <c r="M9494"/>
      <c r="O9494"/>
      <c r="P9494"/>
    </row>
    <row r="9495" spans="12:16">
      <c r="L9495"/>
      <c r="M9495"/>
      <c r="O9495"/>
      <c r="P9495"/>
    </row>
    <row r="9496" spans="12:16">
      <c r="L9496"/>
      <c r="M9496"/>
      <c r="O9496"/>
      <c r="P9496"/>
    </row>
    <row r="9497" spans="12:16">
      <c r="L9497"/>
      <c r="M9497"/>
      <c r="O9497"/>
      <c r="P9497"/>
    </row>
    <row r="9498" spans="12:16">
      <c r="L9498"/>
      <c r="M9498"/>
      <c r="O9498"/>
      <c r="P9498"/>
    </row>
    <row r="9499" spans="12:16">
      <c r="L9499"/>
      <c r="M9499"/>
      <c r="O9499"/>
      <c r="P9499"/>
    </row>
    <row r="9500" spans="12:16">
      <c r="L9500"/>
      <c r="M9500"/>
      <c r="O9500"/>
      <c r="P9500"/>
    </row>
    <row r="9501" spans="12:16">
      <c r="L9501"/>
      <c r="M9501"/>
      <c r="O9501"/>
      <c r="P9501"/>
    </row>
    <row r="9502" spans="12:16">
      <c r="L9502"/>
      <c r="M9502"/>
      <c r="O9502"/>
      <c r="P9502"/>
    </row>
    <row r="9503" spans="12:16">
      <c r="L9503"/>
      <c r="M9503"/>
      <c r="O9503"/>
      <c r="P9503"/>
    </row>
    <row r="9504" spans="12:16">
      <c r="L9504"/>
      <c r="M9504"/>
      <c r="O9504"/>
      <c r="P9504"/>
    </row>
    <row r="9505" spans="12:16">
      <c r="L9505"/>
      <c r="M9505"/>
      <c r="O9505"/>
      <c r="P9505"/>
    </row>
    <row r="9506" spans="12:16">
      <c r="L9506"/>
      <c r="M9506"/>
      <c r="O9506"/>
      <c r="P9506"/>
    </row>
    <row r="9507" spans="12:16">
      <c r="L9507"/>
      <c r="M9507"/>
      <c r="O9507"/>
      <c r="P9507"/>
    </row>
    <row r="9508" spans="12:16">
      <c r="L9508"/>
      <c r="M9508"/>
      <c r="O9508"/>
      <c r="P9508"/>
    </row>
    <row r="9509" spans="12:16">
      <c r="L9509"/>
      <c r="M9509"/>
      <c r="O9509"/>
      <c r="P9509"/>
    </row>
    <row r="9510" spans="12:16">
      <c r="L9510"/>
      <c r="M9510"/>
      <c r="O9510"/>
      <c r="P9510"/>
    </row>
    <row r="9511" spans="12:16">
      <c r="L9511"/>
      <c r="M9511"/>
      <c r="O9511"/>
      <c r="P9511"/>
    </row>
    <row r="9512" spans="12:16">
      <c r="L9512"/>
      <c r="M9512"/>
      <c r="O9512"/>
      <c r="P9512"/>
    </row>
    <row r="9513" spans="12:16">
      <c r="L9513"/>
      <c r="M9513"/>
      <c r="O9513"/>
      <c r="P9513"/>
    </row>
    <row r="9514" spans="12:16">
      <c r="L9514"/>
      <c r="M9514"/>
      <c r="O9514"/>
      <c r="P9514"/>
    </row>
    <row r="9515" spans="12:16">
      <c r="L9515"/>
      <c r="M9515"/>
      <c r="O9515"/>
      <c r="P9515"/>
    </row>
    <row r="9516" spans="12:16">
      <c r="L9516"/>
      <c r="M9516"/>
      <c r="O9516"/>
      <c r="P9516"/>
    </row>
    <row r="9517" spans="12:16">
      <c r="L9517"/>
      <c r="M9517"/>
      <c r="O9517"/>
      <c r="P9517"/>
    </row>
    <row r="9518" spans="12:16">
      <c r="L9518"/>
      <c r="M9518"/>
      <c r="O9518"/>
      <c r="P9518"/>
    </row>
    <row r="9519" spans="12:16">
      <c r="L9519"/>
      <c r="M9519"/>
      <c r="O9519"/>
      <c r="P9519"/>
    </row>
    <row r="9520" spans="12:16">
      <c r="L9520"/>
      <c r="M9520"/>
      <c r="O9520"/>
      <c r="P9520"/>
    </row>
    <row r="9521" spans="12:16">
      <c r="L9521"/>
      <c r="M9521"/>
      <c r="O9521"/>
      <c r="P9521"/>
    </row>
    <row r="9522" spans="12:16">
      <c r="L9522"/>
      <c r="M9522"/>
      <c r="O9522"/>
      <c r="P9522"/>
    </row>
    <row r="9523" spans="12:16">
      <c r="L9523"/>
      <c r="M9523"/>
      <c r="O9523"/>
      <c r="P9523"/>
    </row>
    <row r="9524" spans="12:16">
      <c r="L9524"/>
      <c r="M9524"/>
      <c r="O9524"/>
      <c r="P9524"/>
    </row>
    <row r="9525" spans="12:16">
      <c r="L9525"/>
      <c r="M9525"/>
      <c r="O9525"/>
      <c r="P9525"/>
    </row>
    <row r="9526" spans="12:16">
      <c r="L9526"/>
      <c r="M9526"/>
      <c r="O9526"/>
      <c r="P9526"/>
    </row>
    <row r="9527" spans="12:16">
      <c r="L9527"/>
      <c r="M9527"/>
      <c r="O9527"/>
      <c r="P9527"/>
    </row>
    <row r="9528" spans="12:16">
      <c r="L9528"/>
      <c r="M9528"/>
      <c r="O9528"/>
      <c r="P9528"/>
    </row>
    <row r="9529" spans="12:16">
      <c r="L9529"/>
      <c r="M9529"/>
      <c r="O9529"/>
      <c r="P9529"/>
    </row>
    <row r="9530" spans="12:16">
      <c r="L9530"/>
      <c r="M9530"/>
      <c r="O9530"/>
      <c r="P9530"/>
    </row>
    <row r="9531" spans="12:16">
      <c r="L9531"/>
      <c r="M9531"/>
      <c r="O9531"/>
      <c r="P9531"/>
    </row>
    <row r="9532" spans="12:16">
      <c r="L9532"/>
      <c r="M9532"/>
      <c r="O9532"/>
      <c r="P9532"/>
    </row>
    <row r="9533" spans="12:16">
      <c r="L9533"/>
      <c r="M9533"/>
      <c r="O9533"/>
      <c r="P9533"/>
    </row>
    <row r="9534" spans="12:16">
      <c r="L9534"/>
      <c r="M9534"/>
      <c r="O9534"/>
      <c r="P9534"/>
    </row>
    <row r="9535" spans="12:16">
      <c r="L9535"/>
      <c r="M9535"/>
      <c r="O9535"/>
      <c r="P9535"/>
    </row>
    <row r="9536" spans="12:16">
      <c r="L9536"/>
      <c r="M9536"/>
      <c r="O9536"/>
      <c r="P9536"/>
    </row>
    <row r="9537" spans="12:16">
      <c r="L9537"/>
      <c r="M9537"/>
      <c r="O9537"/>
      <c r="P9537"/>
    </row>
    <row r="9538" spans="12:16">
      <c r="L9538"/>
      <c r="M9538"/>
      <c r="O9538"/>
      <c r="P9538"/>
    </row>
    <row r="9539" spans="12:16">
      <c r="L9539"/>
      <c r="M9539"/>
      <c r="O9539"/>
      <c r="P9539"/>
    </row>
    <row r="9540" spans="12:16">
      <c r="L9540"/>
      <c r="M9540"/>
      <c r="O9540"/>
      <c r="P9540"/>
    </row>
    <row r="9541" spans="12:16">
      <c r="L9541"/>
      <c r="M9541"/>
      <c r="O9541"/>
      <c r="P9541"/>
    </row>
    <row r="9542" spans="12:16">
      <c r="L9542"/>
      <c r="M9542"/>
      <c r="O9542"/>
      <c r="P9542"/>
    </row>
    <row r="9543" spans="12:16">
      <c r="L9543"/>
      <c r="M9543"/>
      <c r="O9543"/>
      <c r="P9543"/>
    </row>
    <row r="9544" spans="12:16">
      <c r="L9544"/>
      <c r="M9544"/>
      <c r="O9544"/>
      <c r="P9544"/>
    </row>
    <row r="9545" spans="12:16">
      <c r="L9545"/>
      <c r="M9545"/>
      <c r="O9545"/>
      <c r="P9545"/>
    </row>
    <row r="9546" spans="12:16">
      <c r="L9546"/>
      <c r="M9546"/>
      <c r="O9546"/>
      <c r="P9546"/>
    </row>
    <row r="9547" spans="12:16">
      <c r="L9547"/>
      <c r="M9547"/>
      <c r="O9547"/>
      <c r="P9547"/>
    </row>
    <row r="9548" spans="12:16">
      <c r="L9548"/>
      <c r="M9548"/>
      <c r="O9548"/>
      <c r="P9548"/>
    </row>
    <row r="9549" spans="12:16">
      <c r="L9549"/>
      <c r="M9549"/>
      <c r="O9549"/>
      <c r="P9549"/>
    </row>
    <row r="9550" spans="12:16">
      <c r="L9550"/>
      <c r="M9550"/>
      <c r="O9550"/>
      <c r="P9550"/>
    </row>
    <row r="9551" spans="12:16">
      <c r="L9551"/>
      <c r="M9551"/>
      <c r="O9551"/>
      <c r="P9551"/>
    </row>
    <row r="9552" spans="12:16">
      <c r="L9552"/>
      <c r="M9552"/>
      <c r="O9552"/>
      <c r="P9552"/>
    </row>
    <row r="9553" spans="12:16">
      <c r="L9553"/>
      <c r="M9553"/>
      <c r="O9553"/>
      <c r="P9553"/>
    </row>
    <row r="9554" spans="12:16">
      <c r="L9554"/>
      <c r="M9554"/>
      <c r="O9554"/>
      <c r="P9554"/>
    </row>
    <row r="9555" spans="12:16">
      <c r="L9555"/>
      <c r="M9555"/>
      <c r="O9555"/>
      <c r="P9555"/>
    </row>
    <row r="9556" spans="12:16">
      <c r="L9556"/>
      <c r="M9556"/>
      <c r="O9556"/>
      <c r="P9556"/>
    </row>
    <row r="9557" spans="12:16">
      <c r="L9557"/>
      <c r="M9557"/>
      <c r="O9557"/>
      <c r="P9557"/>
    </row>
    <row r="9558" spans="12:16">
      <c r="L9558"/>
      <c r="M9558"/>
      <c r="O9558"/>
      <c r="P9558"/>
    </row>
    <row r="9559" spans="12:16">
      <c r="L9559"/>
      <c r="M9559"/>
      <c r="O9559"/>
      <c r="P9559"/>
    </row>
    <row r="9560" spans="12:16">
      <c r="L9560"/>
      <c r="M9560"/>
      <c r="O9560"/>
      <c r="P9560"/>
    </row>
    <row r="9561" spans="12:16">
      <c r="L9561"/>
      <c r="M9561"/>
      <c r="O9561"/>
      <c r="P9561"/>
    </row>
    <row r="9562" spans="12:16">
      <c r="L9562"/>
      <c r="M9562"/>
      <c r="O9562"/>
      <c r="P9562"/>
    </row>
    <row r="9563" spans="12:16">
      <c r="L9563"/>
      <c r="M9563"/>
      <c r="O9563"/>
      <c r="P9563"/>
    </row>
    <row r="9564" spans="12:16">
      <c r="L9564"/>
      <c r="M9564"/>
      <c r="O9564"/>
      <c r="P9564"/>
    </row>
    <row r="9565" spans="12:16">
      <c r="L9565"/>
      <c r="M9565"/>
      <c r="O9565"/>
      <c r="P9565"/>
    </row>
    <row r="9566" spans="12:16">
      <c r="L9566"/>
      <c r="M9566"/>
      <c r="O9566"/>
      <c r="P9566"/>
    </row>
    <row r="9567" spans="12:16">
      <c r="L9567"/>
      <c r="M9567"/>
      <c r="O9567"/>
      <c r="P9567"/>
    </row>
    <row r="9568" spans="12:16">
      <c r="L9568"/>
      <c r="M9568"/>
      <c r="O9568"/>
      <c r="P9568"/>
    </row>
    <row r="9569" spans="12:16">
      <c r="L9569"/>
      <c r="M9569"/>
      <c r="O9569"/>
      <c r="P9569"/>
    </row>
    <row r="9570" spans="12:16">
      <c r="L9570"/>
      <c r="M9570"/>
      <c r="O9570"/>
      <c r="P9570"/>
    </row>
    <row r="9571" spans="12:16">
      <c r="L9571"/>
      <c r="M9571"/>
      <c r="O9571"/>
      <c r="P9571"/>
    </row>
    <row r="9572" spans="12:16">
      <c r="L9572"/>
      <c r="M9572"/>
      <c r="O9572"/>
      <c r="P9572"/>
    </row>
    <row r="9573" spans="12:16">
      <c r="L9573"/>
      <c r="M9573"/>
      <c r="O9573"/>
      <c r="P9573"/>
    </row>
    <row r="9574" spans="12:16">
      <c r="L9574"/>
      <c r="M9574"/>
      <c r="O9574"/>
      <c r="P9574"/>
    </row>
    <row r="9575" spans="12:16">
      <c r="L9575"/>
      <c r="M9575"/>
      <c r="O9575"/>
      <c r="P9575"/>
    </row>
    <row r="9576" spans="12:16">
      <c r="L9576"/>
      <c r="M9576"/>
      <c r="O9576"/>
      <c r="P9576"/>
    </row>
    <row r="9577" spans="12:16">
      <c r="L9577"/>
      <c r="M9577"/>
      <c r="O9577"/>
      <c r="P9577"/>
    </row>
    <row r="9578" spans="12:16">
      <c r="L9578"/>
      <c r="M9578"/>
      <c r="O9578"/>
      <c r="P9578"/>
    </row>
    <row r="9579" spans="12:16">
      <c r="L9579"/>
      <c r="M9579"/>
      <c r="O9579"/>
      <c r="P9579"/>
    </row>
    <row r="9580" spans="12:16">
      <c r="L9580"/>
      <c r="M9580"/>
      <c r="O9580"/>
      <c r="P9580"/>
    </row>
    <row r="9581" spans="12:16">
      <c r="L9581"/>
      <c r="M9581"/>
      <c r="O9581"/>
      <c r="P9581"/>
    </row>
    <row r="9582" spans="12:16">
      <c r="L9582"/>
      <c r="M9582"/>
      <c r="O9582"/>
      <c r="P9582"/>
    </row>
    <row r="9583" spans="12:16">
      <c r="L9583"/>
      <c r="M9583"/>
      <c r="O9583"/>
      <c r="P9583"/>
    </row>
    <row r="9584" spans="12:16">
      <c r="L9584"/>
      <c r="M9584"/>
      <c r="O9584"/>
      <c r="P9584"/>
    </row>
    <row r="9585" spans="12:16">
      <c r="L9585"/>
      <c r="M9585"/>
      <c r="O9585"/>
      <c r="P9585"/>
    </row>
    <row r="9586" spans="12:16">
      <c r="L9586"/>
      <c r="M9586"/>
      <c r="O9586"/>
      <c r="P9586"/>
    </row>
    <row r="9587" spans="12:16">
      <c r="L9587"/>
      <c r="M9587"/>
      <c r="O9587"/>
      <c r="P9587"/>
    </row>
    <row r="9588" spans="12:16">
      <c r="L9588"/>
      <c r="M9588"/>
      <c r="O9588"/>
      <c r="P9588"/>
    </row>
    <row r="9589" spans="12:16">
      <c r="L9589"/>
      <c r="M9589"/>
      <c r="O9589"/>
      <c r="P9589"/>
    </row>
    <row r="9590" spans="12:16">
      <c r="L9590"/>
      <c r="M9590"/>
      <c r="O9590"/>
      <c r="P9590"/>
    </row>
    <row r="9591" spans="12:16">
      <c r="L9591"/>
      <c r="M9591"/>
      <c r="O9591"/>
      <c r="P9591"/>
    </row>
    <row r="9592" spans="12:16">
      <c r="L9592"/>
      <c r="M9592"/>
      <c r="O9592"/>
      <c r="P9592"/>
    </row>
    <row r="9593" spans="12:16">
      <c r="L9593"/>
      <c r="M9593"/>
      <c r="O9593"/>
      <c r="P9593"/>
    </row>
    <row r="9594" spans="12:16">
      <c r="L9594"/>
      <c r="M9594"/>
      <c r="O9594"/>
      <c r="P9594"/>
    </row>
    <row r="9595" spans="12:16">
      <c r="L9595"/>
      <c r="M9595"/>
      <c r="O9595"/>
      <c r="P9595"/>
    </row>
    <row r="9596" spans="12:16">
      <c r="L9596"/>
      <c r="M9596"/>
      <c r="O9596"/>
      <c r="P9596"/>
    </row>
    <row r="9597" spans="12:16">
      <c r="L9597"/>
      <c r="M9597"/>
      <c r="O9597"/>
      <c r="P9597"/>
    </row>
    <row r="9598" spans="12:16">
      <c r="L9598"/>
      <c r="M9598"/>
      <c r="O9598"/>
      <c r="P9598"/>
    </row>
    <row r="9599" spans="12:16">
      <c r="L9599"/>
      <c r="M9599"/>
      <c r="O9599"/>
      <c r="P9599"/>
    </row>
    <row r="9600" spans="12:16">
      <c r="L9600"/>
      <c r="M9600"/>
      <c r="O9600"/>
      <c r="P9600"/>
    </row>
    <row r="9601" spans="12:16">
      <c r="L9601"/>
      <c r="M9601"/>
      <c r="O9601"/>
      <c r="P9601"/>
    </row>
    <row r="9602" spans="12:16">
      <c r="L9602"/>
      <c r="M9602"/>
      <c r="O9602"/>
      <c r="P9602"/>
    </row>
    <row r="9603" spans="12:16">
      <c r="L9603"/>
      <c r="M9603"/>
      <c r="O9603"/>
      <c r="P9603"/>
    </row>
    <row r="9604" spans="12:16">
      <c r="L9604"/>
      <c r="M9604"/>
      <c r="O9604"/>
      <c r="P9604"/>
    </row>
    <row r="9605" spans="12:16">
      <c r="L9605"/>
      <c r="M9605"/>
      <c r="O9605"/>
      <c r="P9605"/>
    </row>
    <row r="9606" spans="12:16">
      <c r="L9606"/>
      <c r="M9606"/>
      <c r="O9606"/>
      <c r="P9606"/>
    </row>
    <row r="9607" spans="12:16">
      <c r="L9607"/>
      <c r="M9607"/>
      <c r="O9607"/>
      <c r="P9607"/>
    </row>
    <row r="9608" spans="12:16">
      <c r="L9608"/>
      <c r="M9608"/>
      <c r="O9608"/>
      <c r="P9608"/>
    </row>
    <row r="9609" spans="12:16">
      <c r="L9609"/>
      <c r="M9609"/>
      <c r="O9609"/>
      <c r="P9609"/>
    </row>
    <row r="9610" spans="12:16">
      <c r="L9610"/>
      <c r="M9610"/>
      <c r="O9610"/>
      <c r="P9610"/>
    </row>
    <row r="9611" spans="12:16">
      <c r="L9611"/>
      <c r="M9611"/>
      <c r="O9611"/>
      <c r="P9611"/>
    </row>
    <row r="9612" spans="12:16">
      <c r="L9612"/>
      <c r="M9612"/>
      <c r="O9612"/>
      <c r="P9612"/>
    </row>
    <row r="9613" spans="12:16">
      <c r="L9613"/>
      <c r="M9613"/>
      <c r="O9613"/>
      <c r="P9613"/>
    </row>
    <row r="9614" spans="12:16">
      <c r="L9614"/>
      <c r="M9614"/>
      <c r="O9614"/>
      <c r="P9614"/>
    </row>
    <row r="9615" spans="12:16">
      <c r="L9615"/>
      <c r="M9615"/>
      <c r="O9615"/>
      <c r="P9615"/>
    </row>
    <row r="9616" spans="12:16">
      <c r="L9616"/>
      <c r="M9616"/>
      <c r="O9616"/>
      <c r="P9616"/>
    </row>
    <row r="9617" spans="12:16">
      <c r="L9617"/>
      <c r="M9617"/>
      <c r="O9617"/>
      <c r="P9617"/>
    </row>
    <row r="9618" spans="12:16">
      <c r="L9618"/>
      <c r="M9618"/>
      <c r="O9618"/>
      <c r="P9618"/>
    </row>
    <row r="9619" spans="12:16">
      <c r="L9619"/>
      <c r="M9619"/>
      <c r="O9619"/>
      <c r="P9619"/>
    </row>
    <row r="9620" spans="12:16">
      <c r="L9620"/>
      <c r="M9620"/>
      <c r="O9620"/>
      <c r="P9620"/>
    </row>
    <row r="9621" spans="12:16">
      <c r="L9621"/>
      <c r="M9621"/>
      <c r="O9621"/>
      <c r="P9621"/>
    </row>
    <row r="9622" spans="12:16">
      <c r="L9622"/>
      <c r="M9622"/>
      <c r="O9622"/>
      <c r="P9622"/>
    </row>
    <row r="9623" spans="12:16">
      <c r="L9623"/>
      <c r="M9623"/>
      <c r="O9623"/>
      <c r="P9623"/>
    </row>
    <row r="9624" spans="12:16">
      <c r="L9624"/>
      <c r="M9624"/>
      <c r="O9624"/>
      <c r="P9624"/>
    </row>
    <row r="9625" spans="12:16">
      <c r="L9625"/>
      <c r="M9625"/>
      <c r="O9625"/>
      <c r="P9625"/>
    </row>
    <row r="9626" spans="12:16">
      <c r="L9626"/>
      <c r="M9626"/>
      <c r="O9626"/>
      <c r="P9626"/>
    </row>
    <row r="9627" spans="12:16">
      <c r="L9627"/>
      <c r="M9627"/>
      <c r="O9627"/>
      <c r="P9627"/>
    </row>
    <row r="9628" spans="12:16">
      <c r="L9628"/>
      <c r="M9628"/>
      <c r="O9628"/>
      <c r="P9628"/>
    </row>
    <row r="9629" spans="12:16">
      <c r="L9629"/>
      <c r="M9629"/>
      <c r="O9629"/>
      <c r="P9629"/>
    </row>
    <row r="9630" spans="12:16">
      <c r="L9630"/>
      <c r="M9630"/>
      <c r="O9630"/>
      <c r="P9630"/>
    </row>
    <row r="9631" spans="12:16">
      <c r="L9631"/>
      <c r="M9631"/>
      <c r="O9631"/>
      <c r="P9631"/>
    </row>
    <row r="9632" spans="12:16">
      <c r="L9632"/>
      <c r="M9632"/>
      <c r="O9632"/>
      <c r="P9632"/>
    </row>
    <row r="9633" spans="12:16">
      <c r="L9633"/>
      <c r="M9633"/>
      <c r="O9633"/>
      <c r="P9633"/>
    </row>
    <row r="9634" spans="12:16">
      <c r="L9634"/>
      <c r="M9634"/>
      <c r="O9634"/>
      <c r="P9634"/>
    </row>
    <row r="9635" spans="12:16">
      <c r="L9635"/>
      <c r="M9635"/>
      <c r="O9635"/>
      <c r="P9635"/>
    </row>
    <row r="9636" spans="12:16">
      <c r="L9636"/>
      <c r="M9636"/>
      <c r="O9636"/>
      <c r="P9636"/>
    </row>
    <row r="9637" spans="12:16">
      <c r="L9637"/>
      <c r="M9637"/>
      <c r="O9637"/>
      <c r="P9637"/>
    </row>
    <row r="9638" spans="12:16">
      <c r="L9638"/>
      <c r="M9638"/>
      <c r="O9638"/>
      <c r="P9638"/>
    </row>
    <row r="9639" spans="12:16">
      <c r="L9639"/>
      <c r="M9639"/>
      <c r="O9639"/>
      <c r="P9639"/>
    </row>
    <row r="9640" spans="12:16">
      <c r="L9640"/>
      <c r="M9640"/>
      <c r="O9640"/>
      <c r="P9640"/>
    </row>
    <row r="9641" spans="12:16">
      <c r="L9641"/>
      <c r="M9641"/>
      <c r="O9641"/>
      <c r="P9641"/>
    </row>
    <row r="9642" spans="12:16">
      <c r="L9642"/>
      <c r="M9642"/>
      <c r="O9642"/>
      <c r="P9642"/>
    </row>
    <row r="9643" spans="12:16">
      <c r="L9643"/>
      <c r="M9643"/>
      <c r="O9643"/>
      <c r="P9643"/>
    </row>
    <row r="9644" spans="12:16">
      <c r="L9644"/>
      <c r="M9644"/>
      <c r="O9644"/>
      <c r="P9644"/>
    </row>
    <row r="9645" spans="12:16">
      <c r="L9645"/>
      <c r="M9645"/>
      <c r="O9645"/>
      <c r="P9645"/>
    </row>
    <row r="9646" spans="12:16">
      <c r="L9646"/>
      <c r="M9646"/>
      <c r="O9646"/>
      <c r="P9646"/>
    </row>
    <row r="9647" spans="12:16">
      <c r="L9647"/>
      <c r="M9647"/>
      <c r="O9647"/>
      <c r="P9647"/>
    </row>
    <row r="9648" spans="12:16">
      <c r="L9648"/>
      <c r="M9648"/>
      <c r="O9648"/>
      <c r="P9648"/>
    </row>
    <row r="9649" spans="12:16">
      <c r="L9649"/>
      <c r="M9649"/>
      <c r="O9649"/>
      <c r="P9649"/>
    </row>
    <row r="9650" spans="12:16">
      <c r="L9650"/>
      <c r="M9650"/>
      <c r="O9650"/>
      <c r="P9650"/>
    </row>
    <row r="9651" spans="12:16">
      <c r="L9651"/>
      <c r="M9651"/>
      <c r="O9651"/>
      <c r="P9651"/>
    </row>
    <row r="9652" spans="12:16">
      <c r="L9652"/>
      <c r="M9652"/>
      <c r="O9652"/>
      <c r="P9652"/>
    </row>
    <row r="9653" spans="12:16">
      <c r="L9653"/>
      <c r="M9653"/>
      <c r="O9653"/>
      <c r="P9653"/>
    </row>
    <row r="9654" spans="12:16">
      <c r="L9654"/>
      <c r="M9654"/>
      <c r="O9654"/>
      <c r="P9654"/>
    </row>
    <row r="9655" spans="12:16">
      <c r="L9655"/>
      <c r="M9655"/>
      <c r="O9655"/>
      <c r="P9655"/>
    </row>
    <row r="9656" spans="12:16">
      <c r="L9656"/>
      <c r="M9656"/>
      <c r="O9656"/>
      <c r="P9656"/>
    </row>
    <row r="9657" spans="12:16">
      <c r="L9657"/>
      <c r="M9657"/>
      <c r="O9657"/>
      <c r="P9657"/>
    </row>
    <row r="9658" spans="12:16">
      <c r="L9658"/>
      <c r="M9658"/>
      <c r="O9658"/>
      <c r="P9658"/>
    </row>
    <row r="9659" spans="12:16">
      <c r="L9659"/>
      <c r="M9659"/>
      <c r="O9659"/>
      <c r="P9659"/>
    </row>
    <row r="9660" spans="12:16">
      <c r="L9660"/>
      <c r="M9660"/>
      <c r="O9660"/>
      <c r="P9660"/>
    </row>
    <row r="9661" spans="12:16">
      <c r="L9661"/>
      <c r="M9661"/>
      <c r="O9661"/>
      <c r="P9661"/>
    </row>
    <row r="9662" spans="12:16">
      <c r="L9662"/>
      <c r="M9662"/>
      <c r="O9662"/>
      <c r="P9662"/>
    </row>
    <row r="9663" spans="12:16">
      <c r="L9663"/>
      <c r="M9663"/>
      <c r="O9663"/>
      <c r="P9663"/>
    </row>
    <row r="9664" spans="12:16">
      <c r="L9664"/>
      <c r="M9664"/>
      <c r="O9664"/>
      <c r="P9664"/>
    </row>
    <row r="9665" spans="12:16">
      <c r="L9665"/>
      <c r="M9665"/>
      <c r="O9665"/>
      <c r="P9665"/>
    </row>
    <row r="9666" spans="12:16">
      <c r="L9666"/>
      <c r="M9666"/>
      <c r="O9666"/>
      <c r="P9666"/>
    </row>
    <row r="9667" spans="12:16">
      <c r="L9667"/>
      <c r="M9667"/>
      <c r="O9667"/>
      <c r="P9667"/>
    </row>
    <row r="9668" spans="12:16">
      <c r="L9668"/>
      <c r="M9668"/>
      <c r="O9668"/>
      <c r="P9668"/>
    </row>
    <row r="9669" spans="12:16">
      <c r="L9669"/>
      <c r="M9669"/>
      <c r="O9669"/>
      <c r="P9669"/>
    </row>
    <row r="9670" spans="12:16">
      <c r="L9670"/>
      <c r="M9670"/>
      <c r="O9670"/>
      <c r="P9670"/>
    </row>
    <row r="9671" spans="12:16">
      <c r="L9671"/>
      <c r="M9671"/>
      <c r="O9671"/>
      <c r="P9671"/>
    </row>
    <row r="9672" spans="12:16">
      <c r="L9672"/>
      <c r="M9672"/>
      <c r="O9672"/>
      <c r="P9672"/>
    </row>
    <row r="9673" spans="12:16">
      <c r="L9673"/>
      <c r="M9673"/>
      <c r="O9673"/>
      <c r="P9673"/>
    </row>
    <row r="9674" spans="12:16">
      <c r="L9674"/>
      <c r="M9674"/>
      <c r="O9674"/>
      <c r="P9674"/>
    </row>
    <row r="9675" spans="12:16">
      <c r="L9675"/>
      <c r="M9675"/>
      <c r="O9675"/>
      <c r="P9675"/>
    </row>
    <row r="9676" spans="12:16">
      <c r="L9676"/>
      <c r="M9676"/>
      <c r="O9676"/>
      <c r="P9676"/>
    </row>
    <row r="9677" spans="12:16">
      <c r="L9677"/>
      <c r="M9677"/>
      <c r="O9677"/>
      <c r="P9677"/>
    </row>
    <row r="9678" spans="12:16">
      <c r="L9678"/>
      <c r="M9678"/>
      <c r="O9678"/>
      <c r="P9678"/>
    </row>
    <row r="9679" spans="12:16">
      <c r="L9679"/>
      <c r="M9679"/>
      <c r="O9679"/>
      <c r="P9679"/>
    </row>
    <row r="9680" spans="12:16">
      <c r="L9680"/>
      <c r="M9680"/>
      <c r="O9680"/>
      <c r="P9680"/>
    </row>
    <row r="9681" spans="12:16">
      <c r="L9681"/>
      <c r="M9681"/>
      <c r="O9681"/>
      <c r="P9681"/>
    </row>
    <row r="9682" spans="12:16">
      <c r="L9682"/>
      <c r="M9682"/>
      <c r="O9682"/>
      <c r="P9682"/>
    </row>
    <row r="9683" spans="12:16">
      <c r="L9683"/>
      <c r="M9683"/>
      <c r="O9683"/>
      <c r="P9683"/>
    </row>
    <row r="9684" spans="12:16">
      <c r="L9684"/>
      <c r="M9684"/>
      <c r="O9684"/>
      <c r="P9684"/>
    </row>
    <row r="9685" spans="12:16">
      <c r="L9685"/>
      <c r="M9685"/>
      <c r="O9685"/>
      <c r="P9685"/>
    </row>
    <row r="9686" spans="12:16">
      <c r="L9686"/>
      <c r="M9686"/>
      <c r="O9686"/>
      <c r="P9686"/>
    </row>
    <row r="9687" spans="12:16">
      <c r="L9687"/>
      <c r="M9687"/>
      <c r="O9687"/>
      <c r="P9687"/>
    </row>
    <row r="9688" spans="12:16">
      <c r="L9688"/>
      <c r="M9688"/>
      <c r="O9688"/>
      <c r="P9688"/>
    </row>
    <row r="9689" spans="12:16">
      <c r="L9689"/>
      <c r="M9689"/>
      <c r="O9689"/>
      <c r="P9689"/>
    </row>
    <row r="9690" spans="12:16">
      <c r="L9690"/>
      <c r="M9690"/>
      <c r="O9690"/>
      <c r="P9690"/>
    </row>
    <row r="9691" spans="12:16">
      <c r="L9691"/>
      <c r="M9691"/>
      <c r="O9691"/>
      <c r="P9691"/>
    </row>
    <row r="9692" spans="12:16">
      <c r="L9692"/>
      <c r="M9692"/>
      <c r="O9692"/>
      <c r="P9692"/>
    </row>
    <row r="9693" spans="12:16">
      <c r="L9693"/>
      <c r="M9693"/>
      <c r="O9693"/>
      <c r="P9693"/>
    </row>
    <row r="9694" spans="12:16">
      <c r="L9694"/>
      <c r="M9694"/>
      <c r="O9694"/>
      <c r="P9694"/>
    </row>
    <row r="9695" spans="12:16">
      <c r="L9695"/>
      <c r="M9695"/>
      <c r="O9695"/>
      <c r="P9695"/>
    </row>
    <row r="9696" spans="12:16">
      <c r="L9696"/>
      <c r="M9696"/>
      <c r="O9696"/>
      <c r="P9696"/>
    </row>
    <row r="9697" spans="12:16">
      <c r="L9697"/>
      <c r="M9697"/>
      <c r="O9697"/>
      <c r="P9697"/>
    </row>
    <row r="9698" spans="12:16">
      <c r="L9698"/>
      <c r="M9698"/>
      <c r="O9698"/>
      <c r="P9698"/>
    </row>
    <row r="9699" spans="12:16">
      <c r="L9699"/>
      <c r="M9699"/>
      <c r="O9699"/>
      <c r="P9699"/>
    </row>
    <row r="9700" spans="12:16">
      <c r="L9700"/>
      <c r="M9700"/>
      <c r="O9700"/>
      <c r="P9700"/>
    </row>
    <row r="9701" spans="12:16">
      <c r="L9701"/>
      <c r="M9701"/>
      <c r="O9701"/>
      <c r="P9701"/>
    </row>
    <row r="9702" spans="12:16">
      <c r="L9702"/>
      <c r="M9702"/>
      <c r="O9702"/>
      <c r="P9702"/>
    </row>
    <row r="9703" spans="12:16">
      <c r="L9703"/>
      <c r="M9703"/>
      <c r="O9703"/>
      <c r="P9703"/>
    </row>
    <row r="9704" spans="12:16">
      <c r="L9704"/>
      <c r="M9704"/>
      <c r="O9704"/>
      <c r="P9704"/>
    </row>
    <row r="9705" spans="12:16">
      <c r="L9705"/>
      <c r="M9705"/>
      <c r="O9705"/>
      <c r="P9705"/>
    </row>
    <row r="9706" spans="12:16">
      <c r="L9706"/>
      <c r="M9706"/>
      <c r="O9706"/>
      <c r="P9706"/>
    </row>
    <row r="9707" spans="12:16">
      <c r="L9707"/>
      <c r="M9707"/>
      <c r="O9707"/>
      <c r="P9707"/>
    </row>
    <row r="9708" spans="12:16">
      <c r="L9708"/>
      <c r="M9708"/>
      <c r="O9708"/>
      <c r="P9708"/>
    </row>
    <row r="9709" spans="12:16">
      <c r="L9709"/>
      <c r="M9709"/>
      <c r="O9709"/>
      <c r="P9709"/>
    </row>
    <row r="9710" spans="12:16">
      <c r="L9710"/>
      <c r="M9710"/>
      <c r="O9710"/>
      <c r="P9710"/>
    </row>
    <row r="9711" spans="12:16">
      <c r="L9711"/>
      <c r="M9711"/>
      <c r="O9711"/>
      <c r="P9711"/>
    </row>
    <row r="9712" spans="12:16">
      <c r="L9712"/>
      <c r="M9712"/>
      <c r="O9712"/>
      <c r="P9712"/>
    </row>
    <row r="9713" spans="12:16">
      <c r="L9713"/>
      <c r="M9713"/>
      <c r="O9713"/>
      <c r="P9713"/>
    </row>
    <row r="9714" spans="12:16">
      <c r="L9714"/>
      <c r="M9714"/>
      <c r="O9714"/>
      <c r="P9714"/>
    </row>
    <row r="9715" spans="12:16">
      <c r="L9715"/>
      <c r="M9715"/>
      <c r="O9715"/>
      <c r="P9715"/>
    </row>
    <row r="9716" spans="12:16">
      <c r="L9716"/>
      <c r="M9716"/>
      <c r="O9716"/>
      <c r="P9716"/>
    </row>
    <row r="9717" spans="12:16">
      <c r="L9717"/>
      <c r="M9717"/>
      <c r="O9717"/>
      <c r="P9717"/>
    </row>
    <row r="9718" spans="12:16">
      <c r="L9718"/>
      <c r="M9718"/>
      <c r="O9718"/>
      <c r="P9718"/>
    </row>
    <row r="9719" spans="12:16">
      <c r="L9719"/>
      <c r="M9719"/>
      <c r="O9719"/>
      <c r="P9719"/>
    </row>
    <row r="9720" spans="12:16">
      <c r="L9720"/>
      <c r="M9720"/>
      <c r="O9720"/>
      <c r="P9720"/>
    </row>
    <row r="9721" spans="12:16">
      <c r="L9721"/>
      <c r="M9721"/>
      <c r="O9721"/>
      <c r="P9721"/>
    </row>
    <row r="9722" spans="12:16">
      <c r="L9722"/>
      <c r="M9722"/>
      <c r="O9722"/>
      <c r="P9722"/>
    </row>
    <row r="9723" spans="12:16">
      <c r="L9723"/>
      <c r="M9723"/>
      <c r="O9723"/>
      <c r="P9723"/>
    </row>
    <row r="9724" spans="12:16">
      <c r="L9724"/>
      <c r="M9724"/>
      <c r="O9724"/>
      <c r="P9724"/>
    </row>
    <row r="9725" spans="12:16">
      <c r="L9725"/>
      <c r="M9725"/>
      <c r="O9725"/>
      <c r="P9725"/>
    </row>
    <row r="9726" spans="12:16">
      <c r="L9726"/>
      <c r="M9726"/>
      <c r="O9726"/>
      <c r="P9726"/>
    </row>
    <row r="9727" spans="12:16">
      <c r="L9727"/>
      <c r="M9727"/>
      <c r="O9727"/>
      <c r="P9727"/>
    </row>
    <row r="9728" spans="12:16">
      <c r="L9728"/>
      <c r="M9728"/>
      <c r="O9728"/>
      <c r="P9728"/>
    </row>
    <row r="9729" spans="12:16">
      <c r="L9729"/>
      <c r="M9729"/>
      <c r="O9729"/>
      <c r="P9729"/>
    </row>
    <row r="9730" spans="12:16">
      <c r="L9730"/>
      <c r="M9730"/>
      <c r="O9730"/>
      <c r="P9730"/>
    </row>
    <row r="9731" spans="12:16">
      <c r="L9731"/>
      <c r="M9731"/>
      <c r="O9731"/>
      <c r="P9731"/>
    </row>
    <row r="9732" spans="12:16">
      <c r="L9732"/>
      <c r="M9732"/>
      <c r="O9732"/>
      <c r="P9732"/>
    </row>
    <row r="9733" spans="12:16">
      <c r="L9733"/>
      <c r="M9733"/>
      <c r="O9733"/>
      <c r="P9733"/>
    </row>
    <row r="9734" spans="12:16">
      <c r="L9734"/>
      <c r="M9734"/>
      <c r="O9734"/>
      <c r="P9734"/>
    </row>
    <row r="9735" spans="12:16">
      <c r="L9735"/>
      <c r="M9735"/>
      <c r="O9735"/>
      <c r="P9735"/>
    </row>
    <row r="9736" spans="12:16">
      <c r="L9736"/>
      <c r="M9736"/>
      <c r="O9736"/>
      <c r="P9736"/>
    </row>
    <row r="9737" spans="12:16">
      <c r="L9737"/>
      <c r="M9737"/>
      <c r="O9737"/>
      <c r="P9737"/>
    </row>
    <row r="9738" spans="12:16">
      <c r="L9738"/>
      <c r="M9738"/>
      <c r="O9738"/>
      <c r="P9738"/>
    </row>
    <row r="9739" spans="12:16">
      <c r="L9739"/>
      <c r="M9739"/>
      <c r="O9739"/>
      <c r="P9739"/>
    </row>
    <row r="9740" spans="12:16">
      <c r="L9740"/>
      <c r="M9740"/>
      <c r="O9740"/>
      <c r="P9740"/>
    </row>
    <row r="9741" spans="12:16">
      <c r="L9741"/>
      <c r="M9741"/>
      <c r="O9741"/>
      <c r="P9741"/>
    </row>
    <row r="9742" spans="12:16">
      <c r="L9742"/>
      <c r="M9742"/>
      <c r="O9742"/>
      <c r="P9742"/>
    </row>
    <row r="9743" spans="12:16">
      <c r="L9743"/>
      <c r="M9743"/>
      <c r="O9743"/>
      <c r="P9743"/>
    </row>
    <row r="9744" spans="12:16">
      <c r="L9744"/>
      <c r="M9744"/>
      <c r="O9744"/>
      <c r="P9744"/>
    </row>
    <row r="9745" spans="12:16">
      <c r="L9745"/>
      <c r="M9745"/>
      <c r="O9745"/>
      <c r="P9745"/>
    </row>
    <row r="9746" spans="12:16">
      <c r="L9746"/>
      <c r="M9746"/>
      <c r="O9746"/>
      <c r="P9746"/>
    </row>
    <row r="9747" spans="12:16">
      <c r="L9747"/>
      <c r="M9747"/>
      <c r="O9747"/>
      <c r="P9747"/>
    </row>
    <row r="9748" spans="12:16">
      <c r="L9748"/>
      <c r="M9748"/>
      <c r="O9748"/>
      <c r="P9748"/>
    </row>
    <row r="9749" spans="12:16">
      <c r="L9749"/>
      <c r="M9749"/>
      <c r="O9749"/>
      <c r="P9749"/>
    </row>
    <row r="9750" spans="12:16">
      <c r="L9750"/>
      <c r="M9750"/>
      <c r="O9750"/>
      <c r="P9750"/>
    </row>
    <row r="9751" spans="12:16">
      <c r="L9751"/>
      <c r="M9751"/>
      <c r="O9751"/>
      <c r="P9751"/>
    </row>
    <row r="9752" spans="12:16">
      <c r="L9752"/>
      <c r="M9752"/>
      <c r="O9752"/>
      <c r="P9752"/>
    </row>
    <row r="9753" spans="12:16">
      <c r="L9753"/>
      <c r="M9753"/>
      <c r="O9753"/>
      <c r="P9753"/>
    </row>
    <row r="9754" spans="12:16">
      <c r="L9754"/>
      <c r="M9754"/>
      <c r="O9754"/>
      <c r="P9754"/>
    </row>
    <row r="9755" spans="12:16">
      <c r="L9755"/>
      <c r="M9755"/>
      <c r="O9755"/>
      <c r="P9755"/>
    </row>
    <row r="9756" spans="12:16">
      <c r="L9756"/>
      <c r="M9756"/>
      <c r="O9756"/>
      <c r="P9756"/>
    </row>
    <row r="9757" spans="12:16">
      <c r="L9757"/>
      <c r="M9757"/>
      <c r="O9757"/>
      <c r="P9757"/>
    </row>
    <row r="9758" spans="12:16">
      <c r="L9758"/>
      <c r="M9758"/>
      <c r="O9758"/>
      <c r="P9758"/>
    </row>
    <row r="9759" spans="12:16">
      <c r="L9759"/>
      <c r="M9759"/>
      <c r="O9759"/>
      <c r="P9759"/>
    </row>
    <row r="9760" spans="12:16">
      <c r="L9760"/>
      <c r="M9760"/>
      <c r="O9760"/>
      <c r="P9760"/>
    </row>
    <row r="9761" spans="12:16">
      <c r="L9761"/>
      <c r="M9761"/>
      <c r="O9761"/>
      <c r="P9761"/>
    </row>
    <row r="9762" spans="12:16">
      <c r="L9762"/>
      <c r="M9762"/>
      <c r="O9762"/>
      <c r="P9762"/>
    </row>
    <row r="9763" spans="12:16">
      <c r="L9763"/>
      <c r="M9763"/>
      <c r="O9763"/>
      <c r="P9763"/>
    </row>
    <row r="9764" spans="12:16">
      <c r="L9764"/>
      <c r="M9764"/>
      <c r="O9764"/>
      <c r="P9764"/>
    </row>
    <row r="9765" spans="12:16">
      <c r="L9765"/>
      <c r="M9765"/>
      <c r="O9765"/>
      <c r="P9765"/>
    </row>
    <row r="9766" spans="12:16">
      <c r="L9766"/>
      <c r="M9766"/>
      <c r="O9766"/>
      <c r="P9766"/>
    </row>
    <row r="9767" spans="12:16">
      <c r="L9767"/>
      <c r="M9767"/>
      <c r="O9767"/>
      <c r="P9767"/>
    </row>
    <row r="9768" spans="12:16">
      <c r="L9768"/>
      <c r="M9768"/>
      <c r="O9768"/>
      <c r="P9768"/>
    </row>
    <row r="9769" spans="12:16">
      <c r="L9769"/>
      <c r="M9769"/>
      <c r="O9769"/>
      <c r="P9769"/>
    </row>
    <row r="9770" spans="12:16">
      <c r="L9770"/>
      <c r="M9770"/>
      <c r="O9770"/>
      <c r="P9770"/>
    </row>
    <row r="9771" spans="12:16">
      <c r="L9771"/>
      <c r="M9771"/>
      <c r="O9771"/>
      <c r="P9771"/>
    </row>
    <row r="9772" spans="12:16">
      <c r="L9772"/>
      <c r="M9772"/>
      <c r="O9772"/>
      <c r="P9772"/>
    </row>
    <row r="9773" spans="12:16">
      <c r="L9773"/>
      <c r="M9773"/>
      <c r="O9773"/>
      <c r="P9773"/>
    </row>
    <row r="9774" spans="12:16">
      <c r="L9774"/>
      <c r="M9774"/>
      <c r="O9774"/>
      <c r="P9774"/>
    </row>
    <row r="9775" spans="12:16">
      <c r="L9775"/>
      <c r="M9775"/>
      <c r="O9775"/>
      <c r="P9775"/>
    </row>
    <row r="9776" spans="12:16">
      <c r="L9776"/>
      <c r="M9776"/>
      <c r="O9776"/>
      <c r="P9776"/>
    </row>
    <row r="9777" spans="12:16">
      <c r="L9777"/>
      <c r="M9777"/>
      <c r="O9777"/>
      <c r="P9777"/>
    </row>
    <row r="9778" spans="12:16">
      <c r="L9778"/>
      <c r="M9778"/>
      <c r="O9778"/>
      <c r="P9778"/>
    </row>
    <row r="9779" spans="12:16">
      <c r="L9779"/>
      <c r="M9779"/>
      <c r="O9779"/>
      <c r="P9779"/>
    </row>
    <row r="9780" spans="12:16">
      <c r="L9780"/>
      <c r="M9780"/>
      <c r="O9780"/>
      <c r="P9780"/>
    </row>
    <row r="9781" spans="12:16">
      <c r="L9781"/>
      <c r="M9781"/>
      <c r="O9781"/>
      <c r="P9781"/>
    </row>
    <row r="9782" spans="12:16">
      <c r="L9782"/>
      <c r="M9782"/>
      <c r="O9782"/>
      <c r="P9782"/>
    </row>
    <row r="9783" spans="12:16">
      <c r="L9783"/>
      <c r="M9783"/>
      <c r="O9783"/>
      <c r="P9783"/>
    </row>
    <row r="9784" spans="12:16">
      <c r="L9784"/>
      <c r="M9784"/>
      <c r="O9784"/>
      <c r="P9784"/>
    </row>
    <row r="9785" spans="12:16">
      <c r="L9785"/>
      <c r="M9785"/>
      <c r="O9785"/>
      <c r="P9785"/>
    </row>
    <row r="9786" spans="12:16">
      <c r="L9786"/>
      <c r="M9786"/>
      <c r="O9786"/>
      <c r="P9786"/>
    </row>
    <row r="9787" spans="12:16">
      <c r="L9787"/>
      <c r="M9787"/>
      <c r="O9787"/>
      <c r="P9787"/>
    </row>
    <row r="9788" spans="12:16">
      <c r="L9788"/>
      <c r="M9788"/>
      <c r="O9788"/>
      <c r="P9788"/>
    </row>
    <row r="9789" spans="12:16">
      <c r="L9789"/>
      <c r="M9789"/>
      <c r="O9789"/>
      <c r="P9789"/>
    </row>
    <row r="9790" spans="12:16">
      <c r="L9790"/>
      <c r="M9790"/>
      <c r="O9790"/>
      <c r="P9790"/>
    </row>
    <row r="9791" spans="12:16">
      <c r="L9791"/>
      <c r="M9791"/>
      <c r="O9791"/>
      <c r="P9791"/>
    </row>
    <row r="9792" spans="12:16">
      <c r="L9792"/>
      <c r="M9792"/>
      <c r="O9792"/>
      <c r="P9792"/>
    </row>
    <row r="9793" spans="12:16">
      <c r="L9793"/>
      <c r="M9793"/>
      <c r="O9793"/>
      <c r="P9793"/>
    </row>
    <row r="9794" spans="12:16">
      <c r="L9794"/>
      <c r="M9794"/>
      <c r="O9794"/>
      <c r="P9794"/>
    </row>
    <row r="9795" spans="12:16">
      <c r="L9795"/>
      <c r="M9795"/>
      <c r="O9795"/>
      <c r="P9795"/>
    </row>
    <row r="9796" spans="12:16">
      <c r="L9796"/>
      <c r="M9796"/>
      <c r="O9796"/>
      <c r="P9796"/>
    </row>
    <row r="9797" spans="12:16">
      <c r="L9797"/>
      <c r="M9797"/>
      <c r="O9797"/>
      <c r="P9797"/>
    </row>
    <row r="9798" spans="12:16">
      <c r="L9798"/>
      <c r="M9798"/>
      <c r="O9798"/>
      <c r="P9798"/>
    </row>
    <row r="9799" spans="12:16">
      <c r="L9799"/>
      <c r="M9799"/>
      <c r="O9799"/>
      <c r="P9799"/>
    </row>
    <row r="9800" spans="12:16">
      <c r="L9800"/>
      <c r="M9800"/>
      <c r="O9800"/>
      <c r="P9800"/>
    </row>
    <row r="9801" spans="12:16">
      <c r="L9801"/>
      <c r="M9801"/>
      <c r="O9801"/>
      <c r="P9801"/>
    </row>
    <row r="9802" spans="12:16">
      <c r="L9802"/>
      <c r="M9802"/>
      <c r="O9802"/>
      <c r="P9802"/>
    </row>
    <row r="9803" spans="12:16">
      <c r="L9803"/>
      <c r="M9803"/>
      <c r="O9803"/>
      <c r="P9803"/>
    </row>
    <row r="9804" spans="12:16">
      <c r="L9804"/>
      <c r="M9804"/>
      <c r="O9804"/>
      <c r="P9804"/>
    </row>
    <row r="9805" spans="12:16">
      <c r="L9805"/>
      <c r="M9805"/>
      <c r="O9805"/>
      <c r="P9805"/>
    </row>
    <row r="9806" spans="12:16">
      <c r="L9806"/>
      <c r="M9806"/>
      <c r="O9806"/>
      <c r="P9806"/>
    </row>
    <row r="9807" spans="12:16">
      <c r="L9807"/>
      <c r="M9807"/>
      <c r="O9807"/>
      <c r="P9807"/>
    </row>
    <row r="9808" spans="12:16">
      <c r="L9808"/>
      <c r="M9808"/>
      <c r="O9808"/>
      <c r="P9808"/>
    </row>
    <row r="9809" spans="12:16">
      <c r="L9809"/>
      <c r="M9809"/>
      <c r="O9809"/>
      <c r="P9809"/>
    </row>
    <row r="9810" spans="12:16">
      <c r="L9810"/>
      <c r="M9810"/>
      <c r="O9810"/>
      <c r="P9810"/>
    </row>
    <row r="9811" spans="12:16">
      <c r="L9811"/>
      <c r="M9811"/>
      <c r="O9811"/>
      <c r="P9811"/>
    </row>
    <row r="9812" spans="12:16">
      <c r="L9812"/>
      <c r="M9812"/>
      <c r="O9812"/>
      <c r="P9812"/>
    </row>
    <row r="9813" spans="12:16">
      <c r="L9813"/>
      <c r="M9813"/>
      <c r="O9813"/>
      <c r="P9813"/>
    </row>
    <row r="9814" spans="12:16">
      <c r="L9814"/>
      <c r="M9814"/>
      <c r="O9814"/>
      <c r="P9814"/>
    </row>
    <row r="9815" spans="12:16">
      <c r="L9815"/>
      <c r="M9815"/>
      <c r="O9815"/>
      <c r="P9815"/>
    </row>
    <row r="9816" spans="12:16">
      <c r="L9816"/>
      <c r="M9816"/>
      <c r="O9816"/>
      <c r="P9816"/>
    </row>
    <row r="9817" spans="12:16">
      <c r="L9817"/>
      <c r="M9817"/>
      <c r="O9817"/>
      <c r="P9817"/>
    </row>
    <row r="9818" spans="12:16">
      <c r="L9818"/>
      <c r="M9818"/>
      <c r="O9818"/>
      <c r="P9818"/>
    </row>
    <row r="9819" spans="12:16">
      <c r="L9819"/>
      <c r="M9819"/>
      <c r="O9819"/>
      <c r="P9819"/>
    </row>
    <row r="9820" spans="12:16">
      <c r="L9820"/>
      <c r="M9820"/>
      <c r="O9820"/>
      <c r="P9820"/>
    </row>
    <row r="9821" spans="12:16">
      <c r="L9821"/>
      <c r="M9821"/>
      <c r="O9821"/>
      <c r="P9821"/>
    </row>
    <row r="9822" spans="12:16">
      <c r="L9822"/>
      <c r="M9822"/>
      <c r="O9822"/>
      <c r="P9822"/>
    </row>
    <row r="9823" spans="12:16">
      <c r="L9823"/>
      <c r="M9823"/>
      <c r="O9823"/>
      <c r="P9823"/>
    </row>
    <row r="9824" spans="12:16">
      <c r="L9824"/>
      <c r="M9824"/>
      <c r="O9824"/>
      <c r="P9824"/>
    </row>
    <row r="9825" spans="12:16">
      <c r="L9825"/>
      <c r="M9825"/>
      <c r="O9825"/>
      <c r="P9825"/>
    </row>
    <row r="9826" spans="12:16">
      <c r="L9826"/>
      <c r="M9826"/>
      <c r="O9826"/>
      <c r="P9826"/>
    </row>
    <row r="9827" spans="12:16">
      <c r="L9827"/>
      <c r="M9827"/>
      <c r="O9827"/>
      <c r="P9827"/>
    </row>
    <row r="9828" spans="12:16">
      <c r="L9828"/>
      <c r="M9828"/>
      <c r="O9828"/>
      <c r="P9828"/>
    </row>
    <row r="9829" spans="12:16">
      <c r="L9829"/>
      <c r="M9829"/>
      <c r="O9829"/>
      <c r="P9829"/>
    </row>
    <row r="9830" spans="12:16">
      <c r="L9830"/>
      <c r="M9830"/>
      <c r="O9830"/>
      <c r="P9830"/>
    </row>
    <row r="9831" spans="12:16">
      <c r="L9831"/>
      <c r="M9831"/>
      <c r="O9831"/>
      <c r="P9831"/>
    </row>
    <row r="9832" spans="12:16">
      <c r="L9832"/>
      <c r="M9832"/>
      <c r="O9832"/>
      <c r="P9832"/>
    </row>
    <row r="9833" spans="12:16">
      <c r="L9833"/>
      <c r="M9833"/>
      <c r="O9833"/>
      <c r="P9833"/>
    </row>
    <row r="9834" spans="12:16">
      <c r="L9834"/>
      <c r="M9834"/>
      <c r="O9834"/>
      <c r="P9834"/>
    </row>
    <row r="9835" spans="12:16">
      <c r="L9835"/>
      <c r="M9835"/>
      <c r="O9835"/>
      <c r="P9835"/>
    </row>
    <row r="9836" spans="12:16">
      <c r="L9836"/>
      <c r="M9836"/>
      <c r="O9836"/>
      <c r="P9836"/>
    </row>
    <row r="9837" spans="12:16">
      <c r="L9837"/>
      <c r="M9837"/>
      <c r="O9837"/>
      <c r="P9837"/>
    </row>
    <row r="9838" spans="12:16">
      <c r="L9838"/>
      <c r="M9838"/>
      <c r="O9838"/>
      <c r="P9838"/>
    </row>
    <row r="9839" spans="12:16">
      <c r="L9839"/>
      <c r="M9839"/>
      <c r="O9839"/>
      <c r="P9839"/>
    </row>
    <row r="9840" spans="12:16">
      <c r="L9840"/>
      <c r="M9840"/>
      <c r="O9840"/>
      <c r="P9840"/>
    </row>
    <row r="9841" spans="12:16">
      <c r="L9841"/>
      <c r="M9841"/>
      <c r="O9841"/>
      <c r="P9841"/>
    </row>
    <row r="9842" spans="12:16">
      <c r="L9842"/>
      <c r="M9842"/>
      <c r="O9842"/>
      <c r="P9842"/>
    </row>
    <row r="9843" spans="12:16">
      <c r="L9843"/>
      <c r="M9843"/>
      <c r="O9843"/>
      <c r="P9843"/>
    </row>
    <row r="9844" spans="12:16">
      <c r="L9844"/>
      <c r="M9844"/>
      <c r="O9844"/>
      <c r="P9844"/>
    </row>
    <row r="9845" spans="12:16">
      <c r="L9845"/>
      <c r="M9845"/>
      <c r="O9845"/>
      <c r="P9845"/>
    </row>
    <row r="9846" spans="12:16">
      <c r="L9846"/>
      <c r="M9846"/>
      <c r="O9846"/>
      <c r="P9846"/>
    </row>
    <row r="9847" spans="12:16">
      <c r="L9847"/>
      <c r="M9847"/>
      <c r="O9847"/>
      <c r="P9847"/>
    </row>
    <row r="9848" spans="12:16">
      <c r="L9848"/>
      <c r="M9848"/>
      <c r="O9848"/>
      <c r="P9848"/>
    </row>
    <row r="9849" spans="12:16">
      <c r="L9849"/>
      <c r="M9849"/>
      <c r="O9849"/>
      <c r="P9849"/>
    </row>
    <row r="9850" spans="12:16">
      <c r="L9850"/>
      <c r="M9850"/>
      <c r="O9850"/>
      <c r="P9850"/>
    </row>
    <row r="9851" spans="12:16">
      <c r="L9851"/>
      <c r="M9851"/>
      <c r="O9851"/>
      <c r="P9851"/>
    </row>
    <row r="9852" spans="12:16">
      <c r="L9852"/>
      <c r="M9852"/>
      <c r="O9852"/>
      <c r="P9852"/>
    </row>
    <row r="9853" spans="12:16">
      <c r="L9853"/>
      <c r="M9853"/>
      <c r="O9853"/>
      <c r="P9853"/>
    </row>
    <row r="9854" spans="12:16">
      <c r="L9854"/>
      <c r="M9854"/>
      <c r="O9854"/>
      <c r="P9854"/>
    </row>
    <row r="9855" spans="12:16">
      <c r="L9855"/>
      <c r="M9855"/>
      <c r="O9855"/>
      <c r="P9855"/>
    </row>
    <row r="9856" spans="12:16">
      <c r="L9856"/>
      <c r="M9856"/>
      <c r="O9856"/>
      <c r="P9856"/>
    </row>
    <row r="9857" spans="12:16">
      <c r="L9857"/>
      <c r="M9857"/>
      <c r="O9857"/>
      <c r="P9857"/>
    </row>
    <row r="9858" spans="12:16">
      <c r="L9858"/>
      <c r="M9858"/>
      <c r="O9858"/>
      <c r="P9858"/>
    </row>
    <row r="9859" spans="12:16">
      <c r="L9859"/>
      <c r="M9859"/>
      <c r="O9859"/>
      <c r="P9859"/>
    </row>
    <row r="9860" spans="12:16">
      <c r="L9860"/>
      <c r="M9860"/>
      <c r="O9860"/>
      <c r="P9860"/>
    </row>
    <row r="9861" spans="12:16">
      <c r="L9861"/>
      <c r="M9861"/>
      <c r="O9861"/>
      <c r="P9861"/>
    </row>
    <row r="9862" spans="12:16">
      <c r="L9862"/>
      <c r="M9862"/>
      <c r="O9862"/>
      <c r="P9862"/>
    </row>
    <row r="9863" spans="12:16">
      <c r="L9863"/>
      <c r="M9863"/>
      <c r="O9863"/>
      <c r="P9863"/>
    </row>
    <row r="9864" spans="12:16">
      <c r="L9864"/>
      <c r="M9864"/>
      <c r="O9864"/>
      <c r="P9864"/>
    </row>
    <row r="9865" spans="12:16">
      <c r="L9865"/>
      <c r="M9865"/>
      <c r="O9865"/>
      <c r="P9865"/>
    </row>
    <row r="9866" spans="12:16">
      <c r="L9866"/>
      <c r="M9866"/>
      <c r="O9866"/>
      <c r="P9866"/>
    </row>
    <row r="9867" spans="12:16">
      <c r="L9867"/>
      <c r="M9867"/>
      <c r="O9867"/>
      <c r="P9867"/>
    </row>
    <row r="9868" spans="12:16">
      <c r="L9868"/>
      <c r="M9868"/>
      <c r="O9868"/>
      <c r="P9868"/>
    </row>
    <row r="9869" spans="12:16">
      <c r="L9869"/>
      <c r="M9869"/>
      <c r="O9869"/>
      <c r="P9869"/>
    </row>
    <row r="9870" spans="12:16">
      <c r="L9870"/>
      <c r="M9870"/>
      <c r="O9870"/>
      <c r="P9870"/>
    </row>
    <row r="9871" spans="12:16">
      <c r="L9871"/>
      <c r="M9871"/>
      <c r="O9871"/>
      <c r="P9871"/>
    </row>
    <row r="9872" spans="12:16">
      <c r="L9872"/>
      <c r="M9872"/>
      <c r="O9872"/>
      <c r="P9872"/>
    </row>
    <row r="9873" spans="12:16">
      <c r="L9873"/>
      <c r="M9873"/>
      <c r="O9873"/>
      <c r="P9873"/>
    </row>
    <row r="9874" spans="12:16">
      <c r="L9874"/>
      <c r="M9874"/>
      <c r="O9874"/>
      <c r="P9874"/>
    </row>
    <row r="9875" spans="12:16">
      <c r="L9875"/>
      <c r="M9875"/>
      <c r="O9875"/>
      <c r="P9875"/>
    </row>
    <row r="9876" spans="12:16">
      <c r="L9876"/>
      <c r="M9876"/>
      <c r="O9876"/>
      <c r="P9876"/>
    </row>
    <row r="9877" spans="12:16">
      <c r="L9877"/>
      <c r="M9877"/>
      <c r="O9877"/>
      <c r="P9877"/>
    </row>
    <row r="9878" spans="12:16">
      <c r="L9878"/>
      <c r="M9878"/>
      <c r="O9878"/>
      <c r="P9878"/>
    </row>
    <row r="9879" spans="12:16">
      <c r="L9879"/>
      <c r="M9879"/>
      <c r="O9879"/>
      <c r="P9879"/>
    </row>
    <row r="9880" spans="12:16">
      <c r="L9880"/>
      <c r="M9880"/>
      <c r="O9880"/>
      <c r="P9880"/>
    </row>
    <row r="9881" spans="12:16">
      <c r="L9881"/>
      <c r="M9881"/>
      <c r="O9881"/>
      <c r="P9881"/>
    </row>
    <row r="9882" spans="12:16">
      <c r="L9882"/>
      <c r="M9882"/>
      <c r="O9882"/>
      <c r="P9882"/>
    </row>
    <row r="9883" spans="12:16">
      <c r="L9883"/>
      <c r="M9883"/>
      <c r="O9883"/>
      <c r="P9883"/>
    </row>
    <row r="9884" spans="12:16">
      <c r="L9884"/>
      <c r="M9884"/>
      <c r="O9884"/>
      <c r="P9884"/>
    </row>
    <row r="9885" spans="12:16">
      <c r="L9885"/>
      <c r="M9885"/>
      <c r="O9885"/>
      <c r="P9885"/>
    </row>
    <row r="9886" spans="12:16">
      <c r="L9886"/>
      <c r="M9886"/>
      <c r="O9886"/>
      <c r="P9886"/>
    </row>
    <row r="9887" spans="12:16">
      <c r="L9887"/>
      <c r="M9887"/>
      <c r="O9887"/>
      <c r="P9887"/>
    </row>
    <row r="9888" spans="12:16">
      <c r="L9888"/>
      <c r="M9888"/>
      <c r="O9888"/>
      <c r="P9888"/>
    </row>
    <row r="9889" spans="12:16">
      <c r="L9889"/>
      <c r="M9889"/>
      <c r="O9889"/>
      <c r="P9889"/>
    </row>
    <row r="9890" spans="12:16">
      <c r="L9890"/>
      <c r="M9890"/>
      <c r="O9890"/>
      <c r="P9890"/>
    </row>
    <row r="9891" spans="12:16">
      <c r="L9891"/>
      <c r="M9891"/>
      <c r="O9891"/>
      <c r="P9891"/>
    </row>
    <row r="9892" spans="12:16">
      <c r="L9892"/>
      <c r="M9892"/>
      <c r="O9892"/>
      <c r="P9892"/>
    </row>
    <row r="9893" spans="12:16">
      <c r="L9893"/>
      <c r="M9893"/>
      <c r="O9893"/>
      <c r="P9893"/>
    </row>
    <row r="9894" spans="12:16">
      <c r="L9894"/>
      <c r="M9894"/>
      <c r="O9894"/>
      <c r="P9894"/>
    </row>
    <row r="9895" spans="12:16">
      <c r="L9895"/>
      <c r="M9895"/>
      <c r="O9895"/>
      <c r="P9895"/>
    </row>
    <row r="9896" spans="12:16">
      <c r="L9896"/>
      <c r="M9896"/>
      <c r="O9896"/>
      <c r="P9896"/>
    </row>
    <row r="9897" spans="12:16">
      <c r="L9897"/>
      <c r="M9897"/>
      <c r="O9897"/>
      <c r="P9897"/>
    </row>
    <row r="9898" spans="12:16">
      <c r="L9898"/>
      <c r="M9898"/>
      <c r="O9898"/>
      <c r="P9898"/>
    </row>
    <row r="9899" spans="12:16">
      <c r="L9899"/>
      <c r="M9899"/>
      <c r="O9899"/>
      <c r="P9899"/>
    </row>
    <row r="9900" spans="12:16">
      <c r="L9900"/>
      <c r="M9900"/>
      <c r="O9900"/>
      <c r="P9900"/>
    </row>
    <row r="9901" spans="12:16">
      <c r="L9901"/>
      <c r="M9901"/>
      <c r="O9901"/>
      <c r="P9901"/>
    </row>
    <row r="9902" spans="12:16">
      <c r="L9902"/>
      <c r="M9902"/>
      <c r="O9902"/>
      <c r="P9902"/>
    </row>
    <row r="9903" spans="12:16">
      <c r="L9903"/>
      <c r="M9903"/>
      <c r="O9903"/>
      <c r="P9903"/>
    </row>
    <row r="9904" spans="12:16">
      <c r="L9904"/>
      <c r="M9904"/>
      <c r="O9904"/>
      <c r="P9904"/>
    </row>
    <row r="9905" spans="12:16">
      <c r="L9905"/>
      <c r="M9905"/>
      <c r="O9905"/>
      <c r="P9905"/>
    </row>
    <row r="9906" spans="12:16">
      <c r="L9906"/>
      <c r="M9906"/>
      <c r="O9906"/>
      <c r="P9906"/>
    </row>
    <row r="9907" spans="12:16">
      <c r="L9907"/>
      <c r="M9907"/>
      <c r="O9907"/>
      <c r="P9907"/>
    </row>
    <row r="9908" spans="12:16">
      <c r="L9908"/>
      <c r="M9908"/>
      <c r="O9908"/>
      <c r="P9908"/>
    </row>
    <row r="9909" spans="12:16">
      <c r="L9909"/>
      <c r="M9909"/>
      <c r="O9909"/>
      <c r="P9909"/>
    </row>
    <row r="9910" spans="12:16">
      <c r="L9910"/>
      <c r="M9910"/>
      <c r="O9910"/>
      <c r="P9910"/>
    </row>
    <row r="9911" spans="12:16">
      <c r="L9911"/>
      <c r="M9911"/>
      <c r="O9911"/>
      <c r="P9911"/>
    </row>
    <row r="9912" spans="12:16">
      <c r="L9912"/>
      <c r="M9912"/>
      <c r="O9912"/>
      <c r="P9912"/>
    </row>
    <row r="9913" spans="12:16">
      <c r="L9913"/>
      <c r="M9913"/>
      <c r="O9913"/>
      <c r="P9913"/>
    </row>
    <row r="9914" spans="12:16">
      <c r="L9914"/>
      <c r="M9914"/>
      <c r="O9914"/>
      <c r="P9914"/>
    </row>
    <row r="9915" spans="12:16">
      <c r="L9915"/>
      <c r="M9915"/>
      <c r="O9915"/>
      <c r="P9915"/>
    </row>
    <row r="9916" spans="12:16">
      <c r="L9916"/>
      <c r="M9916"/>
      <c r="O9916"/>
      <c r="P9916"/>
    </row>
    <row r="9917" spans="12:16">
      <c r="L9917"/>
      <c r="M9917"/>
      <c r="O9917"/>
      <c r="P9917"/>
    </row>
    <row r="9918" spans="12:16">
      <c r="L9918"/>
      <c r="M9918"/>
      <c r="O9918"/>
      <c r="P9918"/>
    </row>
    <row r="9919" spans="12:16">
      <c r="L9919"/>
      <c r="M9919"/>
      <c r="O9919"/>
      <c r="P9919"/>
    </row>
    <row r="9920" spans="12:16">
      <c r="L9920"/>
      <c r="M9920"/>
      <c r="O9920"/>
      <c r="P9920"/>
    </row>
    <row r="9921" spans="12:16">
      <c r="L9921"/>
      <c r="M9921"/>
      <c r="O9921"/>
      <c r="P9921"/>
    </row>
    <row r="9922" spans="12:16">
      <c r="L9922"/>
      <c r="M9922"/>
      <c r="O9922"/>
      <c r="P9922"/>
    </row>
    <row r="9923" spans="12:16">
      <c r="L9923"/>
      <c r="M9923"/>
      <c r="O9923"/>
      <c r="P9923"/>
    </row>
    <row r="9924" spans="12:16">
      <c r="L9924"/>
      <c r="M9924"/>
      <c r="O9924"/>
      <c r="P9924"/>
    </row>
    <row r="9925" spans="12:16">
      <c r="L9925"/>
      <c r="M9925"/>
      <c r="O9925"/>
      <c r="P9925"/>
    </row>
    <row r="9926" spans="12:16">
      <c r="L9926"/>
      <c r="M9926"/>
      <c r="O9926"/>
      <c r="P9926"/>
    </row>
    <row r="9927" spans="12:16">
      <c r="L9927"/>
      <c r="M9927"/>
      <c r="O9927"/>
      <c r="P9927"/>
    </row>
    <row r="9928" spans="12:16">
      <c r="L9928"/>
      <c r="M9928"/>
      <c r="O9928"/>
      <c r="P9928"/>
    </row>
    <row r="9929" spans="12:16">
      <c r="L9929"/>
      <c r="M9929"/>
      <c r="O9929"/>
      <c r="P9929"/>
    </row>
    <row r="9930" spans="12:16">
      <c r="L9930"/>
      <c r="M9930"/>
      <c r="O9930"/>
      <c r="P9930"/>
    </row>
    <row r="9931" spans="12:16">
      <c r="L9931"/>
      <c r="M9931"/>
      <c r="O9931"/>
      <c r="P9931"/>
    </row>
    <row r="9932" spans="12:16">
      <c r="L9932"/>
      <c r="M9932"/>
      <c r="O9932"/>
      <c r="P9932"/>
    </row>
    <row r="9933" spans="12:16">
      <c r="L9933"/>
      <c r="M9933"/>
      <c r="O9933"/>
      <c r="P9933"/>
    </row>
    <row r="9934" spans="12:16">
      <c r="L9934"/>
      <c r="M9934"/>
      <c r="O9934"/>
      <c r="P9934"/>
    </row>
    <row r="9935" spans="12:16">
      <c r="L9935"/>
      <c r="M9935"/>
      <c r="O9935"/>
      <c r="P9935"/>
    </row>
    <row r="9936" spans="12:16">
      <c r="L9936"/>
      <c r="M9936"/>
      <c r="O9936"/>
      <c r="P9936"/>
    </row>
    <row r="9937" spans="12:16">
      <c r="L9937"/>
      <c r="M9937"/>
      <c r="O9937"/>
      <c r="P9937"/>
    </row>
    <row r="9938" spans="12:16">
      <c r="L9938"/>
      <c r="M9938"/>
      <c r="O9938"/>
      <c r="P9938"/>
    </row>
    <row r="9939" spans="12:16">
      <c r="L9939"/>
      <c r="M9939"/>
      <c r="O9939"/>
      <c r="P9939"/>
    </row>
    <row r="9940" spans="12:16">
      <c r="L9940"/>
      <c r="M9940"/>
      <c r="O9940"/>
      <c r="P9940"/>
    </row>
    <row r="9941" spans="12:16">
      <c r="L9941"/>
      <c r="M9941"/>
      <c r="O9941"/>
      <c r="P9941"/>
    </row>
    <row r="9942" spans="12:16">
      <c r="L9942"/>
      <c r="M9942"/>
      <c r="O9942"/>
      <c r="P9942"/>
    </row>
    <row r="9943" spans="12:16">
      <c r="L9943"/>
      <c r="M9943"/>
      <c r="O9943"/>
      <c r="P9943"/>
    </row>
    <row r="9944" spans="12:16">
      <c r="L9944"/>
      <c r="M9944"/>
      <c r="O9944"/>
      <c r="P9944"/>
    </row>
    <row r="9945" spans="12:16">
      <c r="L9945"/>
      <c r="M9945"/>
      <c r="O9945"/>
      <c r="P9945"/>
    </row>
    <row r="9946" spans="12:16">
      <c r="L9946"/>
      <c r="M9946"/>
      <c r="O9946"/>
      <c r="P9946"/>
    </row>
    <row r="9947" spans="12:16">
      <c r="L9947"/>
      <c r="M9947"/>
      <c r="O9947"/>
      <c r="P9947"/>
    </row>
    <row r="9948" spans="12:16">
      <c r="L9948"/>
      <c r="M9948"/>
      <c r="O9948"/>
      <c r="P9948"/>
    </row>
    <row r="9949" spans="12:16">
      <c r="L9949"/>
      <c r="M9949"/>
      <c r="O9949"/>
      <c r="P9949"/>
    </row>
    <row r="9950" spans="12:16">
      <c r="L9950"/>
      <c r="M9950"/>
      <c r="O9950"/>
      <c r="P9950"/>
    </row>
    <row r="9951" spans="12:16">
      <c r="L9951"/>
      <c r="M9951"/>
      <c r="O9951"/>
      <c r="P9951"/>
    </row>
    <row r="9952" spans="12:16">
      <c r="L9952"/>
      <c r="M9952"/>
      <c r="O9952"/>
      <c r="P9952"/>
    </row>
    <row r="9953" spans="12:16">
      <c r="L9953"/>
      <c r="M9953"/>
      <c r="O9953"/>
      <c r="P9953"/>
    </row>
    <row r="9954" spans="12:16">
      <c r="L9954"/>
      <c r="M9954"/>
      <c r="O9954"/>
      <c r="P9954"/>
    </row>
    <row r="9955" spans="12:16">
      <c r="L9955"/>
      <c r="M9955"/>
      <c r="O9955"/>
      <c r="P9955"/>
    </row>
    <row r="9956" spans="12:16">
      <c r="L9956"/>
      <c r="M9956"/>
      <c r="O9956"/>
      <c r="P9956"/>
    </row>
    <row r="9957" spans="12:16">
      <c r="L9957"/>
      <c r="M9957"/>
      <c r="O9957"/>
      <c r="P9957"/>
    </row>
    <row r="9958" spans="12:16">
      <c r="L9958"/>
      <c r="M9958"/>
      <c r="O9958"/>
      <c r="P9958"/>
    </row>
    <row r="9959" spans="12:16">
      <c r="L9959"/>
      <c r="M9959"/>
      <c r="O9959"/>
      <c r="P9959"/>
    </row>
    <row r="9960" spans="12:16">
      <c r="L9960"/>
      <c r="M9960"/>
      <c r="O9960"/>
      <c r="P9960"/>
    </row>
    <row r="9961" spans="12:16">
      <c r="L9961"/>
      <c r="M9961"/>
      <c r="O9961"/>
      <c r="P9961"/>
    </row>
    <row r="9962" spans="12:16">
      <c r="L9962"/>
      <c r="M9962"/>
      <c r="O9962"/>
      <c r="P9962"/>
    </row>
    <row r="9963" spans="12:16">
      <c r="L9963"/>
      <c r="M9963"/>
      <c r="O9963"/>
      <c r="P9963"/>
    </row>
    <row r="9964" spans="12:16">
      <c r="L9964"/>
      <c r="M9964"/>
      <c r="O9964"/>
      <c r="P9964"/>
    </row>
    <row r="9965" spans="12:16">
      <c r="L9965"/>
      <c r="M9965"/>
      <c r="O9965"/>
      <c r="P9965"/>
    </row>
    <row r="9966" spans="12:16">
      <c r="L9966"/>
      <c r="M9966"/>
      <c r="O9966"/>
      <c r="P9966"/>
    </row>
    <row r="9967" spans="12:16">
      <c r="L9967"/>
      <c r="M9967"/>
      <c r="O9967"/>
      <c r="P9967"/>
    </row>
    <row r="9968" spans="12:16">
      <c r="L9968"/>
      <c r="M9968"/>
      <c r="O9968"/>
      <c r="P9968"/>
    </row>
    <row r="9969" spans="12:16">
      <c r="L9969"/>
      <c r="M9969"/>
      <c r="O9969"/>
      <c r="P9969"/>
    </row>
    <row r="9970" spans="12:16">
      <c r="L9970"/>
      <c r="M9970"/>
      <c r="O9970"/>
      <c r="P9970"/>
    </row>
    <row r="9971" spans="12:16">
      <c r="L9971"/>
      <c r="M9971"/>
      <c r="O9971"/>
      <c r="P9971"/>
    </row>
    <row r="9972" spans="12:16">
      <c r="L9972"/>
      <c r="M9972"/>
      <c r="O9972"/>
      <c r="P9972"/>
    </row>
    <row r="9973" spans="12:16">
      <c r="L9973"/>
      <c r="M9973"/>
      <c r="O9973"/>
      <c r="P9973"/>
    </row>
    <row r="9974" spans="12:16">
      <c r="L9974"/>
      <c r="M9974"/>
      <c r="O9974"/>
      <c r="P9974"/>
    </row>
    <row r="9975" spans="12:16">
      <c r="L9975"/>
      <c r="M9975"/>
      <c r="O9975"/>
      <c r="P9975"/>
    </row>
    <row r="9976" spans="12:16">
      <c r="L9976"/>
      <c r="M9976"/>
      <c r="O9976"/>
      <c r="P9976"/>
    </row>
    <row r="9977" spans="12:16">
      <c r="L9977"/>
      <c r="M9977"/>
      <c r="O9977"/>
      <c r="P9977"/>
    </row>
    <row r="9978" spans="12:16">
      <c r="L9978"/>
      <c r="M9978"/>
      <c r="O9978"/>
      <c r="P9978"/>
    </row>
    <row r="9979" spans="12:16">
      <c r="L9979"/>
      <c r="M9979"/>
      <c r="O9979"/>
      <c r="P9979"/>
    </row>
    <row r="9980" spans="12:16">
      <c r="L9980"/>
      <c r="M9980"/>
      <c r="O9980"/>
      <c r="P9980"/>
    </row>
    <row r="9981" spans="12:16">
      <c r="L9981"/>
      <c r="M9981"/>
      <c r="O9981"/>
      <c r="P9981"/>
    </row>
    <row r="9982" spans="12:16">
      <c r="L9982"/>
      <c r="M9982"/>
      <c r="O9982"/>
      <c r="P9982"/>
    </row>
    <row r="9983" spans="12:16">
      <c r="L9983"/>
      <c r="M9983"/>
      <c r="O9983"/>
      <c r="P9983"/>
    </row>
    <row r="9984" spans="12:16">
      <c r="L9984"/>
      <c r="M9984"/>
      <c r="O9984"/>
      <c r="P9984"/>
    </row>
    <row r="9985" spans="12:16">
      <c r="L9985"/>
      <c r="M9985"/>
      <c r="O9985"/>
      <c r="P9985"/>
    </row>
    <row r="9986" spans="12:16">
      <c r="L9986"/>
      <c r="M9986"/>
      <c r="O9986"/>
      <c r="P9986"/>
    </row>
    <row r="9987" spans="12:16">
      <c r="L9987"/>
      <c r="M9987"/>
      <c r="O9987"/>
      <c r="P9987"/>
    </row>
    <row r="9988" spans="12:16">
      <c r="L9988"/>
      <c r="M9988"/>
      <c r="O9988"/>
      <c r="P9988"/>
    </row>
    <row r="9989" spans="12:16">
      <c r="L9989"/>
      <c r="M9989"/>
      <c r="O9989"/>
      <c r="P9989"/>
    </row>
    <row r="9990" spans="12:16">
      <c r="L9990"/>
      <c r="M9990"/>
      <c r="O9990"/>
      <c r="P9990"/>
    </row>
    <row r="9991" spans="12:16">
      <c r="L9991"/>
      <c r="M9991"/>
      <c r="O9991"/>
      <c r="P9991"/>
    </row>
    <row r="9992" spans="12:16">
      <c r="L9992"/>
      <c r="M9992"/>
      <c r="O9992"/>
      <c r="P9992"/>
    </row>
    <row r="9993" spans="12:16">
      <c r="L9993"/>
      <c r="M9993"/>
      <c r="O9993"/>
      <c r="P9993"/>
    </row>
    <row r="9994" spans="12:16">
      <c r="L9994"/>
      <c r="M9994"/>
      <c r="O9994"/>
      <c r="P9994"/>
    </row>
    <row r="9995" spans="12:16">
      <c r="L9995"/>
      <c r="M9995"/>
      <c r="O9995"/>
      <c r="P9995"/>
    </row>
    <row r="9996" spans="12:16">
      <c r="L9996"/>
      <c r="M9996"/>
      <c r="O9996"/>
      <c r="P9996"/>
    </row>
    <row r="9997" spans="12:16">
      <c r="L9997"/>
      <c r="M9997"/>
      <c r="O9997"/>
      <c r="P9997"/>
    </row>
    <row r="9998" spans="12:16">
      <c r="L9998"/>
      <c r="M9998"/>
      <c r="O9998"/>
      <c r="P9998"/>
    </row>
    <row r="9999" spans="12:16">
      <c r="L9999"/>
      <c r="M9999"/>
      <c r="O9999"/>
      <c r="P9999"/>
    </row>
    <row r="10000" spans="12:16">
      <c r="L10000"/>
      <c r="M10000"/>
      <c r="O10000"/>
      <c r="P10000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34</vt:i4>
      </vt:variant>
    </vt:vector>
  </HeadingPairs>
  <TitlesOfParts>
    <vt:vector size="51" baseType="lpstr">
      <vt:lpstr>Group</vt:lpstr>
      <vt:lpstr>Master</vt:lpstr>
      <vt:lpstr>Licensee</vt:lpstr>
      <vt:lpstr>Intermediary</vt:lpstr>
      <vt:lpstr>Agent</vt:lpstr>
      <vt:lpstr>Sales</vt:lpstr>
      <vt:lpstr>Policy breakdown</vt:lpstr>
      <vt:lpstr>Policy Numbers</vt:lpstr>
      <vt:lpstr>Commission splits</vt:lpstr>
      <vt:lpstr>Certificate</vt:lpstr>
      <vt:lpstr>Commission</vt:lpstr>
      <vt:lpstr>Smartcom</vt:lpstr>
      <vt:lpstr>Statement</vt:lpstr>
      <vt:lpstr>CommReceived</vt:lpstr>
      <vt:lpstr>StatementLicensee</vt:lpstr>
      <vt:lpstr>StatementAgent</vt:lpstr>
      <vt:lpstr>Debit orders</vt:lpstr>
      <vt:lpstr>Accounttype</vt:lpstr>
      <vt:lpstr>Accounttype2</vt:lpstr>
      <vt:lpstr>Group!AgentStatus</vt:lpstr>
      <vt:lpstr>Intermediary!AgentStatus</vt:lpstr>
      <vt:lpstr>AgentStatus</vt:lpstr>
      <vt:lpstr>AgentStatusChange</vt:lpstr>
      <vt:lpstr>ComCalc</vt:lpstr>
      <vt:lpstr>CommissionClear</vt:lpstr>
      <vt:lpstr>DebitOrdersClear</vt:lpstr>
      <vt:lpstr>Gender</vt:lpstr>
      <vt:lpstr>IDs</vt:lpstr>
      <vt:lpstr>IDType</vt:lpstr>
      <vt:lpstr>LicenseeFeesPaid</vt:lpstr>
      <vt:lpstr>LicenseeStatus</vt:lpstr>
      <vt:lpstr>MaritalStatus</vt:lpstr>
      <vt:lpstr>PaymentMethod</vt:lpstr>
      <vt:lpstr>Paymenttype</vt:lpstr>
      <vt:lpstr>Certificate!Print_Area</vt:lpstr>
      <vt:lpstr>ProductCodes</vt:lpstr>
      <vt:lpstr>Group!Provinces</vt:lpstr>
      <vt:lpstr>Intermediary!Provinces</vt:lpstr>
      <vt:lpstr>Provinces</vt:lpstr>
      <vt:lpstr>SaleCode</vt:lpstr>
      <vt:lpstr>SmartcomClear</vt:lpstr>
      <vt:lpstr>StatementClearAgent</vt:lpstr>
      <vt:lpstr>StatementMailClear</vt:lpstr>
      <vt:lpstr>StatementPrintClear</vt:lpstr>
      <vt:lpstr>Title</vt:lpstr>
      <vt:lpstr>Group!YES_NO1</vt:lpstr>
      <vt:lpstr>Intermediary!YES_NO1</vt:lpstr>
      <vt:lpstr>YES_NO1</vt:lpstr>
      <vt:lpstr>Group!Yes_NO2</vt:lpstr>
      <vt:lpstr>Intermediary!Yes_NO2</vt:lpstr>
      <vt:lpstr>Yes_NO2</vt:lpstr>
    </vt:vector>
  </TitlesOfParts>
  <Company>CSIR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Black</dc:creator>
  <cp:lastModifiedBy>Brian Black</cp:lastModifiedBy>
  <cp:lastPrinted>2015-07-10T19:23:11Z</cp:lastPrinted>
  <dcterms:created xsi:type="dcterms:W3CDTF">2015-02-27T14:01:44Z</dcterms:created>
  <dcterms:modified xsi:type="dcterms:W3CDTF">2015-07-11T12:18:55Z</dcterms:modified>
</cp:coreProperties>
</file>